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0" documentId="8_{5B2D0C4F-DDAF-4493-8535-A1F2C01063EB}" xr6:coauthVersionLast="47" xr6:coauthVersionMax="47" xr10:uidLastSave="{00000000-0000-0000-0000-000000000000}"/>
  <bookViews>
    <workbookView xWindow="0" yWindow="0" windowWidth="0" windowHeight="0" xr2:uid="{00000000-000D-0000-FFFF-FFFF00000000}"/>
  </bookViews>
  <sheets>
    <sheet name="Calendário 2026" sheetId="1" r:id="rId1"/>
    <sheet name="Regiões Administrativas" sheetId="2" r:id="rId2"/>
    <sheet name="Impacto Econômico" sheetId="3" r:id="rId3"/>
    <sheet name="Calendário por Lei" sheetId="4" r:id="rId4"/>
  </sheets>
  <definedNames>
    <definedName name="_xlnm._FilterDatabase" localSheetId="0" hidden="1">'Calendário 2026'!$A$1:$AK$721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3" l="1"/>
  <c r="E42" i="3" s="1"/>
  <c r="D14" i="3"/>
  <c r="D42" i="3" s="1"/>
  <c r="C14" i="3"/>
  <c r="C42" i="3" s="1"/>
  <c r="B14" i="3"/>
  <c r="E13" i="3"/>
  <c r="E41" i="3" s="1"/>
  <c r="D13" i="3"/>
  <c r="D41" i="3" s="1"/>
  <c r="C13" i="3"/>
  <c r="C41" i="3" s="1"/>
  <c r="B13" i="3"/>
  <c r="E12" i="3"/>
  <c r="E40" i="3" s="1"/>
  <c r="D12" i="3"/>
  <c r="D40" i="3" s="1"/>
  <c r="C12" i="3"/>
  <c r="C40" i="3" s="1"/>
  <c r="B12" i="3"/>
  <c r="E11" i="3"/>
  <c r="E39" i="3" s="1"/>
  <c r="D11" i="3"/>
  <c r="D39" i="3" s="1"/>
  <c r="C11" i="3"/>
  <c r="C39" i="3" s="1"/>
  <c r="B11" i="3"/>
  <c r="E10" i="3"/>
  <c r="E38" i="3" s="1"/>
  <c r="D10" i="3"/>
  <c r="D38" i="3" s="1"/>
  <c r="C10" i="3"/>
  <c r="C38" i="3" s="1"/>
  <c r="B10" i="3"/>
  <c r="E9" i="3"/>
  <c r="E37" i="3" s="1"/>
  <c r="D9" i="3"/>
  <c r="D37" i="3" s="1"/>
  <c r="C9" i="3"/>
  <c r="C37" i="3" s="1"/>
  <c r="B9" i="3"/>
  <c r="E8" i="3"/>
  <c r="E36" i="3" s="1"/>
  <c r="D8" i="3"/>
  <c r="D36" i="3" s="1"/>
  <c r="C8" i="3"/>
  <c r="C36" i="3" s="1"/>
  <c r="B8" i="3"/>
  <c r="E7" i="3"/>
  <c r="E35" i="3" s="1"/>
  <c r="D7" i="3"/>
  <c r="D35" i="3" s="1"/>
  <c r="C7" i="3"/>
  <c r="C35" i="3" s="1"/>
  <c r="B7" i="3"/>
  <c r="E6" i="3"/>
  <c r="E34" i="3" s="1"/>
  <c r="D6" i="3"/>
  <c r="D34" i="3" s="1"/>
  <c r="C6" i="3"/>
  <c r="C34" i="3" s="1"/>
  <c r="B6" i="3"/>
  <c r="E5" i="3"/>
  <c r="E33" i="3" s="1"/>
  <c r="D5" i="3"/>
  <c r="D33" i="3" s="1"/>
  <c r="C5" i="3"/>
  <c r="C33" i="3" s="1"/>
  <c r="B5" i="3"/>
  <c r="E4" i="3"/>
  <c r="D4" i="3"/>
  <c r="C4" i="3"/>
  <c r="B4" i="3"/>
  <c r="AK721" i="1"/>
  <c r="AJ721" i="1"/>
  <c r="AI721" i="1"/>
  <c r="AH721" i="1"/>
  <c r="AG721" i="1"/>
  <c r="AF721" i="1"/>
  <c r="AE721" i="1"/>
  <c r="AD721" i="1"/>
  <c r="AK720" i="1"/>
  <c r="AJ720" i="1"/>
  <c r="AI720" i="1"/>
  <c r="AH720" i="1"/>
  <c r="AG720" i="1"/>
  <c r="AF720" i="1"/>
  <c r="AE720" i="1"/>
  <c r="AD720" i="1"/>
  <c r="AK719" i="1"/>
  <c r="AJ719" i="1"/>
  <c r="AI719" i="1"/>
  <c r="AH719" i="1"/>
  <c r="AG719" i="1"/>
  <c r="AF719" i="1"/>
  <c r="AE719" i="1"/>
  <c r="AD719" i="1"/>
  <c r="AK718" i="1"/>
  <c r="AJ718" i="1"/>
  <c r="AI718" i="1"/>
  <c r="AH718" i="1"/>
  <c r="AG718" i="1"/>
  <c r="AF718" i="1"/>
  <c r="AE718" i="1"/>
  <c r="AD718" i="1"/>
  <c r="AK717" i="1"/>
  <c r="AJ717" i="1"/>
  <c r="AI717" i="1"/>
  <c r="AH717" i="1"/>
  <c r="AG717" i="1"/>
  <c r="AF717" i="1"/>
  <c r="AE717" i="1"/>
  <c r="AD717" i="1"/>
  <c r="AK716" i="1"/>
  <c r="AJ716" i="1"/>
  <c r="AI716" i="1"/>
  <c r="AH716" i="1"/>
  <c r="AG716" i="1"/>
  <c r="AF716" i="1"/>
  <c r="AE716" i="1"/>
  <c r="AD716" i="1"/>
  <c r="AK715" i="1"/>
  <c r="AJ715" i="1"/>
  <c r="AI715" i="1"/>
  <c r="AH715" i="1"/>
  <c r="AG715" i="1"/>
  <c r="AF715" i="1"/>
  <c r="AE715" i="1"/>
  <c r="AD715" i="1"/>
  <c r="AK714" i="1"/>
  <c r="AJ714" i="1"/>
  <c r="AI714" i="1"/>
  <c r="AH714" i="1"/>
  <c r="AG714" i="1"/>
  <c r="AF714" i="1"/>
  <c r="AE714" i="1"/>
  <c r="AD714" i="1"/>
  <c r="AK713" i="1"/>
  <c r="AJ713" i="1"/>
  <c r="AI713" i="1"/>
  <c r="AH713" i="1"/>
  <c r="AG713" i="1"/>
  <c r="AF713" i="1"/>
  <c r="AE713" i="1"/>
  <c r="AD713" i="1"/>
  <c r="AK712" i="1"/>
  <c r="AJ712" i="1"/>
  <c r="AI712" i="1"/>
  <c r="AH712" i="1"/>
  <c r="AG712" i="1"/>
  <c r="AF712" i="1"/>
  <c r="AE712" i="1"/>
  <c r="AD712" i="1"/>
  <c r="AK711" i="1"/>
  <c r="AJ711" i="1"/>
  <c r="AI711" i="1"/>
  <c r="AH711" i="1"/>
  <c r="AG711" i="1"/>
  <c r="AF711" i="1"/>
  <c r="AE711" i="1"/>
  <c r="AD711" i="1"/>
  <c r="AK710" i="1"/>
  <c r="AJ710" i="1"/>
  <c r="AI710" i="1"/>
  <c r="AH710" i="1"/>
  <c r="AG710" i="1"/>
  <c r="AF710" i="1"/>
  <c r="AE710" i="1"/>
  <c r="AD710" i="1"/>
  <c r="AK709" i="1"/>
  <c r="AJ709" i="1"/>
  <c r="AI709" i="1"/>
  <c r="AH709" i="1"/>
  <c r="AG709" i="1"/>
  <c r="AF709" i="1"/>
  <c r="AE709" i="1"/>
  <c r="AD709" i="1"/>
  <c r="AK708" i="1"/>
  <c r="AJ708" i="1"/>
  <c r="AI708" i="1"/>
  <c r="AH708" i="1"/>
  <c r="AG708" i="1"/>
  <c r="AF708" i="1"/>
  <c r="AE708" i="1"/>
  <c r="AD708" i="1"/>
  <c r="AK707" i="1"/>
  <c r="AJ707" i="1"/>
  <c r="AI707" i="1"/>
  <c r="AH707" i="1"/>
  <c r="AG707" i="1"/>
  <c r="AF707" i="1"/>
  <c r="AE707" i="1"/>
  <c r="AD707" i="1"/>
  <c r="AK706" i="1"/>
  <c r="AJ706" i="1"/>
  <c r="AI706" i="1"/>
  <c r="AH706" i="1"/>
  <c r="AG706" i="1"/>
  <c r="AF706" i="1"/>
  <c r="AE706" i="1"/>
  <c r="AD706" i="1"/>
  <c r="AK705" i="1"/>
  <c r="AJ705" i="1"/>
  <c r="AI705" i="1"/>
  <c r="AH705" i="1"/>
  <c r="AG705" i="1"/>
  <c r="AF705" i="1"/>
  <c r="AE705" i="1"/>
  <c r="AD705" i="1"/>
  <c r="AK704" i="1"/>
  <c r="AJ704" i="1"/>
  <c r="AI704" i="1"/>
  <c r="AH704" i="1"/>
  <c r="AG704" i="1"/>
  <c r="AF704" i="1"/>
  <c r="AE704" i="1"/>
  <c r="AD704" i="1"/>
  <c r="AK703" i="1"/>
  <c r="AJ703" i="1"/>
  <c r="AI703" i="1"/>
  <c r="AH703" i="1"/>
  <c r="AG703" i="1"/>
  <c r="AF703" i="1"/>
  <c r="AE703" i="1"/>
  <c r="AD703" i="1"/>
  <c r="AK702" i="1"/>
  <c r="AJ702" i="1"/>
  <c r="AI702" i="1"/>
  <c r="AH702" i="1"/>
  <c r="AG702" i="1"/>
  <c r="AF702" i="1"/>
  <c r="AE702" i="1"/>
  <c r="AD702" i="1"/>
  <c r="AK701" i="1"/>
  <c r="AJ701" i="1"/>
  <c r="AI701" i="1"/>
  <c r="AH701" i="1"/>
  <c r="AG701" i="1"/>
  <c r="AF701" i="1"/>
  <c r="AE701" i="1"/>
  <c r="AD701" i="1"/>
  <c r="AK700" i="1"/>
  <c r="AJ700" i="1"/>
  <c r="AI700" i="1"/>
  <c r="AH700" i="1"/>
  <c r="AG700" i="1"/>
  <c r="AF700" i="1"/>
  <c r="AE700" i="1"/>
  <c r="AD700" i="1"/>
  <c r="AK699" i="1"/>
  <c r="AJ699" i="1"/>
  <c r="AI699" i="1"/>
  <c r="AH699" i="1"/>
  <c r="AG699" i="1"/>
  <c r="AF699" i="1"/>
  <c r="AE699" i="1"/>
  <c r="AD699" i="1"/>
  <c r="AK698" i="1"/>
  <c r="AJ698" i="1"/>
  <c r="AI698" i="1"/>
  <c r="AH698" i="1"/>
  <c r="AG698" i="1"/>
  <c r="AF698" i="1"/>
  <c r="AE698" i="1"/>
  <c r="AD698" i="1"/>
  <c r="AK697" i="1"/>
  <c r="AJ697" i="1"/>
  <c r="AI697" i="1"/>
  <c r="AH697" i="1"/>
  <c r="AG697" i="1"/>
  <c r="AF697" i="1"/>
  <c r="AE697" i="1"/>
  <c r="AD697" i="1"/>
  <c r="AK696" i="1"/>
  <c r="AJ696" i="1"/>
  <c r="AI696" i="1"/>
  <c r="AH696" i="1"/>
  <c r="AG696" i="1"/>
  <c r="AF696" i="1"/>
  <c r="AE696" i="1"/>
  <c r="AD696" i="1"/>
  <c r="AK695" i="1"/>
  <c r="AJ695" i="1"/>
  <c r="AI695" i="1"/>
  <c r="AH695" i="1"/>
  <c r="AG695" i="1"/>
  <c r="AF695" i="1"/>
  <c r="AE695" i="1"/>
  <c r="AD695" i="1"/>
  <c r="AK694" i="1"/>
  <c r="AJ694" i="1"/>
  <c r="AI694" i="1"/>
  <c r="AH694" i="1"/>
  <c r="AG694" i="1"/>
  <c r="AF694" i="1"/>
  <c r="AE694" i="1"/>
  <c r="AD694" i="1"/>
  <c r="AK693" i="1"/>
  <c r="AJ693" i="1"/>
  <c r="AI693" i="1"/>
  <c r="AH693" i="1"/>
  <c r="AG693" i="1"/>
  <c r="AF693" i="1"/>
  <c r="AE693" i="1"/>
  <c r="AD693" i="1"/>
  <c r="AK692" i="1"/>
  <c r="AJ692" i="1"/>
  <c r="AI692" i="1"/>
  <c r="AH692" i="1"/>
  <c r="AG692" i="1"/>
  <c r="AF692" i="1"/>
  <c r="AE692" i="1"/>
  <c r="AD692" i="1"/>
  <c r="AK691" i="1"/>
  <c r="AJ691" i="1"/>
  <c r="AI691" i="1"/>
  <c r="AH691" i="1"/>
  <c r="AG691" i="1"/>
  <c r="AF691" i="1"/>
  <c r="AE691" i="1"/>
  <c r="AD691" i="1"/>
  <c r="AK690" i="1"/>
  <c r="AJ690" i="1"/>
  <c r="AI690" i="1"/>
  <c r="AH690" i="1"/>
  <c r="AG690" i="1"/>
  <c r="AF690" i="1"/>
  <c r="AE690" i="1"/>
  <c r="AD690" i="1"/>
  <c r="AK689" i="1"/>
  <c r="AJ689" i="1"/>
  <c r="AI689" i="1"/>
  <c r="AH689" i="1"/>
  <c r="AG689" i="1"/>
  <c r="AF689" i="1"/>
  <c r="AE689" i="1"/>
  <c r="AD689" i="1"/>
  <c r="AK688" i="1"/>
  <c r="AJ688" i="1"/>
  <c r="AI688" i="1"/>
  <c r="AH688" i="1"/>
  <c r="AG688" i="1"/>
  <c r="AF688" i="1"/>
  <c r="AE688" i="1"/>
  <c r="AD688" i="1"/>
  <c r="AK687" i="1"/>
  <c r="AJ687" i="1"/>
  <c r="AI687" i="1"/>
  <c r="AH687" i="1"/>
  <c r="AG687" i="1"/>
  <c r="AF687" i="1"/>
  <c r="AE687" i="1"/>
  <c r="AD687" i="1"/>
  <c r="AK686" i="1"/>
  <c r="AJ686" i="1"/>
  <c r="AI686" i="1"/>
  <c r="AH686" i="1"/>
  <c r="AG686" i="1"/>
  <c r="AF686" i="1"/>
  <c r="AE686" i="1"/>
  <c r="AD686" i="1"/>
  <c r="AK685" i="1"/>
  <c r="AJ685" i="1"/>
  <c r="AI685" i="1"/>
  <c r="AH685" i="1"/>
  <c r="AG685" i="1"/>
  <c r="AF685" i="1"/>
  <c r="AE685" i="1"/>
  <c r="AD685" i="1"/>
  <c r="AK684" i="1"/>
  <c r="AJ684" i="1"/>
  <c r="AI684" i="1"/>
  <c r="AH684" i="1"/>
  <c r="AG684" i="1"/>
  <c r="AF684" i="1"/>
  <c r="AE684" i="1"/>
  <c r="AD684" i="1"/>
  <c r="AK683" i="1"/>
  <c r="AJ683" i="1"/>
  <c r="AI683" i="1"/>
  <c r="AH683" i="1"/>
  <c r="AG683" i="1"/>
  <c r="AF683" i="1"/>
  <c r="AE683" i="1"/>
  <c r="AD683" i="1"/>
  <c r="AK682" i="1"/>
  <c r="AJ682" i="1"/>
  <c r="AI682" i="1"/>
  <c r="AH682" i="1"/>
  <c r="AG682" i="1"/>
  <c r="AF682" i="1"/>
  <c r="AE682" i="1"/>
  <c r="AD682" i="1"/>
  <c r="AK681" i="1"/>
  <c r="AJ681" i="1"/>
  <c r="AI681" i="1"/>
  <c r="AH681" i="1"/>
  <c r="AG681" i="1"/>
  <c r="AF681" i="1"/>
  <c r="AE681" i="1"/>
  <c r="AD681" i="1"/>
  <c r="AK680" i="1"/>
  <c r="AJ680" i="1"/>
  <c r="AI680" i="1"/>
  <c r="AH680" i="1"/>
  <c r="AG680" i="1"/>
  <c r="AF680" i="1"/>
  <c r="AE680" i="1"/>
  <c r="AD680" i="1"/>
  <c r="AK679" i="1"/>
  <c r="AJ679" i="1"/>
  <c r="AI679" i="1"/>
  <c r="AH679" i="1"/>
  <c r="AG679" i="1"/>
  <c r="AF679" i="1"/>
  <c r="AE679" i="1"/>
  <c r="AD679" i="1"/>
  <c r="AK678" i="1"/>
  <c r="AJ678" i="1"/>
  <c r="AI678" i="1"/>
  <c r="AH678" i="1"/>
  <c r="AG678" i="1"/>
  <c r="AF678" i="1"/>
  <c r="AE678" i="1"/>
  <c r="AD678" i="1"/>
  <c r="AK677" i="1"/>
  <c r="AJ677" i="1"/>
  <c r="AI677" i="1"/>
  <c r="AH677" i="1"/>
  <c r="AG677" i="1"/>
  <c r="AF677" i="1"/>
  <c r="AE677" i="1"/>
  <c r="AD677" i="1"/>
  <c r="AK676" i="1"/>
  <c r="AJ676" i="1"/>
  <c r="AI676" i="1"/>
  <c r="AH676" i="1"/>
  <c r="AG676" i="1"/>
  <c r="AF676" i="1"/>
  <c r="AE676" i="1"/>
  <c r="AD676" i="1"/>
  <c r="AK675" i="1"/>
  <c r="AJ675" i="1"/>
  <c r="AI675" i="1"/>
  <c r="AH675" i="1"/>
  <c r="AG675" i="1"/>
  <c r="AF675" i="1"/>
  <c r="AE675" i="1"/>
  <c r="AD675" i="1"/>
  <c r="AK674" i="1"/>
  <c r="AJ674" i="1"/>
  <c r="AI674" i="1"/>
  <c r="AH674" i="1"/>
  <c r="AG674" i="1"/>
  <c r="AF674" i="1"/>
  <c r="AE674" i="1"/>
  <c r="AD674" i="1"/>
  <c r="AK673" i="1"/>
  <c r="AJ673" i="1"/>
  <c r="AI673" i="1"/>
  <c r="AH673" i="1"/>
  <c r="AG673" i="1"/>
  <c r="AF673" i="1"/>
  <c r="AE673" i="1"/>
  <c r="AD673" i="1"/>
  <c r="AK672" i="1"/>
  <c r="AJ672" i="1"/>
  <c r="AI672" i="1"/>
  <c r="AH672" i="1"/>
  <c r="AG672" i="1"/>
  <c r="AF672" i="1"/>
  <c r="AE672" i="1"/>
  <c r="AD672" i="1"/>
  <c r="AK671" i="1"/>
  <c r="AJ671" i="1"/>
  <c r="AI671" i="1"/>
  <c r="AH671" i="1"/>
  <c r="AG671" i="1"/>
  <c r="AF671" i="1"/>
  <c r="AE671" i="1"/>
  <c r="AD671" i="1"/>
  <c r="AK670" i="1"/>
  <c r="AJ670" i="1"/>
  <c r="AI670" i="1"/>
  <c r="AH670" i="1"/>
  <c r="AG670" i="1"/>
  <c r="AF670" i="1"/>
  <c r="AE670" i="1"/>
  <c r="AD670" i="1"/>
  <c r="AK669" i="1"/>
  <c r="AJ669" i="1"/>
  <c r="AI669" i="1"/>
  <c r="AH669" i="1"/>
  <c r="AG669" i="1"/>
  <c r="AF669" i="1"/>
  <c r="AE669" i="1"/>
  <c r="AD669" i="1"/>
  <c r="AK668" i="1"/>
  <c r="AJ668" i="1"/>
  <c r="AI668" i="1"/>
  <c r="AH668" i="1"/>
  <c r="AG668" i="1"/>
  <c r="AF668" i="1"/>
  <c r="AE668" i="1"/>
  <c r="AD668" i="1"/>
  <c r="AK667" i="1"/>
  <c r="AJ667" i="1"/>
  <c r="AI667" i="1"/>
  <c r="AH667" i="1"/>
  <c r="AG667" i="1"/>
  <c r="AF667" i="1"/>
  <c r="AE667" i="1"/>
  <c r="AD667" i="1"/>
  <c r="AK666" i="1"/>
  <c r="AJ666" i="1"/>
  <c r="AI666" i="1"/>
  <c r="AH666" i="1"/>
  <c r="AG666" i="1"/>
  <c r="AF666" i="1"/>
  <c r="AE666" i="1"/>
  <c r="AD666" i="1"/>
  <c r="AK665" i="1"/>
  <c r="AJ665" i="1"/>
  <c r="AI665" i="1"/>
  <c r="AH665" i="1"/>
  <c r="AG665" i="1"/>
  <c r="AF665" i="1"/>
  <c r="AE665" i="1"/>
  <c r="AD665" i="1"/>
  <c r="AK664" i="1"/>
  <c r="AJ664" i="1"/>
  <c r="AI664" i="1"/>
  <c r="AH664" i="1"/>
  <c r="AG664" i="1"/>
  <c r="AF664" i="1"/>
  <c r="AE664" i="1"/>
  <c r="AD664" i="1"/>
  <c r="AK663" i="1"/>
  <c r="AJ663" i="1"/>
  <c r="AI663" i="1"/>
  <c r="AH663" i="1"/>
  <c r="AG663" i="1"/>
  <c r="AF663" i="1"/>
  <c r="AE663" i="1"/>
  <c r="AD663" i="1"/>
  <c r="AK662" i="1"/>
  <c r="AJ662" i="1"/>
  <c r="AI662" i="1"/>
  <c r="AH662" i="1"/>
  <c r="AG662" i="1"/>
  <c r="AF662" i="1"/>
  <c r="AE662" i="1"/>
  <c r="AD662" i="1"/>
  <c r="AK661" i="1"/>
  <c r="AJ661" i="1"/>
  <c r="AI661" i="1"/>
  <c r="AH661" i="1"/>
  <c r="AG661" i="1"/>
  <c r="AF661" i="1"/>
  <c r="AE661" i="1"/>
  <c r="AD661" i="1"/>
  <c r="AK660" i="1"/>
  <c r="AJ660" i="1"/>
  <c r="AI660" i="1"/>
  <c r="AH660" i="1"/>
  <c r="AG660" i="1"/>
  <c r="AF660" i="1"/>
  <c r="AE660" i="1"/>
  <c r="AD660" i="1"/>
  <c r="AK659" i="1"/>
  <c r="AJ659" i="1"/>
  <c r="AI659" i="1"/>
  <c r="AH659" i="1"/>
  <c r="AG659" i="1"/>
  <c r="AF659" i="1"/>
  <c r="AE659" i="1"/>
  <c r="AD659" i="1"/>
  <c r="AK658" i="1"/>
  <c r="AJ658" i="1"/>
  <c r="AI658" i="1"/>
  <c r="AH658" i="1"/>
  <c r="AG658" i="1"/>
  <c r="AF658" i="1"/>
  <c r="AE658" i="1"/>
  <c r="AD658" i="1"/>
  <c r="AK657" i="1"/>
  <c r="AJ657" i="1"/>
  <c r="AI657" i="1"/>
  <c r="AH657" i="1"/>
  <c r="AG657" i="1"/>
  <c r="AF657" i="1"/>
  <c r="AE657" i="1"/>
  <c r="AD657" i="1"/>
  <c r="AK656" i="1"/>
  <c r="AJ656" i="1"/>
  <c r="AI656" i="1"/>
  <c r="AH656" i="1"/>
  <c r="AG656" i="1"/>
  <c r="AF656" i="1"/>
  <c r="AE656" i="1"/>
  <c r="AD656" i="1"/>
  <c r="AK655" i="1"/>
  <c r="AJ655" i="1"/>
  <c r="AI655" i="1"/>
  <c r="AH655" i="1"/>
  <c r="AG655" i="1"/>
  <c r="AF655" i="1"/>
  <c r="AE655" i="1"/>
  <c r="AD655" i="1"/>
  <c r="AK654" i="1"/>
  <c r="AJ654" i="1"/>
  <c r="AI654" i="1"/>
  <c r="AH654" i="1"/>
  <c r="AG654" i="1"/>
  <c r="AF654" i="1"/>
  <c r="AE654" i="1"/>
  <c r="AD654" i="1"/>
  <c r="AK653" i="1"/>
  <c r="AJ653" i="1"/>
  <c r="AI653" i="1"/>
  <c r="AH653" i="1"/>
  <c r="AG653" i="1"/>
  <c r="AF653" i="1"/>
  <c r="AE653" i="1"/>
  <c r="AD653" i="1"/>
  <c r="AK652" i="1"/>
  <c r="AJ652" i="1"/>
  <c r="AI652" i="1"/>
  <c r="AH652" i="1"/>
  <c r="AG652" i="1"/>
  <c r="AF652" i="1"/>
  <c r="AE652" i="1"/>
  <c r="AD652" i="1"/>
  <c r="AK651" i="1"/>
  <c r="AJ651" i="1"/>
  <c r="AI651" i="1"/>
  <c r="AH651" i="1"/>
  <c r="AG651" i="1"/>
  <c r="AF651" i="1"/>
  <c r="AE651" i="1"/>
  <c r="AD651" i="1"/>
  <c r="AK650" i="1"/>
  <c r="AJ650" i="1"/>
  <c r="AI650" i="1"/>
  <c r="AH650" i="1"/>
  <c r="AG650" i="1"/>
  <c r="AF650" i="1"/>
  <c r="AE650" i="1"/>
  <c r="AD650" i="1"/>
  <c r="AK649" i="1"/>
  <c r="AJ649" i="1"/>
  <c r="AI649" i="1"/>
  <c r="AH649" i="1"/>
  <c r="AG649" i="1"/>
  <c r="AF649" i="1"/>
  <c r="AE649" i="1"/>
  <c r="AD649" i="1"/>
  <c r="AK648" i="1"/>
  <c r="AJ648" i="1"/>
  <c r="AI648" i="1"/>
  <c r="AH648" i="1"/>
  <c r="AG648" i="1"/>
  <c r="AF648" i="1"/>
  <c r="AE648" i="1"/>
  <c r="AD648" i="1"/>
  <c r="AK647" i="1"/>
  <c r="AJ647" i="1"/>
  <c r="AI647" i="1"/>
  <c r="AH647" i="1"/>
  <c r="AG647" i="1"/>
  <c r="AF647" i="1"/>
  <c r="AE647" i="1"/>
  <c r="AD647" i="1"/>
  <c r="AK646" i="1"/>
  <c r="AJ646" i="1"/>
  <c r="AI646" i="1"/>
  <c r="AH646" i="1"/>
  <c r="AG646" i="1"/>
  <c r="AF646" i="1"/>
  <c r="AE646" i="1"/>
  <c r="AD646" i="1"/>
  <c r="AK645" i="1"/>
  <c r="AJ645" i="1"/>
  <c r="AI645" i="1"/>
  <c r="AH645" i="1"/>
  <c r="AG645" i="1"/>
  <c r="AF645" i="1"/>
  <c r="AE645" i="1"/>
  <c r="AD645" i="1"/>
  <c r="AK644" i="1"/>
  <c r="AJ644" i="1"/>
  <c r="AI644" i="1"/>
  <c r="AH644" i="1"/>
  <c r="AG644" i="1"/>
  <c r="AF644" i="1"/>
  <c r="AE644" i="1"/>
  <c r="AD644" i="1"/>
  <c r="AK643" i="1"/>
  <c r="AJ643" i="1"/>
  <c r="AI643" i="1"/>
  <c r="AH643" i="1"/>
  <c r="AG643" i="1"/>
  <c r="AF643" i="1"/>
  <c r="AE643" i="1"/>
  <c r="AD643" i="1"/>
  <c r="AK642" i="1"/>
  <c r="AJ642" i="1"/>
  <c r="AI642" i="1"/>
  <c r="AH642" i="1"/>
  <c r="AG642" i="1"/>
  <c r="AF642" i="1"/>
  <c r="AE642" i="1"/>
  <c r="AD642" i="1"/>
  <c r="AK641" i="1"/>
  <c r="AJ641" i="1"/>
  <c r="AI641" i="1"/>
  <c r="AH641" i="1"/>
  <c r="AG641" i="1"/>
  <c r="AF641" i="1"/>
  <c r="AE641" i="1"/>
  <c r="AD641" i="1"/>
  <c r="AK640" i="1"/>
  <c r="AJ640" i="1"/>
  <c r="AI640" i="1"/>
  <c r="AH640" i="1"/>
  <c r="AG640" i="1"/>
  <c r="AF640" i="1"/>
  <c r="AE640" i="1"/>
  <c r="AD640" i="1"/>
  <c r="AK639" i="1"/>
  <c r="AJ639" i="1"/>
  <c r="AI639" i="1"/>
  <c r="AH639" i="1"/>
  <c r="AG639" i="1"/>
  <c r="AF639" i="1"/>
  <c r="AE639" i="1"/>
  <c r="AD639" i="1"/>
  <c r="AK638" i="1"/>
  <c r="AJ638" i="1"/>
  <c r="AI638" i="1"/>
  <c r="AH638" i="1"/>
  <c r="AG638" i="1"/>
  <c r="AF638" i="1"/>
  <c r="AE638" i="1"/>
  <c r="AD638" i="1"/>
  <c r="AK637" i="1"/>
  <c r="AJ637" i="1"/>
  <c r="AI637" i="1"/>
  <c r="AH637" i="1"/>
  <c r="AG637" i="1"/>
  <c r="AF637" i="1"/>
  <c r="AE637" i="1"/>
  <c r="AD637" i="1"/>
  <c r="AK636" i="1"/>
  <c r="AJ636" i="1"/>
  <c r="AI636" i="1"/>
  <c r="AH636" i="1"/>
  <c r="AG636" i="1"/>
  <c r="AF636" i="1"/>
  <c r="AE636" i="1"/>
  <c r="AD636" i="1"/>
  <c r="AK635" i="1"/>
  <c r="AJ635" i="1"/>
  <c r="AI635" i="1"/>
  <c r="AH635" i="1"/>
  <c r="AG635" i="1"/>
  <c r="AF635" i="1"/>
  <c r="AE635" i="1"/>
  <c r="AD635" i="1"/>
  <c r="AK634" i="1"/>
  <c r="AJ634" i="1"/>
  <c r="AI634" i="1"/>
  <c r="AH634" i="1"/>
  <c r="AG634" i="1"/>
  <c r="AF634" i="1"/>
  <c r="AE634" i="1"/>
  <c r="AD634" i="1"/>
  <c r="AK633" i="1"/>
  <c r="AJ633" i="1"/>
  <c r="AI633" i="1"/>
  <c r="AH633" i="1"/>
  <c r="AG633" i="1"/>
  <c r="AF633" i="1"/>
  <c r="AE633" i="1"/>
  <c r="AD633" i="1"/>
  <c r="AK632" i="1"/>
  <c r="AJ632" i="1"/>
  <c r="AI632" i="1"/>
  <c r="AH632" i="1"/>
  <c r="AG632" i="1"/>
  <c r="AF632" i="1"/>
  <c r="AE632" i="1"/>
  <c r="AD632" i="1"/>
  <c r="AK631" i="1"/>
  <c r="AJ631" i="1"/>
  <c r="AI631" i="1"/>
  <c r="AH631" i="1"/>
  <c r="AG631" i="1"/>
  <c r="AF631" i="1"/>
  <c r="AE631" i="1"/>
  <c r="AD631" i="1"/>
  <c r="AK630" i="1"/>
  <c r="AJ630" i="1"/>
  <c r="AI630" i="1"/>
  <c r="AH630" i="1"/>
  <c r="AG630" i="1"/>
  <c r="AF630" i="1"/>
  <c r="AE630" i="1"/>
  <c r="AD630" i="1"/>
  <c r="AK629" i="1"/>
  <c r="AJ629" i="1"/>
  <c r="AI629" i="1"/>
  <c r="AH629" i="1"/>
  <c r="AG629" i="1"/>
  <c r="AF629" i="1"/>
  <c r="AE629" i="1"/>
  <c r="AD629" i="1"/>
  <c r="AK628" i="1"/>
  <c r="AJ628" i="1"/>
  <c r="AI628" i="1"/>
  <c r="AH628" i="1"/>
  <c r="AG628" i="1"/>
  <c r="AF628" i="1"/>
  <c r="AE628" i="1"/>
  <c r="AD628" i="1"/>
  <c r="AK627" i="1"/>
  <c r="AJ627" i="1"/>
  <c r="AI627" i="1"/>
  <c r="AH627" i="1"/>
  <c r="AG627" i="1"/>
  <c r="AF627" i="1"/>
  <c r="AE627" i="1"/>
  <c r="AD627" i="1"/>
  <c r="AK626" i="1"/>
  <c r="AJ626" i="1"/>
  <c r="AI626" i="1"/>
  <c r="AH626" i="1"/>
  <c r="AG626" i="1"/>
  <c r="AF626" i="1"/>
  <c r="AE626" i="1"/>
  <c r="AD626" i="1"/>
  <c r="AK625" i="1"/>
  <c r="AJ625" i="1"/>
  <c r="AI625" i="1"/>
  <c r="AH625" i="1"/>
  <c r="AG625" i="1"/>
  <c r="AF625" i="1"/>
  <c r="AE625" i="1"/>
  <c r="AD625" i="1"/>
  <c r="AK624" i="1"/>
  <c r="AJ624" i="1"/>
  <c r="AI624" i="1"/>
  <c r="AH624" i="1"/>
  <c r="AG624" i="1"/>
  <c r="AF624" i="1"/>
  <c r="AE624" i="1"/>
  <c r="AD624" i="1"/>
  <c r="AK623" i="1"/>
  <c r="AJ623" i="1"/>
  <c r="AI623" i="1"/>
  <c r="AH623" i="1"/>
  <c r="AG623" i="1"/>
  <c r="AF623" i="1"/>
  <c r="AE623" i="1"/>
  <c r="AD623" i="1"/>
  <c r="AK622" i="1"/>
  <c r="AJ622" i="1"/>
  <c r="AI622" i="1"/>
  <c r="AH622" i="1"/>
  <c r="AG622" i="1"/>
  <c r="AF622" i="1"/>
  <c r="AE622" i="1"/>
  <c r="AD622" i="1"/>
  <c r="AK621" i="1"/>
  <c r="AJ621" i="1"/>
  <c r="AI621" i="1"/>
  <c r="AH621" i="1"/>
  <c r="AG621" i="1"/>
  <c r="AF621" i="1"/>
  <c r="AE621" i="1"/>
  <c r="AD621" i="1"/>
  <c r="AK620" i="1"/>
  <c r="AJ620" i="1"/>
  <c r="AI620" i="1"/>
  <c r="AH620" i="1"/>
  <c r="AG620" i="1"/>
  <c r="AF620" i="1"/>
  <c r="AE620" i="1"/>
  <c r="AD620" i="1"/>
  <c r="AK619" i="1"/>
  <c r="AJ619" i="1"/>
  <c r="AI619" i="1"/>
  <c r="AH619" i="1"/>
  <c r="AG619" i="1"/>
  <c r="AF619" i="1"/>
  <c r="AE619" i="1"/>
  <c r="AD619" i="1"/>
  <c r="AK618" i="1"/>
  <c r="AJ618" i="1"/>
  <c r="AI618" i="1"/>
  <c r="AH618" i="1"/>
  <c r="AG618" i="1"/>
  <c r="AF618" i="1"/>
  <c r="AE618" i="1"/>
  <c r="AD618" i="1"/>
  <c r="AK617" i="1"/>
  <c r="AJ617" i="1"/>
  <c r="AI617" i="1"/>
  <c r="AH617" i="1"/>
  <c r="AG617" i="1"/>
  <c r="AF617" i="1"/>
  <c r="AE617" i="1"/>
  <c r="AD617" i="1"/>
  <c r="AK616" i="1"/>
  <c r="AJ616" i="1"/>
  <c r="AI616" i="1"/>
  <c r="AH616" i="1"/>
  <c r="AG616" i="1"/>
  <c r="AF616" i="1"/>
  <c r="AE616" i="1"/>
  <c r="AD616" i="1"/>
  <c r="AK615" i="1"/>
  <c r="AJ615" i="1"/>
  <c r="AI615" i="1"/>
  <c r="AH615" i="1"/>
  <c r="AG615" i="1"/>
  <c r="AF615" i="1"/>
  <c r="AE615" i="1"/>
  <c r="AD615" i="1"/>
  <c r="AK614" i="1"/>
  <c r="AJ614" i="1"/>
  <c r="AI614" i="1"/>
  <c r="AH614" i="1"/>
  <c r="AG614" i="1"/>
  <c r="AF614" i="1"/>
  <c r="AE614" i="1"/>
  <c r="AD614" i="1"/>
  <c r="AK613" i="1"/>
  <c r="AJ613" i="1"/>
  <c r="AI613" i="1"/>
  <c r="AH613" i="1"/>
  <c r="AG613" i="1"/>
  <c r="AF613" i="1"/>
  <c r="AE613" i="1"/>
  <c r="AD613" i="1"/>
  <c r="AK612" i="1"/>
  <c r="AJ612" i="1"/>
  <c r="AI612" i="1"/>
  <c r="AH612" i="1"/>
  <c r="AG612" i="1"/>
  <c r="AF612" i="1"/>
  <c r="AE612" i="1"/>
  <c r="AD612" i="1"/>
  <c r="AK611" i="1"/>
  <c r="AJ611" i="1"/>
  <c r="AI611" i="1"/>
  <c r="AH611" i="1"/>
  <c r="AG611" i="1"/>
  <c r="AF611" i="1"/>
  <c r="AE611" i="1"/>
  <c r="AD611" i="1"/>
  <c r="AK610" i="1"/>
  <c r="AJ610" i="1"/>
  <c r="AI610" i="1"/>
  <c r="AH610" i="1"/>
  <c r="AG610" i="1"/>
  <c r="AF610" i="1"/>
  <c r="AE610" i="1"/>
  <c r="AD610" i="1"/>
  <c r="AK609" i="1"/>
  <c r="AJ609" i="1"/>
  <c r="AI609" i="1"/>
  <c r="AH609" i="1"/>
  <c r="AG609" i="1"/>
  <c r="AF609" i="1"/>
  <c r="AE609" i="1"/>
  <c r="AD609" i="1"/>
  <c r="AK608" i="1"/>
  <c r="AJ608" i="1"/>
  <c r="AI608" i="1"/>
  <c r="AH608" i="1"/>
  <c r="AG608" i="1"/>
  <c r="AF608" i="1"/>
  <c r="AE608" i="1"/>
  <c r="AD608" i="1"/>
  <c r="AK607" i="1"/>
  <c r="AJ607" i="1"/>
  <c r="AI607" i="1"/>
  <c r="AH607" i="1"/>
  <c r="AG607" i="1"/>
  <c r="AF607" i="1"/>
  <c r="AE607" i="1"/>
  <c r="AD607" i="1"/>
  <c r="AK606" i="1"/>
  <c r="AJ606" i="1"/>
  <c r="AI606" i="1"/>
  <c r="AH606" i="1"/>
  <c r="AG606" i="1"/>
  <c r="AF606" i="1"/>
  <c r="AE606" i="1"/>
  <c r="AD606" i="1"/>
  <c r="AK605" i="1"/>
  <c r="AJ605" i="1"/>
  <c r="AI605" i="1"/>
  <c r="AH605" i="1"/>
  <c r="AG605" i="1"/>
  <c r="AF605" i="1"/>
  <c r="AE605" i="1"/>
  <c r="AD605" i="1"/>
  <c r="AK604" i="1"/>
  <c r="AJ604" i="1"/>
  <c r="AI604" i="1"/>
  <c r="AH604" i="1"/>
  <c r="AG604" i="1"/>
  <c r="AF604" i="1"/>
  <c r="AE604" i="1"/>
  <c r="AD604" i="1"/>
  <c r="AK603" i="1"/>
  <c r="AJ603" i="1"/>
  <c r="AI603" i="1"/>
  <c r="AH603" i="1"/>
  <c r="AG603" i="1"/>
  <c r="AF603" i="1"/>
  <c r="AE603" i="1"/>
  <c r="AD603" i="1"/>
  <c r="AK602" i="1"/>
  <c r="AJ602" i="1"/>
  <c r="AI602" i="1"/>
  <c r="AH602" i="1"/>
  <c r="AG602" i="1"/>
  <c r="AF602" i="1"/>
  <c r="AE602" i="1"/>
  <c r="AD602" i="1"/>
  <c r="AK601" i="1"/>
  <c r="AJ601" i="1"/>
  <c r="AI601" i="1"/>
  <c r="AH601" i="1"/>
  <c r="AG601" i="1"/>
  <c r="AF601" i="1"/>
  <c r="AE601" i="1"/>
  <c r="AD601" i="1"/>
  <c r="AK600" i="1"/>
  <c r="AJ600" i="1"/>
  <c r="AI600" i="1"/>
  <c r="AH600" i="1"/>
  <c r="AG600" i="1"/>
  <c r="AF600" i="1"/>
  <c r="AE600" i="1"/>
  <c r="AD600" i="1"/>
  <c r="AK599" i="1"/>
  <c r="AJ599" i="1"/>
  <c r="AI599" i="1"/>
  <c r="AH599" i="1"/>
  <c r="AG599" i="1"/>
  <c r="AF599" i="1"/>
  <c r="AE599" i="1"/>
  <c r="AD599" i="1"/>
  <c r="AK598" i="1"/>
  <c r="AJ598" i="1"/>
  <c r="AI598" i="1"/>
  <c r="AH598" i="1"/>
  <c r="AG598" i="1"/>
  <c r="AF598" i="1"/>
  <c r="AE598" i="1"/>
  <c r="AD598" i="1"/>
  <c r="AK597" i="1"/>
  <c r="AJ597" i="1"/>
  <c r="AI597" i="1"/>
  <c r="AH597" i="1"/>
  <c r="AG597" i="1"/>
  <c r="AF597" i="1"/>
  <c r="AE597" i="1"/>
  <c r="AD597" i="1"/>
  <c r="AK596" i="1"/>
  <c r="AJ596" i="1"/>
  <c r="AI596" i="1"/>
  <c r="AH596" i="1"/>
  <c r="AG596" i="1"/>
  <c r="AF596" i="1"/>
  <c r="AE596" i="1"/>
  <c r="AD596" i="1"/>
  <c r="AK595" i="1"/>
  <c r="AJ595" i="1"/>
  <c r="AI595" i="1"/>
  <c r="AH595" i="1"/>
  <c r="AG595" i="1"/>
  <c r="AF595" i="1"/>
  <c r="AE595" i="1"/>
  <c r="AD595" i="1"/>
  <c r="AK594" i="1"/>
  <c r="AJ594" i="1"/>
  <c r="AI594" i="1"/>
  <c r="AH594" i="1"/>
  <c r="AG594" i="1"/>
  <c r="AF594" i="1"/>
  <c r="AE594" i="1"/>
  <c r="AD594" i="1"/>
  <c r="AK593" i="1"/>
  <c r="AJ593" i="1"/>
  <c r="AI593" i="1"/>
  <c r="AH593" i="1"/>
  <c r="AG593" i="1"/>
  <c r="AF593" i="1"/>
  <c r="AE593" i="1"/>
  <c r="AD593" i="1"/>
  <c r="AK592" i="1"/>
  <c r="AJ592" i="1"/>
  <c r="AI592" i="1"/>
  <c r="AH592" i="1"/>
  <c r="AG592" i="1"/>
  <c r="AF592" i="1"/>
  <c r="AE592" i="1"/>
  <c r="AD592" i="1"/>
  <c r="AK591" i="1"/>
  <c r="AJ591" i="1"/>
  <c r="AI591" i="1"/>
  <c r="AH591" i="1"/>
  <c r="AG591" i="1"/>
  <c r="AF591" i="1"/>
  <c r="AE591" i="1"/>
  <c r="AD591" i="1"/>
  <c r="AK590" i="1"/>
  <c r="AJ590" i="1"/>
  <c r="AI590" i="1"/>
  <c r="AH590" i="1"/>
  <c r="AG590" i="1"/>
  <c r="AF590" i="1"/>
  <c r="AE590" i="1"/>
  <c r="AD590" i="1"/>
  <c r="AK589" i="1"/>
  <c r="AJ589" i="1"/>
  <c r="AI589" i="1"/>
  <c r="AH589" i="1"/>
  <c r="AG589" i="1"/>
  <c r="AF589" i="1"/>
  <c r="AE589" i="1"/>
  <c r="AD589" i="1"/>
  <c r="AK588" i="1"/>
  <c r="AJ588" i="1"/>
  <c r="AI588" i="1"/>
  <c r="AH588" i="1"/>
  <c r="AG588" i="1"/>
  <c r="AF588" i="1"/>
  <c r="AE588" i="1"/>
  <c r="AD588" i="1"/>
  <c r="AK587" i="1"/>
  <c r="AJ587" i="1"/>
  <c r="AI587" i="1"/>
  <c r="AH587" i="1"/>
  <c r="AG587" i="1"/>
  <c r="AF587" i="1"/>
  <c r="AE587" i="1"/>
  <c r="AD587" i="1"/>
  <c r="AK586" i="1"/>
  <c r="AJ586" i="1"/>
  <c r="AI586" i="1"/>
  <c r="AH586" i="1"/>
  <c r="AG586" i="1"/>
  <c r="AF586" i="1"/>
  <c r="AE586" i="1"/>
  <c r="AD586" i="1"/>
  <c r="AK585" i="1"/>
  <c r="AJ585" i="1"/>
  <c r="AI585" i="1"/>
  <c r="AH585" i="1"/>
  <c r="AG585" i="1"/>
  <c r="AF585" i="1"/>
  <c r="AE585" i="1"/>
  <c r="AD585" i="1"/>
  <c r="AK584" i="1"/>
  <c r="AJ584" i="1"/>
  <c r="AI584" i="1"/>
  <c r="AH584" i="1"/>
  <c r="AG584" i="1"/>
  <c r="AF584" i="1"/>
  <c r="AE584" i="1"/>
  <c r="AD584" i="1"/>
  <c r="AK583" i="1"/>
  <c r="AJ583" i="1"/>
  <c r="AI583" i="1"/>
  <c r="AH583" i="1"/>
  <c r="AG583" i="1"/>
  <c r="AF583" i="1"/>
  <c r="AE583" i="1"/>
  <c r="AD583" i="1"/>
  <c r="AK582" i="1"/>
  <c r="AJ582" i="1"/>
  <c r="AI582" i="1"/>
  <c r="AH582" i="1"/>
  <c r="AG582" i="1"/>
  <c r="AF582" i="1"/>
  <c r="AE582" i="1"/>
  <c r="AD582" i="1"/>
  <c r="AK581" i="1"/>
  <c r="AJ581" i="1"/>
  <c r="AI581" i="1"/>
  <c r="AH581" i="1"/>
  <c r="AG581" i="1"/>
  <c r="AF581" i="1"/>
  <c r="AE581" i="1"/>
  <c r="AD581" i="1"/>
  <c r="AK580" i="1"/>
  <c r="AJ580" i="1"/>
  <c r="AI580" i="1"/>
  <c r="AH580" i="1"/>
  <c r="AG580" i="1"/>
  <c r="AF580" i="1"/>
  <c r="AE580" i="1"/>
  <c r="AD580" i="1"/>
  <c r="AK579" i="1"/>
  <c r="AJ579" i="1"/>
  <c r="AI579" i="1"/>
  <c r="AH579" i="1"/>
  <c r="AG579" i="1"/>
  <c r="AF579" i="1"/>
  <c r="AE579" i="1"/>
  <c r="AD579" i="1"/>
  <c r="AK578" i="1"/>
  <c r="AJ578" i="1"/>
  <c r="AI578" i="1"/>
  <c r="AH578" i="1"/>
  <c r="AG578" i="1"/>
  <c r="AF578" i="1"/>
  <c r="AE578" i="1"/>
  <c r="AD578" i="1"/>
  <c r="AK577" i="1"/>
  <c r="AJ577" i="1"/>
  <c r="AI577" i="1"/>
  <c r="AH577" i="1"/>
  <c r="AG577" i="1"/>
  <c r="AF577" i="1"/>
  <c r="AE577" i="1"/>
  <c r="AD577" i="1"/>
  <c r="AK576" i="1"/>
  <c r="AJ576" i="1"/>
  <c r="AI576" i="1"/>
  <c r="AH576" i="1"/>
  <c r="AG576" i="1"/>
  <c r="AF576" i="1"/>
  <c r="AE576" i="1"/>
  <c r="AD576" i="1"/>
  <c r="AK575" i="1"/>
  <c r="AJ575" i="1"/>
  <c r="AI575" i="1"/>
  <c r="AH575" i="1"/>
  <c r="AG575" i="1"/>
  <c r="AF575" i="1"/>
  <c r="AE575" i="1"/>
  <c r="AD575" i="1"/>
  <c r="AK574" i="1"/>
  <c r="AJ574" i="1"/>
  <c r="AI574" i="1"/>
  <c r="AH574" i="1"/>
  <c r="AG574" i="1"/>
  <c r="AF574" i="1"/>
  <c r="AE574" i="1"/>
  <c r="AD574" i="1"/>
  <c r="AK573" i="1"/>
  <c r="AJ573" i="1"/>
  <c r="AI573" i="1"/>
  <c r="AH573" i="1"/>
  <c r="AG573" i="1"/>
  <c r="AF573" i="1"/>
  <c r="AE573" i="1"/>
  <c r="AD573" i="1"/>
  <c r="AK572" i="1"/>
  <c r="AJ572" i="1"/>
  <c r="AI572" i="1"/>
  <c r="AH572" i="1"/>
  <c r="AG572" i="1"/>
  <c r="AF572" i="1"/>
  <c r="AE572" i="1"/>
  <c r="AD572" i="1"/>
  <c r="AK571" i="1"/>
  <c r="AJ571" i="1"/>
  <c r="AI571" i="1"/>
  <c r="AH571" i="1"/>
  <c r="AG571" i="1"/>
  <c r="AF571" i="1"/>
  <c r="AE571" i="1"/>
  <c r="AD571" i="1"/>
  <c r="AK570" i="1"/>
  <c r="AJ570" i="1"/>
  <c r="AI570" i="1"/>
  <c r="AH570" i="1"/>
  <c r="AG570" i="1"/>
  <c r="AF570" i="1"/>
  <c r="AE570" i="1"/>
  <c r="AD570" i="1"/>
  <c r="AK569" i="1"/>
  <c r="AJ569" i="1"/>
  <c r="AI569" i="1"/>
  <c r="AH569" i="1"/>
  <c r="AG569" i="1"/>
  <c r="AF569" i="1"/>
  <c r="AE569" i="1"/>
  <c r="AD569" i="1"/>
  <c r="AK568" i="1"/>
  <c r="AJ568" i="1"/>
  <c r="AI568" i="1"/>
  <c r="AH568" i="1"/>
  <c r="AG568" i="1"/>
  <c r="AF568" i="1"/>
  <c r="AE568" i="1"/>
  <c r="AD568" i="1"/>
  <c r="AK567" i="1"/>
  <c r="AJ567" i="1"/>
  <c r="AI567" i="1"/>
  <c r="AH567" i="1"/>
  <c r="AG567" i="1"/>
  <c r="AF567" i="1"/>
  <c r="AE567" i="1"/>
  <c r="AD567" i="1"/>
  <c r="AK566" i="1"/>
  <c r="AJ566" i="1"/>
  <c r="AI566" i="1"/>
  <c r="AH566" i="1"/>
  <c r="AG566" i="1"/>
  <c r="AF566" i="1"/>
  <c r="AE566" i="1"/>
  <c r="AD566" i="1"/>
  <c r="AK565" i="1"/>
  <c r="AJ565" i="1"/>
  <c r="AI565" i="1"/>
  <c r="AH565" i="1"/>
  <c r="AG565" i="1"/>
  <c r="AF565" i="1"/>
  <c r="AE565" i="1"/>
  <c r="AD565" i="1"/>
  <c r="AK564" i="1"/>
  <c r="AJ564" i="1"/>
  <c r="AI564" i="1"/>
  <c r="AH564" i="1"/>
  <c r="AG564" i="1"/>
  <c r="AF564" i="1"/>
  <c r="AE564" i="1"/>
  <c r="AD564" i="1"/>
  <c r="AK563" i="1"/>
  <c r="AJ563" i="1"/>
  <c r="AI563" i="1"/>
  <c r="AH563" i="1"/>
  <c r="AG563" i="1"/>
  <c r="AF563" i="1"/>
  <c r="AE563" i="1"/>
  <c r="AD563" i="1"/>
  <c r="AK562" i="1"/>
  <c r="AJ562" i="1"/>
  <c r="AI562" i="1"/>
  <c r="AH562" i="1"/>
  <c r="AG562" i="1"/>
  <c r="AF562" i="1"/>
  <c r="AE562" i="1"/>
  <c r="AD562" i="1"/>
  <c r="AK561" i="1"/>
  <c r="AJ561" i="1"/>
  <c r="AI561" i="1"/>
  <c r="AH561" i="1"/>
  <c r="AG561" i="1"/>
  <c r="AF561" i="1"/>
  <c r="AE561" i="1"/>
  <c r="AD561" i="1"/>
  <c r="AK560" i="1"/>
  <c r="AJ560" i="1"/>
  <c r="AI560" i="1"/>
  <c r="AH560" i="1"/>
  <c r="AG560" i="1"/>
  <c r="AF560" i="1"/>
  <c r="AE560" i="1"/>
  <c r="AD560" i="1"/>
  <c r="AK559" i="1"/>
  <c r="AJ559" i="1"/>
  <c r="AI559" i="1"/>
  <c r="AH559" i="1"/>
  <c r="AG559" i="1"/>
  <c r="AF559" i="1"/>
  <c r="AE559" i="1"/>
  <c r="AD559" i="1"/>
  <c r="AK558" i="1"/>
  <c r="AJ558" i="1"/>
  <c r="AI558" i="1"/>
  <c r="AH558" i="1"/>
  <c r="AG558" i="1"/>
  <c r="AF558" i="1"/>
  <c r="AE558" i="1"/>
  <c r="AD558" i="1"/>
  <c r="AK557" i="1"/>
  <c r="AJ557" i="1"/>
  <c r="AI557" i="1"/>
  <c r="AH557" i="1"/>
  <c r="AG557" i="1"/>
  <c r="AF557" i="1"/>
  <c r="AE557" i="1"/>
  <c r="AD557" i="1"/>
  <c r="AK556" i="1"/>
  <c r="AJ556" i="1"/>
  <c r="AI556" i="1"/>
  <c r="AH556" i="1"/>
  <c r="AG556" i="1"/>
  <c r="AF556" i="1"/>
  <c r="AE556" i="1"/>
  <c r="AD556" i="1"/>
  <c r="AK555" i="1"/>
  <c r="AJ555" i="1"/>
  <c r="AI555" i="1"/>
  <c r="AH555" i="1"/>
  <c r="AG555" i="1"/>
  <c r="AF555" i="1"/>
  <c r="AE555" i="1"/>
  <c r="AD555" i="1"/>
  <c r="AK554" i="1"/>
  <c r="AJ554" i="1"/>
  <c r="AI554" i="1"/>
  <c r="AH554" i="1"/>
  <c r="AG554" i="1"/>
  <c r="AF554" i="1"/>
  <c r="AE554" i="1"/>
  <c r="AD554" i="1"/>
  <c r="AK553" i="1"/>
  <c r="AJ553" i="1"/>
  <c r="AI553" i="1"/>
  <c r="AH553" i="1"/>
  <c r="AG553" i="1"/>
  <c r="AF553" i="1"/>
  <c r="AE553" i="1"/>
  <c r="AD553" i="1"/>
  <c r="AK552" i="1"/>
  <c r="AJ552" i="1"/>
  <c r="AI552" i="1"/>
  <c r="AH552" i="1"/>
  <c r="AG552" i="1"/>
  <c r="AF552" i="1"/>
  <c r="AE552" i="1"/>
  <c r="AD552" i="1"/>
  <c r="AK551" i="1"/>
  <c r="AJ551" i="1"/>
  <c r="AI551" i="1"/>
  <c r="AH551" i="1"/>
  <c r="AG551" i="1"/>
  <c r="AF551" i="1"/>
  <c r="AE551" i="1"/>
  <c r="AD551" i="1"/>
  <c r="AK550" i="1"/>
  <c r="AJ550" i="1"/>
  <c r="AI550" i="1"/>
  <c r="AH550" i="1"/>
  <c r="AG550" i="1"/>
  <c r="AF550" i="1"/>
  <c r="AE550" i="1"/>
  <c r="AD550" i="1"/>
  <c r="AK549" i="1"/>
  <c r="AJ549" i="1"/>
  <c r="AI549" i="1"/>
  <c r="AH549" i="1"/>
  <c r="AG549" i="1"/>
  <c r="AF549" i="1"/>
  <c r="AE549" i="1"/>
  <c r="AD549" i="1"/>
  <c r="AK548" i="1"/>
  <c r="AJ548" i="1"/>
  <c r="AI548" i="1"/>
  <c r="AH548" i="1"/>
  <c r="AG548" i="1"/>
  <c r="AF548" i="1"/>
  <c r="AE548" i="1"/>
  <c r="AD548" i="1"/>
  <c r="AK547" i="1"/>
  <c r="AJ547" i="1"/>
  <c r="AI547" i="1"/>
  <c r="AH547" i="1"/>
  <c r="AG547" i="1"/>
  <c r="AF547" i="1"/>
  <c r="AE547" i="1"/>
  <c r="AD547" i="1"/>
  <c r="AK546" i="1"/>
  <c r="AJ546" i="1"/>
  <c r="AI546" i="1"/>
  <c r="AH546" i="1"/>
  <c r="AG546" i="1"/>
  <c r="AF546" i="1"/>
  <c r="AE546" i="1"/>
  <c r="AD546" i="1"/>
  <c r="AK545" i="1"/>
  <c r="AJ545" i="1"/>
  <c r="AI545" i="1"/>
  <c r="AH545" i="1"/>
  <c r="AG545" i="1"/>
  <c r="AF545" i="1"/>
  <c r="AE545" i="1"/>
  <c r="AD545" i="1"/>
  <c r="AK544" i="1"/>
  <c r="AJ544" i="1"/>
  <c r="AI544" i="1"/>
  <c r="AH544" i="1"/>
  <c r="AG544" i="1"/>
  <c r="AF544" i="1"/>
  <c r="AE544" i="1"/>
  <c r="AD544" i="1"/>
  <c r="AK543" i="1"/>
  <c r="AJ543" i="1"/>
  <c r="AI543" i="1"/>
  <c r="AH543" i="1"/>
  <c r="AG543" i="1"/>
  <c r="AF543" i="1"/>
  <c r="AE543" i="1"/>
  <c r="AD543" i="1"/>
  <c r="AK542" i="1"/>
  <c r="AJ542" i="1"/>
  <c r="AI542" i="1"/>
  <c r="AH542" i="1"/>
  <c r="AG542" i="1"/>
  <c r="AF542" i="1"/>
  <c r="AE542" i="1"/>
  <c r="AD542" i="1"/>
  <c r="AK541" i="1"/>
  <c r="AJ541" i="1"/>
  <c r="AI541" i="1"/>
  <c r="AH541" i="1"/>
  <c r="AG541" i="1"/>
  <c r="AF541" i="1"/>
  <c r="AE541" i="1"/>
  <c r="AD541" i="1"/>
  <c r="AK540" i="1"/>
  <c r="AJ540" i="1"/>
  <c r="AI540" i="1"/>
  <c r="AH540" i="1"/>
  <c r="AG540" i="1"/>
  <c r="AF540" i="1"/>
  <c r="AE540" i="1"/>
  <c r="AD540" i="1"/>
  <c r="AK539" i="1"/>
  <c r="AJ539" i="1"/>
  <c r="AI539" i="1"/>
  <c r="AH539" i="1"/>
  <c r="AG539" i="1"/>
  <c r="AF539" i="1"/>
  <c r="AE539" i="1"/>
  <c r="AD539" i="1"/>
  <c r="AK538" i="1"/>
  <c r="AJ538" i="1"/>
  <c r="AI538" i="1"/>
  <c r="AH538" i="1"/>
  <c r="AG538" i="1"/>
  <c r="AF538" i="1"/>
  <c r="AE538" i="1"/>
  <c r="AD538" i="1"/>
  <c r="AK537" i="1"/>
  <c r="AJ537" i="1"/>
  <c r="AI537" i="1"/>
  <c r="AH537" i="1"/>
  <c r="AG537" i="1"/>
  <c r="AF537" i="1"/>
  <c r="AE537" i="1"/>
  <c r="AD537" i="1"/>
  <c r="AK536" i="1"/>
  <c r="AJ536" i="1"/>
  <c r="AI536" i="1"/>
  <c r="AH536" i="1"/>
  <c r="AG536" i="1"/>
  <c r="AF536" i="1"/>
  <c r="AE536" i="1"/>
  <c r="AD536" i="1"/>
  <c r="AK535" i="1"/>
  <c r="AJ535" i="1"/>
  <c r="AI535" i="1"/>
  <c r="AH535" i="1"/>
  <c r="AG535" i="1"/>
  <c r="AF535" i="1"/>
  <c r="AE535" i="1"/>
  <c r="AD535" i="1"/>
  <c r="AK534" i="1"/>
  <c r="AJ534" i="1"/>
  <c r="AI534" i="1"/>
  <c r="AH534" i="1"/>
  <c r="AG534" i="1"/>
  <c r="AF534" i="1"/>
  <c r="AE534" i="1"/>
  <c r="AD534" i="1"/>
  <c r="AK533" i="1"/>
  <c r="AJ533" i="1"/>
  <c r="AI533" i="1"/>
  <c r="AH533" i="1"/>
  <c r="AG533" i="1"/>
  <c r="AF533" i="1"/>
  <c r="AE533" i="1"/>
  <c r="AD533" i="1"/>
  <c r="AK532" i="1"/>
  <c r="AJ532" i="1"/>
  <c r="AI532" i="1"/>
  <c r="AH532" i="1"/>
  <c r="AG532" i="1"/>
  <c r="AF532" i="1"/>
  <c r="AE532" i="1"/>
  <c r="AD532" i="1"/>
  <c r="AK531" i="1"/>
  <c r="AJ531" i="1"/>
  <c r="AI531" i="1"/>
  <c r="AH531" i="1"/>
  <c r="AG531" i="1"/>
  <c r="AF531" i="1"/>
  <c r="AE531" i="1"/>
  <c r="AD531" i="1"/>
  <c r="AK530" i="1"/>
  <c r="AJ530" i="1"/>
  <c r="AI530" i="1"/>
  <c r="AH530" i="1"/>
  <c r="AG530" i="1"/>
  <c r="AF530" i="1"/>
  <c r="AE530" i="1"/>
  <c r="AD530" i="1"/>
  <c r="AK529" i="1"/>
  <c r="AJ529" i="1"/>
  <c r="AI529" i="1"/>
  <c r="AH529" i="1"/>
  <c r="AG529" i="1"/>
  <c r="AF529" i="1"/>
  <c r="AE529" i="1"/>
  <c r="AD529" i="1"/>
  <c r="AK528" i="1"/>
  <c r="AJ528" i="1"/>
  <c r="AI528" i="1"/>
  <c r="AH528" i="1"/>
  <c r="AG528" i="1"/>
  <c r="AF528" i="1"/>
  <c r="AE528" i="1"/>
  <c r="AD528" i="1"/>
  <c r="AK527" i="1"/>
  <c r="AJ527" i="1"/>
  <c r="AI527" i="1"/>
  <c r="AH527" i="1"/>
  <c r="AG527" i="1"/>
  <c r="AF527" i="1"/>
  <c r="AE527" i="1"/>
  <c r="AD527" i="1"/>
  <c r="AK526" i="1"/>
  <c r="AJ526" i="1"/>
  <c r="AI526" i="1"/>
  <c r="AH526" i="1"/>
  <c r="AG526" i="1"/>
  <c r="AF526" i="1"/>
  <c r="AE526" i="1"/>
  <c r="AD526" i="1"/>
  <c r="AK525" i="1"/>
  <c r="AJ525" i="1"/>
  <c r="AI525" i="1"/>
  <c r="AH525" i="1"/>
  <c r="AG525" i="1"/>
  <c r="AF525" i="1"/>
  <c r="AE525" i="1"/>
  <c r="AD525" i="1"/>
  <c r="AK524" i="1"/>
  <c r="AJ524" i="1"/>
  <c r="AI524" i="1"/>
  <c r="AH524" i="1"/>
  <c r="AG524" i="1"/>
  <c r="AF524" i="1"/>
  <c r="AE524" i="1"/>
  <c r="AD524" i="1"/>
  <c r="AK523" i="1"/>
  <c r="AJ523" i="1"/>
  <c r="AI523" i="1"/>
  <c r="AH523" i="1"/>
  <c r="AG523" i="1"/>
  <c r="AF523" i="1"/>
  <c r="AE523" i="1"/>
  <c r="AD523" i="1"/>
  <c r="AK522" i="1"/>
  <c r="AJ522" i="1"/>
  <c r="AI522" i="1"/>
  <c r="AH522" i="1"/>
  <c r="AG522" i="1"/>
  <c r="AF522" i="1"/>
  <c r="AE522" i="1"/>
  <c r="AD522" i="1"/>
  <c r="AK521" i="1"/>
  <c r="AJ521" i="1"/>
  <c r="AI521" i="1"/>
  <c r="AH521" i="1"/>
  <c r="AG521" i="1"/>
  <c r="AF521" i="1"/>
  <c r="AE521" i="1"/>
  <c r="AD521" i="1"/>
  <c r="AK520" i="1"/>
  <c r="AJ520" i="1"/>
  <c r="AI520" i="1"/>
  <c r="AH520" i="1"/>
  <c r="AG520" i="1"/>
  <c r="AF520" i="1"/>
  <c r="AE520" i="1"/>
  <c r="AD520" i="1"/>
  <c r="AK519" i="1"/>
  <c r="AJ519" i="1"/>
  <c r="AI519" i="1"/>
  <c r="AH519" i="1"/>
  <c r="AG519" i="1"/>
  <c r="AF519" i="1"/>
  <c r="AE519" i="1"/>
  <c r="AD519" i="1"/>
  <c r="AK518" i="1"/>
  <c r="AJ518" i="1"/>
  <c r="AI518" i="1"/>
  <c r="AH518" i="1"/>
  <c r="AG518" i="1"/>
  <c r="AF518" i="1"/>
  <c r="AE518" i="1"/>
  <c r="AD518" i="1"/>
  <c r="AK517" i="1"/>
  <c r="AJ517" i="1"/>
  <c r="AI517" i="1"/>
  <c r="AH517" i="1"/>
  <c r="AG517" i="1"/>
  <c r="AF517" i="1"/>
  <c r="AE517" i="1"/>
  <c r="AD517" i="1"/>
  <c r="AK516" i="1"/>
  <c r="AJ516" i="1"/>
  <c r="AI516" i="1"/>
  <c r="AH516" i="1"/>
  <c r="AG516" i="1"/>
  <c r="AF516" i="1"/>
  <c r="AE516" i="1"/>
  <c r="AD516" i="1"/>
  <c r="AK515" i="1"/>
  <c r="AJ515" i="1"/>
  <c r="AI515" i="1"/>
  <c r="AH515" i="1"/>
  <c r="AG515" i="1"/>
  <c r="AF515" i="1"/>
  <c r="AE515" i="1"/>
  <c r="AD515" i="1"/>
  <c r="AK514" i="1"/>
  <c r="AJ514" i="1"/>
  <c r="AI514" i="1"/>
  <c r="AH514" i="1"/>
  <c r="AG514" i="1"/>
  <c r="AF514" i="1"/>
  <c r="AE514" i="1"/>
  <c r="AD514" i="1"/>
  <c r="AK513" i="1"/>
  <c r="AJ513" i="1"/>
  <c r="AI513" i="1"/>
  <c r="AH513" i="1"/>
  <c r="AG513" i="1"/>
  <c r="AF513" i="1"/>
  <c r="AE513" i="1"/>
  <c r="AD513" i="1"/>
  <c r="AK512" i="1"/>
  <c r="AJ512" i="1"/>
  <c r="AI512" i="1"/>
  <c r="AH512" i="1"/>
  <c r="AG512" i="1"/>
  <c r="AF512" i="1"/>
  <c r="AE512" i="1"/>
  <c r="AD512" i="1"/>
  <c r="AK511" i="1"/>
  <c r="AJ511" i="1"/>
  <c r="AI511" i="1"/>
  <c r="AH511" i="1"/>
  <c r="AG511" i="1"/>
  <c r="AF511" i="1"/>
  <c r="AE511" i="1"/>
  <c r="AD511" i="1"/>
  <c r="AK510" i="1"/>
  <c r="AJ510" i="1"/>
  <c r="AI510" i="1"/>
  <c r="AH510" i="1"/>
  <c r="AG510" i="1"/>
  <c r="AF510" i="1"/>
  <c r="AE510" i="1"/>
  <c r="AD510" i="1"/>
  <c r="AK509" i="1"/>
  <c r="AJ509" i="1"/>
  <c r="AI509" i="1"/>
  <c r="AH509" i="1"/>
  <c r="AG509" i="1"/>
  <c r="AF509" i="1"/>
  <c r="AE509" i="1"/>
  <c r="AD509" i="1"/>
  <c r="AK508" i="1"/>
  <c r="AJ508" i="1"/>
  <c r="AI508" i="1"/>
  <c r="AH508" i="1"/>
  <c r="AG508" i="1"/>
  <c r="AF508" i="1"/>
  <c r="AE508" i="1"/>
  <c r="AD508" i="1"/>
  <c r="AK507" i="1"/>
  <c r="AJ507" i="1"/>
  <c r="AI507" i="1"/>
  <c r="AH507" i="1"/>
  <c r="AG507" i="1"/>
  <c r="AF507" i="1"/>
  <c r="AE507" i="1"/>
  <c r="AD507" i="1"/>
  <c r="AK506" i="1"/>
  <c r="AJ506" i="1"/>
  <c r="AI506" i="1"/>
  <c r="AH506" i="1"/>
  <c r="AG506" i="1"/>
  <c r="AF506" i="1"/>
  <c r="AE506" i="1"/>
  <c r="AD506" i="1"/>
  <c r="AK505" i="1"/>
  <c r="AJ505" i="1"/>
  <c r="AI505" i="1"/>
  <c r="AH505" i="1"/>
  <c r="AG505" i="1"/>
  <c r="AF505" i="1"/>
  <c r="AE505" i="1"/>
  <c r="AD505" i="1"/>
  <c r="AK504" i="1"/>
  <c r="AJ504" i="1"/>
  <c r="AI504" i="1"/>
  <c r="AH504" i="1"/>
  <c r="AG504" i="1"/>
  <c r="AF504" i="1"/>
  <c r="AE504" i="1"/>
  <c r="AD504" i="1"/>
  <c r="AK503" i="1"/>
  <c r="AJ503" i="1"/>
  <c r="AI503" i="1"/>
  <c r="AH503" i="1"/>
  <c r="AG503" i="1"/>
  <c r="AF503" i="1"/>
  <c r="AE503" i="1"/>
  <c r="AD503" i="1"/>
  <c r="AK502" i="1"/>
  <c r="AJ502" i="1"/>
  <c r="AI502" i="1"/>
  <c r="AH502" i="1"/>
  <c r="AG502" i="1"/>
  <c r="AF502" i="1"/>
  <c r="AE502" i="1"/>
  <c r="AD502" i="1"/>
  <c r="AK501" i="1"/>
  <c r="AJ501" i="1"/>
  <c r="AI501" i="1"/>
  <c r="AH501" i="1"/>
  <c r="AG501" i="1"/>
  <c r="AF501" i="1"/>
  <c r="AE501" i="1"/>
  <c r="AD501" i="1"/>
  <c r="AK500" i="1"/>
  <c r="AJ500" i="1"/>
  <c r="AI500" i="1"/>
  <c r="AH500" i="1"/>
  <c r="AG500" i="1"/>
  <c r="AF500" i="1"/>
  <c r="AE500" i="1"/>
  <c r="AD500" i="1"/>
  <c r="AK499" i="1"/>
  <c r="AJ499" i="1"/>
  <c r="AI499" i="1"/>
  <c r="AH499" i="1"/>
  <c r="AG499" i="1"/>
  <c r="AF499" i="1"/>
  <c r="AE499" i="1"/>
  <c r="AD499" i="1"/>
  <c r="AK498" i="1"/>
  <c r="AJ498" i="1"/>
  <c r="AI498" i="1"/>
  <c r="AH498" i="1"/>
  <c r="AG498" i="1"/>
  <c r="AF498" i="1"/>
  <c r="AE498" i="1"/>
  <c r="AD498" i="1"/>
  <c r="AK497" i="1"/>
  <c r="AJ497" i="1"/>
  <c r="AI497" i="1"/>
  <c r="AH497" i="1"/>
  <c r="AG497" i="1"/>
  <c r="AF497" i="1"/>
  <c r="AE497" i="1"/>
  <c r="AD497" i="1"/>
  <c r="AK496" i="1"/>
  <c r="AJ496" i="1"/>
  <c r="AI496" i="1"/>
  <c r="AH496" i="1"/>
  <c r="AG496" i="1"/>
  <c r="AF496" i="1"/>
  <c r="AE496" i="1"/>
  <c r="AD496" i="1"/>
  <c r="AK495" i="1"/>
  <c r="AJ495" i="1"/>
  <c r="AI495" i="1"/>
  <c r="AH495" i="1"/>
  <c r="AG495" i="1"/>
  <c r="AF495" i="1"/>
  <c r="AE495" i="1"/>
  <c r="AD495" i="1"/>
  <c r="AK494" i="1"/>
  <c r="AJ494" i="1"/>
  <c r="AI494" i="1"/>
  <c r="AH494" i="1"/>
  <c r="AG494" i="1"/>
  <c r="AF494" i="1"/>
  <c r="AE494" i="1"/>
  <c r="AD494" i="1"/>
  <c r="AK493" i="1"/>
  <c r="AJ493" i="1"/>
  <c r="AI493" i="1"/>
  <c r="AH493" i="1"/>
  <c r="AG493" i="1"/>
  <c r="AF493" i="1"/>
  <c r="AE493" i="1"/>
  <c r="AD493" i="1"/>
  <c r="AK492" i="1"/>
  <c r="AJ492" i="1"/>
  <c r="AI492" i="1"/>
  <c r="AH492" i="1"/>
  <c r="AG492" i="1"/>
  <c r="AF492" i="1"/>
  <c r="AE492" i="1"/>
  <c r="AD492" i="1"/>
  <c r="AK491" i="1"/>
  <c r="AJ491" i="1"/>
  <c r="AI491" i="1"/>
  <c r="AH491" i="1"/>
  <c r="AG491" i="1"/>
  <c r="AF491" i="1"/>
  <c r="AE491" i="1"/>
  <c r="AD491" i="1"/>
  <c r="AK490" i="1"/>
  <c r="AJ490" i="1"/>
  <c r="AI490" i="1"/>
  <c r="AH490" i="1"/>
  <c r="AG490" i="1"/>
  <c r="AF490" i="1"/>
  <c r="AE490" i="1"/>
  <c r="AD490" i="1"/>
  <c r="AK489" i="1"/>
  <c r="AJ489" i="1"/>
  <c r="AI489" i="1"/>
  <c r="AH489" i="1"/>
  <c r="AG489" i="1"/>
  <c r="AF489" i="1"/>
  <c r="AE489" i="1"/>
  <c r="AD489" i="1"/>
  <c r="AK488" i="1"/>
  <c r="AJ488" i="1"/>
  <c r="AI488" i="1"/>
  <c r="AH488" i="1"/>
  <c r="AG488" i="1"/>
  <c r="AF488" i="1"/>
  <c r="AE488" i="1"/>
  <c r="AD488" i="1"/>
  <c r="AK487" i="1"/>
  <c r="AJ487" i="1"/>
  <c r="AI487" i="1"/>
  <c r="AH487" i="1"/>
  <c r="AG487" i="1"/>
  <c r="AF487" i="1"/>
  <c r="AE487" i="1"/>
  <c r="AD487" i="1"/>
  <c r="AK486" i="1"/>
  <c r="AJ486" i="1"/>
  <c r="AI486" i="1"/>
  <c r="AH486" i="1"/>
  <c r="AG486" i="1"/>
  <c r="AF486" i="1"/>
  <c r="AE486" i="1"/>
  <c r="AD486" i="1"/>
  <c r="AK485" i="1"/>
  <c r="AJ485" i="1"/>
  <c r="AI485" i="1"/>
  <c r="AH485" i="1"/>
  <c r="AG485" i="1"/>
  <c r="AF485" i="1"/>
  <c r="AE485" i="1"/>
  <c r="AD485" i="1"/>
  <c r="AK484" i="1"/>
  <c r="AJ484" i="1"/>
  <c r="AI484" i="1"/>
  <c r="AH484" i="1"/>
  <c r="AG484" i="1"/>
  <c r="AF484" i="1"/>
  <c r="AE484" i="1"/>
  <c r="AD484" i="1"/>
  <c r="AK483" i="1"/>
  <c r="AJ483" i="1"/>
  <c r="AI483" i="1"/>
  <c r="AH483" i="1"/>
  <c r="AG483" i="1"/>
  <c r="AF483" i="1"/>
  <c r="AE483" i="1"/>
  <c r="AD483" i="1"/>
  <c r="AK482" i="1"/>
  <c r="AJ482" i="1"/>
  <c r="AI482" i="1"/>
  <c r="AH482" i="1"/>
  <c r="AG482" i="1"/>
  <c r="AF482" i="1"/>
  <c r="AE482" i="1"/>
  <c r="AD482" i="1"/>
  <c r="AK481" i="1"/>
  <c r="AJ481" i="1"/>
  <c r="AI481" i="1"/>
  <c r="AH481" i="1"/>
  <c r="AG481" i="1"/>
  <c r="AF481" i="1"/>
  <c r="AE481" i="1"/>
  <c r="AD481" i="1"/>
  <c r="AK480" i="1"/>
  <c r="AJ480" i="1"/>
  <c r="AI480" i="1"/>
  <c r="AH480" i="1"/>
  <c r="AG480" i="1"/>
  <c r="AF480" i="1"/>
  <c r="AE480" i="1"/>
  <c r="AD480" i="1"/>
  <c r="AK479" i="1"/>
  <c r="AJ479" i="1"/>
  <c r="AI479" i="1"/>
  <c r="AH479" i="1"/>
  <c r="AG479" i="1"/>
  <c r="AF479" i="1"/>
  <c r="AE479" i="1"/>
  <c r="AD479" i="1"/>
  <c r="AK478" i="1"/>
  <c r="AJ478" i="1"/>
  <c r="AI478" i="1"/>
  <c r="AH478" i="1"/>
  <c r="AG478" i="1"/>
  <c r="AF478" i="1"/>
  <c r="AE478" i="1"/>
  <c r="AD478" i="1"/>
  <c r="AK477" i="1"/>
  <c r="AJ477" i="1"/>
  <c r="AI477" i="1"/>
  <c r="AH477" i="1"/>
  <c r="AG477" i="1"/>
  <c r="AF477" i="1"/>
  <c r="AE477" i="1"/>
  <c r="AD477" i="1"/>
  <c r="AK476" i="1"/>
  <c r="AJ476" i="1"/>
  <c r="AI476" i="1"/>
  <c r="AH476" i="1"/>
  <c r="AG476" i="1"/>
  <c r="AF476" i="1"/>
  <c r="AE476" i="1"/>
  <c r="AD476" i="1"/>
  <c r="AK475" i="1"/>
  <c r="AJ475" i="1"/>
  <c r="AI475" i="1"/>
  <c r="AH475" i="1"/>
  <c r="AG475" i="1"/>
  <c r="AF475" i="1"/>
  <c r="AE475" i="1"/>
  <c r="AD475" i="1"/>
  <c r="AK474" i="1"/>
  <c r="AJ474" i="1"/>
  <c r="AI474" i="1"/>
  <c r="AH474" i="1"/>
  <c r="AG474" i="1"/>
  <c r="AF474" i="1"/>
  <c r="AE474" i="1"/>
  <c r="AD474" i="1"/>
  <c r="AK473" i="1"/>
  <c r="AJ473" i="1"/>
  <c r="AI473" i="1"/>
  <c r="AH473" i="1"/>
  <c r="AG473" i="1"/>
  <c r="AF473" i="1"/>
  <c r="AE473" i="1"/>
  <c r="AD473" i="1"/>
  <c r="AK472" i="1"/>
  <c r="AJ472" i="1"/>
  <c r="AI472" i="1"/>
  <c r="AH472" i="1"/>
  <c r="AG472" i="1"/>
  <c r="AF472" i="1"/>
  <c r="AE472" i="1"/>
  <c r="AD472" i="1"/>
  <c r="AK471" i="1"/>
  <c r="AJ471" i="1"/>
  <c r="AI471" i="1"/>
  <c r="AH471" i="1"/>
  <c r="AG471" i="1"/>
  <c r="AF471" i="1"/>
  <c r="AE471" i="1"/>
  <c r="AD471" i="1"/>
  <c r="AK470" i="1"/>
  <c r="AJ470" i="1"/>
  <c r="AI470" i="1"/>
  <c r="AH470" i="1"/>
  <c r="AG470" i="1"/>
  <c r="AF470" i="1"/>
  <c r="AE470" i="1"/>
  <c r="AD470" i="1"/>
  <c r="AK469" i="1"/>
  <c r="AJ469" i="1"/>
  <c r="AI469" i="1"/>
  <c r="AH469" i="1"/>
  <c r="AG469" i="1"/>
  <c r="AF469" i="1"/>
  <c r="AE469" i="1"/>
  <c r="AD469" i="1"/>
  <c r="AK468" i="1"/>
  <c r="AJ468" i="1"/>
  <c r="AI468" i="1"/>
  <c r="AH468" i="1"/>
  <c r="AG468" i="1"/>
  <c r="AF468" i="1"/>
  <c r="AE468" i="1"/>
  <c r="AD468" i="1"/>
  <c r="AK467" i="1"/>
  <c r="AJ467" i="1"/>
  <c r="AI467" i="1"/>
  <c r="AH467" i="1"/>
  <c r="AG467" i="1"/>
  <c r="AF467" i="1"/>
  <c r="AE467" i="1"/>
  <c r="AD467" i="1"/>
  <c r="AK466" i="1"/>
  <c r="AJ466" i="1"/>
  <c r="AI466" i="1"/>
  <c r="AH466" i="1"/>
  <c r="AG466" i="1"/>
  <c r="AF466" i="1"/>
  <c r="AE466" i="1"/>
  <c r="AD466" i="1"/>
  <c r="AK465" i="1"/>
  <c r="AJ465" i="1"/>
  <c r="AI465" i="1"/>
  <c r="AH465" i="1"/>
  <c r="AG465" i="1"/>
  <c r="AF465" i="1"/>
  <c r="AE465" i="1"/>
  <c r="AD465" i="1"/>
  <c r="AK464" i="1"/>
  <c r="AJ464" i="1"/>
  <c r="AI464" i="1"/>
  <c r="AH464" i="1"/>
  <c r="AG464" i="1"/>
  <c r="AF464" i="1"/>
  <c r="AE464" i="1"/>
  <c r="AD464" i="1"/>
  <c r="AK463" i="1"/>
  <c r="AJ463" i="1"/>
  <c r="AI463" i="1"/>
  <c r="AH463" i="1"/>
  <c r="AG463" i="1"/>
  <c r="AF463" i="1"/>
  <c r="AE463" i="1"/>
  <c r="AD463" i="1"/>
  <c r="AK462" i="1"/>
  <c r="AJ462" i="1"/>
  <c r="AI462" i="1"/>
  <c r="AH462" i="1"/>
  <c r="AG462" i="1"/>
  <c r="AF462" i="1"/>
  <c r="AE462" i="1"/>
  <c r="AD462" i="1"/>
  <c r="AK461" i="1"/>
  <c r="AJ461" i="1"/>
  <c r="AI461" i="1"/>
  <c r="AH461" i="1"/>
  <c r="AG461" i="1"/>
  <c r="AF461" i="1"/>
  <c r="AE461" i="1"/>
  <c r="AD461" i="1"/>
  <c r="AK460" i="1"/>
  <c r="AJ460" i="1"/>
  <c r="AI460" i="1"/>
  <c r="AH460" i="1"/>
  <c r="AG460" i="1"/>
  <c r="AF460" i="1"/>
  <c r="AE460" i="1"/>
  <c r="AD460" i="1"/>
  <c r="AK459" i="1"/>
  <c r="AJ459" i="1"/>
  <c r="AI459" i="1"/>
  <c r="AH459" i="1"/>
  <c r="AG459" i="1"/>
  <c r="AF459" i="1"/>
  <c r="AE459" i="1"/>
  <c r="AD459" i="1"/>
  <c r="AK458" i="1"/>
  <c r="AJ458" i="1"/>
  <c r="AI458" i="1"/>
  <c r="AH458" i="1"/>
  <c r="AG458" i="1"/>
  <c r="AF458" i="1"/>
  <c r="AE458" i="1"/>
  <c r="AD458" i="1"/>
  <c r="AK457" i="1"/>
  <c r="AJ457" i="1"/>
  <c r="AI457" i="1"/>
  <c r="AH457" i="1"/>
  <c r="AG457" i="1"/>
  <c r="AF457" i="1"/>
  <c r="AE457" i="1"/>
  <c r="AD457" i="1"/>
  <c r="AK456" i="1"/>
  <c r="AJ456" i="1"/>
  <c r="AI456" i="1"/>
  <c r="AH456" i="1"/>
  <c r="AG456" i="1"/>
  <c r="AF456" i="1"/>
  <c r="AE456" i="1"/>
  <c r="AD456" i="1"/>
  <c r="AK455" i="1"/>
  <c r="AJ455" i="1"/>
  <c r="AI455" i="1"/>
  <c r="AH455" i="1"/>
  <c r="AG455" i="1"/>
  <c r="AF455" i="1"/>
  <c r="AE455" i="1"/>
  <c r="AD455" i="1"/>
  <c r="AK454" i="1"/>
  <c r="AJ454" i="1"/>
  <c r="AI454" i="1"/>
  <c r="AH454" i="1"/>
  <c r="AG454" i="1"/>
  <c r="AF454" i="1"/>
  <c r="AE454" i="1"/>
  <c r="AD454" i="1"/>
  <c r="AK453" i="1"/>
  <c r="AJ453" i="1"/>
  <c r="AI453" i="1"/>
  <c r="AH453" i="1"/>
  <c r="AG453" i="1"/>
  <c r="AF453" i="1"/>
  <c r="AE453" i="1"/>
  <c r="AD453" i="1"/>
  <c r="AK452" i="1"/>
  <c r="AJ452" i="1"/>
  <c r="AI452" i="1"/>
  <c r="AH452" i="1"/>
  <c r="AG452" i="1"/>
  <c r="AF452" i="1"/>
  <c r="AE452" i="1"/>
  <c r="AD452" i="1"/>
  <c r="AK451" i="1"/>
  <c r="AJ451" i="1"/>
  <c r="AI451" i="1"/>
  <c r="AH451" i="1"/>
  <c r="AG451" i="1"/>
  <c r="AF451" i="1"/>
  <c r="AE451" i="1"/>
  <c r="AD451" i="1"/>
  <c r="AK450" i="1"/>
  <c r="AJ450" i="1"/>
  <c r="AI450" i="1"/>
  <c r="AH450" i="1"/>
  <c r="AG450" i="1"/>
  <c r="AF450" i="1"/>
  <c r="AE450" i="1"/>
  <c r="AD450" i="1"/>
  <c r="AK449" i="1"/>
  <c r="AJ449" i="1"/>
  <c r="AI449" i="1"/>
  <c r="AH449" i="1"/>
  <c r="AG449" i="1"/>
  <c r="AF449" i="1"/>
  <c r="AE449" i="1"/>
  <c r="AD449" i="1"/>
  <c r="AK448" i="1"/>
  <c r="AJ448" i="1"/>
  <c r="AI448" i="1"/>
  <c r="AH448" i="1"/>
  <c r="AG448" i="1"/>
  <c r="AF448" i="1"/>
  <c r="AE448" i="1"/>
  <c r="AD448" i="1"/>
  <c r="AK447" i="1"/>
  <c r="AJ447" i="1"/>
  <c r="AI447" i="1"/>
  <c r="AH447" i="1"/>
  <c r="AG447" i="1"/>
  <c r="AF447" i="1"/>
  <c r="AE447" i="1"/>
  <c r="AD447" i="1"/>
  <c r="AK446" i="1"/>
  <c r="AJ446" i="1"/>
  <c r="AI446" i="1"/>
  <c r="AH446" i="1"/>
  <c r="AG446" i="1"/>
  <c r="AF446" i="1"/>
  <c r="AE446" i="1"/>
  <c r="AD446" i="1"/>
  <c r="AK445" i="1"/>
  <c r="AJ445" i="1"/>
  <c r="AI445" i="1"/>
  <c r="AH445" i="1"/>
  <c r="AG445" i="1"/>
  <c r="AF445" i="1"/>
  <c r="AE445" i="1"/>
  <c r="AD445" i="1"/>
  <c r="AK444" i="1"/>
  <c r="AJ444" i="1"/>
  <c r="AI444" i="1"/>
  <c r="AH444" i="1"/>
  <c r="AG444" i="1"/>
  <c r="AF444" i="1"/>
  <c r="AE444" i="1"/>
  <c r="AD444" i="1"/>
  <c r="AK443" i="1"/>
  <c r="AJ443" i="1"/>
  <c r="AI443" i="1"/>
  <c r="AH443" i="1"/>
  <c r="AG443" i="1"/>
  <c r="AF443" i="1"/>
  <c r="AE443" i="1"/>
  <c r="AD443" i="1"/>
  <c r="AK442" i="1"/>
  <c r="AJ442" i="1"/>
  <c r="AI442" i="1"/>
  <c r="AH442" i="1"/>
  <c r="AG442" i="1"/>
  <c r="AF442" i="1"/>
  <c r="AE442" i="1"/>
  <c r="AD442" i="1"/>
  <c r="AK441" i="1"/>
  <c r="AJ441" i="1"/>
  <c r="AI441" i="1"/>
  <c r="AH441" i="1"/>
  <c r="AG441" i="1"/>
  <c r="AF441" i="1"/>
  <c r="AE441" i="1"/>
  <c r="AD441" i="1"/>
  <c r="AK440" i="1"/>
  <c r="AJ440" i="1"/>
  <c r="AI440" i="1"/>
  <c r="AH440" i="1"/>
  <c r="AG440" i="1"/>
  <c r="AF440" i="1"/>
  <c r="AE440" i="1"/>
  <c r="AD440" i="1"/>
  <c r="AK439" i="1"/>
  <c r="AJ439" i="1"/>
  <c r="AI439" i="1"/>
  <c r="AH439" i="1"/>
  <c r="AG439" i="1"/>
  <c r="AF439" i="1"/>
  <c r="AE439" i="1"/>
  <c r="AD439" i="1"/>
  <c r="AK438" i="1"/>
  <c r="AJ438" i="1"/>
  <c r="AI438" i="1"/>
  <c r="AH438" i="1"/>
  <c r="AG438" i="1"/>
  <c r="AF438" i="1"/>
  <c r="AE438" i="1"/>
  <c r="AD438" i="1"/>
  <c r="AK437" i="1"/>
  <c r="AJ437" i="1"/>
  <c r="AI437" i="1"/>
  <c r="AH437" i="1"/>
  <c r="AG437" i="1"/>
  <c r="AF437" i="1"/>
  <c r="AE437" i="1"/>
  <c r="AD437" i="1"/>
  <c r="AK436" i="1"/>
  <c r="AJ436" i="1"/>
  <c r="AI436" i="1"/>
  <c r="AH436" i="1"/>
  <c r="AG436" i="1"/>
  <c r="AF436" i="1"/>
  <c r="AE436" i="1"/>
  <c r="AD436" i="1"/>
  <c r="AK435" i="1"/>
  <c r="AJ435" i="1"/>
  <c r="AI435" i="1"/>
  <c r="AH435" i="1"/>
  <c r="AG435" i="1"/>
  <c r="AF435" i="1"/>
  <c r="AE435" i="1"/>
  <c r="AD435" i="1"/>
  <c r="AK434" i="1"/>
  <c r="AJ434" i="1"/>
  <c r="AI434" i="1"/>
  <c r="AH434" i="1"/>
  <c r="AG434" i="1"/>
  <c r="AF434" i="1"/>
  <c r="AE434" i="1"/>
  <c r="AD434" i="1"/>
  <c r="AK433" i="1"/>
  <c r="AJ433" i="1"/>
  <c r="AI433" i="1"/>
  <c r="AH433" i="1"/>
  <c r="AG433" i="1"/>
  <c r="AF433" i="1"/>
  <c r="AE433" i="1"/>
  <c r="AD433" i="1"/>
  <c r="AK432" i="1"/>
  <c r="AJ432" i="1"/>
  <c r="AI432" i="1"/>
  <c r="AH432" i="1"/>
  <c r="AG432" i="1"/>
  <c r="AF432" i="1"/>
  <c r="AE432" i="1"/>
  <c r="AD432" i="1"/>
  <c r="AK431" i="1"/>
  <c r="AJ431" i="1"/>
  <c r="AI431" i="1"/>
  <c r="AH431" i="1"/>
  <c r="AG431" i="1"/>
  <c r="AF431" i="1"/>
  <c r="AE431" i="1"/>
  <c r="AD431" i="1"/>
  <c r="AK430" i="1"/>
  <c r="AJ430" i="1"/>
  <c r="AI430" i="1"/>
  <c r="AH430" i="1"/>
  <c r="AG430" i="1"/>
  <c r="AF430" i="1"/>
  <c r="AE430" i="1"/>
  <c r="AD430" i="1"/>
  <c r="AK429" i="1"/>
  <c r="AJ429" i="1"/>
  <c r="AI429" i="1"/>
  <c r="AH429" i="1"/>
  <c r="AG429" i="1"/>
  <c r="AF429" i="1"/>
  <c r="AE429" i="1"/>
  <c r="AD429" i="1"/>
  <c r="AK428" i="1"/>
  <c r="AJ428" i="1"/>
  <c r="AI428" i="1"/>
  <c r="AH428" i="1"/>
  <c r="AG428" i="1"/>
  <c r="AF428" i="1"/>
  <c r="AE428" i="1"/>
  <c r="AD428" i="1"/>
  <c r="AK427" i="1"/>
  <c r="AJ427" i="1"/>
  <c r="AI427" i="1"/>
  <c r="AH427" i="1"/>
  <c r="AG427" i="1"/>
  <c r="AF427" i="1"/>
  <c r="AE427" i="1"/>
  <c r="AD427" i="1"/>
  <c r="AK426" i="1"/>
  <c r="AJ426" i="1"/>
  <c r="AI426" i="1"/>
  <c r="AH426" i="1"/>
  <c r="AG426" i="1"/>
  <c r="AF426" i="1"/>
  <c r="AE426" i="1"/>
  <c r="AD426" i="1"/>
  <c r="AK425" i="1"/>
  <c r="AJ425" i="1"/>
  <c r="AI425" i="1"/>
  <c r="AH425" i="1"/>
  <c r="AG425" i="1"/>
  <c r="AF425" i="1"/>
  <c r="AE425" i="1"/>
  <c r="AD425" i="1"/>
  <c r="AK424" i="1"/>
  <c r="AJ424" i="1"/>
  <c r="AI424" i="1"/>
  <c r="AH424" i="1"/>
  <c r="AG424" i="1"/>
  <c r="AF424" i="1"/>
  <c r="AE424" i="1"/>
  <c r="AD424" i="1"/>
  <c r="AK423" i="1"/>
  <c r="AJ423" i="1"/>
  <c r="AI423" i="1"/>
  <c r="AH423" i="1"/>
  <c r="AG423" i="1"/>
  <c r="AF423" i="1"/>
  <c r="AE423" i="1"/>
  <c r="AD423" i="1"/>
  <c r="AK422" i="1"/>
  <c r="AJ422" i="1"/>
  <c r="AI422" i="1"/>
  <c r="AH422" i="1"/>
  <c r="AG422" i="1"/>
  <c r="AF422" i="1"/>
  <c r="AE422" i="1"/>
  <c r="AD422" i="1"/>
  <c r="AK421" i="1"/>
  <c r="AJ421" i="1"/>
  <c r="AI421" i="1"/>
  <c r="AH421" i="1"/>
  <c r="AG421" i="1"/>
  <c r="AF421" i="1"/>
  <c r="AE421" i="1"/>
  <c r="AD421" i="1"/>
  <c r="AK420" i="1"/>
  <c r="AJ420" i="1"/>
  <c r="AI420" i="1"/>
  <c r="AH420" i="1"/>
  <c r="AG420" i="1"/>
  <c r="AF420" i="1"/>
  <c r="AE420" i="1"/>
  <c r="AD420" i="1"/>
  <c r="AK419" i="1"/>
  <c r="AJ419" i="1"/>
  <c r="AI419" i="1"/>
  <c r="AH419" i="1"/>
  <c r="AG419" i="1"/>
  <c r="AF419" i="1"/>
  <c r="AE419" i="1"/>
  <c r="AD419" i="1"/>
  <c r="AK418" i="1"/>
  <c r="AJ418" i="1"/>
  <c r="AI418" i="1"/>
  <c r="AH418" i="1"/>
  <c r="AG418" i="1"/>
  <c r="AF418" i="1"/>
  <c r="AE418" i="1"/>
  <c r="AD418" i="1"/>
  <c r="AK417" i="1"/>
  <c r="AJ417" i="1"/>
  <c r="AI417" i="1"/>
  <c r="AH417" i="1"/>
  <c r="AG417" i="1"/>
  <c r="AF417" i="1"/>
  <c r="AE417" i="1"/>
  <c r="AD417" i="1"/>
  <c r="AK416" i="1"/>
  <c r="AJ416" i="1"/>
  <c r="AI416" i="1"/>
  <c r="AH416" i="1"/>
  <c r="AG416" i="1"/>
  <c r="AF416" i="1"/>
  <c r="AE416" i="1"/>
  <c r="AD416" i="1"/>
  <c r="AK415" i="1"/>
  <c r="AJ415" i="1"/>
  <c r="AI415" i="1"/>
  <c r="AH415" i="1"/>
  <c r="AG415" i="1"/>
  <c r="AF415" i="1"/>
  <c r="AE415" i="1"/>
  <c r="AD415" i="1"/>
  <c r="AK414" i="1"/>
  <c r="AJ414" i="1"/>
  <c r="AI414" i="1"/>
  <c r="AH414" i="1"/>
  <c r="AG414" i="1"/>
  <c r="AF414" i="1"/>
  <c r="AE414" i="1"/>
  <c r="AD414" i="1"/>
  <c r="AK413" i="1"/>
  <c r="AJ413" i="1"/>
  <c r="AI413" i="1"/>
  <c r="AH413" i="1"/>
  <c r="AG413" i="1"/>
  <c r="AF413" i="1"/>
  <c r="AE413" i="1"/>
  <c r="AD413" i="1"/>
  <c r="AK412" i="1"/>
  <c r="AJ412" i="1"/>
  <c r="AI412" i="1"/>
  <c r="AH412" i="1"/>
  <c r="AG412" i="1"/>
  <c r="AF412" i="1"/>
  <c r="AE412" i="1"/>
  <c r="AD412" i="1"/>
  <c r="AK411" i="1"/>
  <c r="AJ411" i="1"/>
  <c r="AI411" i="1"/>
  <c r="AH411" i="1"/>
  <c r="AG411" i="1"/>
  <c r="AF411" i="1"/>
  <c r="AE411" i="1"/>
  <c r="AD411" i="1"/>
  <c r="AK410" i="1"/>
  <c r="AJ410" i="1"/>
  <c r="AI410" i="1"/>
  <c r="AH410" i="1"/>
  <c r="AG410" i="1"/>
  <c r="AF410" i="1"/>
  <c r="AE410" i="1"/>
  <c r="AD410" i="1"/>
  <c r="AK409" i="1"/>
  <c r="AJ409" i="1"/>
  <c r="AI409" i="1"/>
  <c r="AH409" i="1"/>
  <c r="AG409" i="1"/>
  <c r="AF409" i="1"/>
  <c r="AE409" i="1"/>
  <c r="AD409" i="1"/>
  <c r="AK408" i="1"/>
  <c r="AJ408" i="1"/>
  <c r="AI408" i="1"/>
  <c r="AH408" i="1"/>
  <c r="AG408" i="1"/>
  <c r="AF408" i="1"/>
  <c r="AE408" i="1"/>
  <c r="AD408" i="1"/>
  <c r="AK407" i="1"/>
  <c r="AJ407" i="1"/>
  <c r="AI407" i="1"/>
  <c r="AH407" i="1"/>
  <c r="AG407" i="1"/>
  <c r="AF407" i="1"/>
  <c r="AE407" i="1"/>
  <c r="AD407" i="1"/>
  <c r="AK406" i="1"/>
  <c r="AJ406" i="1"/>
  <c r="AI406" i="1"/>
  <c r="AH406" i="1"/>
  <c r="AG406" i="1"/>
  <c r="AF406" i="1"/>
  <c r="AE406" i="1"/>
  <c r="AD406" i="1"/>
  <c r="AK405" i="1"/>
  <c r="AJ405" i="1"/>
  <c r="AI405" i="1"/>
  <c r="AH405" i="1"/>
  <c r="AG405" i="1"/>
  <c r="AF405" i="1"/>
  <c r="AE405" i="1"/>
  <c r="AD405" i="1"/>
  <c r="AK404" i="1"/>
  <c r="AJ404" i="1"/>
  <c r="AI404" i="1"/>
  <c r="AH404" i="1"/>
  <c r="AG404" i="1"/>
  <c r="AF404" i="1"/>
  <c r="AE404" i="1"/>
  <c r="AD404" i="1"/>
  <c r="AK403" i="1"/>
  <c r="AJ403" i="1"/>
  <c r="AI403" i="1"/>
  <c r="AH403" i="1"/>
  <c r="AG403" i="1"/>
  <c r="AF403" i="1"/>
  <c r="AE403" i="1"/>
  <c r="AD403" i="1"/>
  <c r="AK402" i="1"/>
  <c r="AJ402" i="1"/>
  <c r="AI402" i="1"/>
  <c r="AH402" i="1"/>
  <c r="AG402" i="1"/>
  <c r="AF402" i="1"/>
  <c r="AE402" i="1"/>
  <c r="AD402" i="1"/>
  <c r="AK401" i="1"/>
  <c r="AJ401" i="1"/>
  <c r="AI401" i="1"/>
  <c r="AH401" i="1"/>
  <c r="AG401" i="1"/>
  <c r="AF401" i="1"/>
  <c r="AE401" i="1"/>
  <c r="AD401" i="1"/>
  <c r="AK400" i="1"/>
  <c r="AJ400" i="1"/>
  <c r="AI400" i="1"/>
  <c r="AH400" i="1"/>
  <c r="AG400" i="1"/>
  <c r="AF400" i="1"/>
  <c r="AE400" i="1"/>
  <c r="AD400" i="1"/>
  <c r="AK399" i="1"/>
  <c r="AJ399" i="1"/>
  <c r="AI399" i="1"/>
  <c r="AH399" i="1"/>
  <c r="AG399" i="1"/>
  <c r="AF399" i="1"/>
  <c r="AE399" i="1"/>
  <c r="AD399" i="1"/>
  <c r="AK398" i="1"/>
  <c r="AJ398" i="1"/>
  <c r="AI398" i="1"/>
  <c r="AH398" i="1"/>
  <c r="AG398" i="1"/>
  <c r="AF398" i="1"/>
  <c r="AE398" i="1"/>
  <c r="AD398" i="1"/>
  <c r="AK397" i="1"/>
  <c r="AJ397" i="1"/>
  <c r="AI397" i="1"/>
  <c r="AH397" i="1"/>
  <c r="AG397" i="1"/>
  <c r="AF397" i="1"/>
  <c r="AE397" i="1"/>
  <c r="AD397" i="1"/>
  <c r="AK396" i="1"/>
  <c r="AJ396" i="1"/>
  <c r="AI396" i="1"/>
  <c r="AH396" i="1"/>
  <c r="AG396" i="1"/>
  <c r="AF396" i="1"/>
  <c r="AE396" i="1"/>
  <c r="AD396" i="1"/>
  <c r="AK395" i="1"/>
  <c r="AJ395" i="1"/>
  <c r="AI395" i="1"/>
  <c r="AH395" i="1"/>
  <c r="AG395" i="1"/>
  <c r="AF395" i="1"/>
  <c r="AE395" i="1"/>
  <c r="AD395" i="1"/>
  <c r="AK394" i="1"/>
  <c r="AJ394" i="1"/>
  <c r="AI394" i="1"/>
  <c r="AH394" i="1"/>
  <c r="AG394" i="1"/>
  <c r="AF394" i="1"/>
  <c r="AE394" i="1"/>
  <c r="AD394" i="1"/>
  <c r="AK393" i="1"/>
  <c r="AJ393" i="1"/>
  <c r="AI393" i="1"/>
  <c r="AH393" i="1"/>
  <c r="AG393" i="1"/>
  <c r="AF393" i="1"/>
  <c r="AE393" i="1"/>
  <c r="AD393" i="1"/>
  <c r="AK392" i="1"/>
  <c r="AJ392" i="1"/>
  <c r="AI392" i="1"/>
  <c r="AH392" i="1"/>
  <c r="AG392" i="1"/>
  <c r="AF392" i="1"/>
  <c r="AE392" i="1"/>
  <c r="AD392" i="1"/>
  <c r="AK391" i="1"/>
  <c r="AJ391" i="1"/>
  <c r="AI391" i="1"/>
  <c r="AH391" i="1"/>
  <c r="AG391" i="1"/>
  <c r="AF391" i="1"/>
  <c r="AE391" i="1"/>
  <c r="AD391" i="1"/>
  <c r="AK390" i="1"/>
  <c r="AJ390" i="1"/>
  <c r="AI390" i="1"/>
  <c r="AH390" i="1"/>
  <c r="AG390" i="1"/>
  <c r="AF390" i="1"/>
  <c r="AE390" i="1"/>
  <c r="AD390" i="1"/>
  <c r="AK389" i="1"/>
  <c r="AJ389" i="1"/>
  <c r="AI389" i="1"/>
  <c r="AH389" i="1"/>
  <c r="AG389" i="1"/>
  <c r="AF389" i="1"/>
  <c r="AE389" i="1"/>
  <c r="AD389" i="1"/>
  <c r="AK388" i="1"/>
  <c r="AJ388" i="1"/>
  <c r="AI388" i="1"/>
  <c r="AH388" i="1"/>
  <c r="AG388" i="1"/>
  <c r="AF388" i="1"/>
  <c r="AE388" i="1"/>
  <c r="AD388" i="1"/>
  <c r="AK387" i="1"/>
  <c r="AJ387" i="1"/>
  <c r="AI387" i="1"/>
  <c r="AH387" i="1"/>
  <c r="AG387" i="1"/>
  <c r="AF387" i="1"/>
  <c r="AE387" i="1"/>
  <c r="AD387" i="1"/>
  <c r="AK386" i="1"/>
  <c r="AJ386" i="1"/>
  <c r="AI386" i="1"/>
  <c r="AH386" i="1"/>
  <c r="AG386" i="1"/>
  <c r="AF386" i="1"/>
  <c r="AE386" i="1"/>
  <c r="AD386" i="1"/>
  <c r="AK385" i="1"/>
  <c r="AJ385" i="1"/>
  <c r="AI385" i="1"/>
  <c r="AH385" i="1"/>
  <c r="AG385" i="1"/>
  <c r="AF385" i="1"/>
  <c r="AE385" i="1"/>
  <c r="AD385" i="1"/>
  <c r="AK384" i="1"/>
  <c r="AJ384" i="1"/>
  <c r="AI384" i="1"/>
  <c r="AH384" i="1"/>
  <c r="AG384" i="1"/>
  <c r="AF384" i="1"/>
  <c r="AE384" i="1"/>
  <c r="AD384" i="1"/>
  <c r="AK383" i="1"/>
  <c r="AJ383" i="1"/>
  <c r="AI383" i="1"/>
  <c r="AH383" i="1"/>
  <c r="AG383" i="1"/>
  <c r="AF383" i="1"/>
  <c r="AE383" i="1"/>
  <c r="AD383" i="1"/>
  <c r="AK382" i="1"/>
  <c r="AJ382" i="1"/>
  <c r="AI382" i="1"/>
  <c r="AH382" i="1"/>
  <c r="AG382" i="1"/>
  <c r="AF382" i="1"/>
  <c r="AE382" i="1"/>
  <c r="AD382" i="1"/>
  <c r="AK381" i="1"/>
  <c r="AJ381" i="1"/>
  <c r="AI381" i="1"/>
  <c r="AH381" i="1"/>
  <c r="AG381" i="1"/>
  <c r="AF381" i="1"/>
  <c r="AE381" i="1"/>
  <c r="AD381" i="1"/>
  <c r="AK380" i="1"/>
  <c r="AJ380" i="1"/>
  <c r="AI380" i="1"/>
  <c r="AH380" i="1"/>
  <c r="AG380" i="1"/>
  <c r="AF380" i="1"/>
  <c r="AE380" i="1"/>
  <c r="AD380" i="1"/>
  <c r="AK379" i="1"/>
  <c r="AJ379" i="1"/>
  <c r="AI379" i="1"/>
  <c r="AH379" i="1"/>
  <c r="AG379" i="1"/>
  <c r="AF379" i="1"/>
  <c r="AE379" i="1"/>
  <c r="AD379" i="1"/>
  <c r="AK378" i="1"/>
  <c r="AJ378" i="1"/>
  <c r="AI378" i="1"/>
  <c r="AH378" i="1"/>
  <c r="AG378" i="1"/>
  <c r="AF378" i="1"/>
  <c r="AE378" i="1"/>
  <c r="AD378" i="1"/>
  <c r="AK377" i="1"/>
  <c r="AJ377" i="1"/>
  <c r="AI377" i="1"/>
  <c r="AH377" i="1"/>
  <c r="AG377" i="1"/>
  <c r="AF377" i="1"/>
  <c r="AE377" i="1"/>
  <c r="AD377" i="1"/>
  <c r="AK376" i="1"/>
  <c r="AJ376" i="1"/>
  <c r="AI376" i="1"/>
  <c r="AH376" i="1"/>
  <c r="AG376" i="1"/>
  <c r="AF376" i="1"/>
  <c r="AE376" i="1"/>
  <c r="AD376" i="1"/>
  <c r="AK375" i="1"/>
  <c r="AJ375" i="1"/>
  <c r="AI375" i="1"/>
  <c r="AH375" i="1"/>
  <c r="AG375" i="1"/>
  <c r="AF375" i="1"/>
  <c r="AE375" i="1"/>
  <c r="AD375" i="1"/>
  <c r="AK374" i="1"/>
  <c r="AJ374" i="1"/>
  <c r="AI374" i="1"/>
  <c r="AH374" i="1"/>
  <c r="AG374" i="1"/>
  <c r="AF374" i="1"/>
  <c r="AE374" i="1"/>
  <c r="AD374" i="1"/>
  <c r="AK373" i="1"/>
  <c r="AJ373" i="1"/>
  <c r="AI373" i="1"/>
  <c r="AH373" i="1"/>
  <c r="AG373" i="1"/>
  <c r="AF373" i="1"/>
  <c r="AE373" i="1"/>
  <c r="AD373" i="1"/>
  <c r="AK372" i="1"/>
  <c r="AJ372" i="1"/>
  <c r="AI372" i="1"/>
  <c r="AH372" i="1"/>
  <c r="AG372" i="1"/>
  <c r="AF372" i="1"/>
  <c r="AE372" i="1"/>
  <c r="AD372" i="1"/>
  <c r="AK371" i="1"/>
  <c r="AJ371" i="1"/>
  <c r="AI371" i="1"/>
  <c r="AH371" i="1"/>
  <c r="AG371" i="1"/>
  <c r="AF371" i="1"/>
  <c r="AE371" i="1"/>
  <c r="AD371" i="1"/>
  <c r="AK370" i="1"/>
  <c r="AJ370" i="1"/>
  <c r="AI370" i="1"/>
  <c r="AH370" i="1"/>
  <c r="AG370" i="1"/>
  <c r="AF370" i="1"/>
  <c r="AE370" i="1"/>
  <c r="AD370" i="1"/>
  <c r="AK369" i="1"/>
  <c r="AJ369" i="1"/>
  <c r="AI369" i="1"/>
  <c r="AH369" i="1"/>
  <c r="AG369" i="1"/>
  <c r="AF369" i="1"/>
  <c r="AE369" i="1"/>
  <c r="AD369" i="1"/>
  <c r="AK368" i="1"/>
  <c r="AJ368" i="1"/>
  <c r="AI368" i="1"/>
  <c r="AH368" i="1"/>
  <c r="AG368" i="1"/>
  <c r="AF368" i="1"/>
  <c r="AE368" i="1"/>
  <c r="AD368" i="1"/>
  <c r="AK367" i="1"/>
  <c r="AJ367" i="1"/>
  <c r="AI367" i="1"/>
  <c r="AH367" i="1"/>
  <c r="AG367" i="1"/>
  <c r="AF367" i="1"/>
  <c r="AE367" i="1"/>
  <c r="AD367" i="1"/>
  <c r="AK366" i="1"/>
  <c r="AJ366" i="1"/>
  <c r="AI366" i="1"/>
  <c r="AH366" i="1"/>
  <c r="AG366" i="1"/>
  <c r="AF366" i="1"/>
  <c r="AE366" i="1"/>
  <c r="AD366" i="1"/>
  <c r="AK365" i="1"/>
  <c r="AJ365" i="1"/>
  <c r="AI365" i="1"/>
  <c r="AH365" i="1"/>
  <c r="AG365" i="1"/>
  <c r="AF365" i="1"/>
  <c r="AE365" i="1"/>
  <c r="AD365" i="1"/>
  <c r="AK364" i="1"/>
  <c r="AJ364" i="1"/>
  <c r="AI364" i="1"/>
  <c r="AH364" i="1"/>
  <c r="AG364" i="1"/>
  <c r="AF364" i="1"/>
  <c r="AE364" i="1"/>
  <c r="AD364" i="1"/>
  <c r="AK363" i="1"/>
  <c r="AJ363" i="1"/>
  <c r="AI363" i="1"/>
  <c r="AH363" i="1"/>
  <c r="AG363" i="1"/>
  <c r="AF363" i="1"/>
  <c r="AE363" i="1"/>
  <c r="AD363" i="1"/>
  <c r="AK362" i="1"/>
  <c r="AJ362" i="1"/>
  <c r="AI362" i="1"/>
  <c r="AH362" i="1"/>
  <c r="AG362" i="1"/>
  <c r="AF362" i="1"/>
  <c r="AE362" i="1"/>
  <c r="AD362" i="1"/>
  <c r="AK361" i="1"/>
  <c r="AJ361" i="1"/>
  <c r="AI361" i="1"/>
  <c r="AH361" i="1"/>
  <c r="AG361" i="1"/>
  <c r="AF361" i="1"/>
  <c r="AE361" i="1"/>
  <c r="AD361" i="1"/>
  <c r="AK360" i="1"/>
  <c r="AJ360" i="1"/>
  <c r="AI360" i="1"/>
  <c r="AH360" i="1"/>
  <c r="AG360" i="1"/>
  <c r="AF360" i="1"/>
  <c r="AE360" i="1"/>
  <c r="AD360" i="1"/>
  <c r="AK359" i="1"/>
  <c r="AJ359" i="1"/>
  <c r="AI359" i="1"/>
  <c r="AH359" i="1"/>
  <c r="AG359" i="1"/>
  <c r="AF359" i="1"/>
  <c r="AE359" i="1"/>
  <c r="AD359" i="1"/>
  <c r="AK358" i="1"/>
  <c r="AJ358" i="1"/>
  <c r="AI358" i="1"/>
  <c r="AH358" i="1"/>
  <c r="AG358" i="1"/>
  <c r="AF358" i="1"/>
  <c r="AE358" i="1"/>
  <c r="AD358" i="1"/>
  <c r="AK357" i="1"/>
  <c r="AJ357" i="1"/>
  <c r="AI357" i="1"/>
  <c r="AH357" i="1"/>
  <c r="AG357" i="1"/>
  <c r="AF357" i="1"/>
  <c r="AE357" i="1"/>
  <c r="AD357" i="1"/>
  <c r="AK356" i="1"/>
  <c r="AJ356" i="1"/>
  <c r="AI356" i="1"/>
  <c r="AH356" i="1"/>
  <c r="AG356" i="1"/>
  <c r="AF356" i="1"/>
  <c r="AE356" i="1"/>
  <c r="AD356" i="1"/>
  <c r="AK355" i="1"/>
  <c r="AJ355" i="1"/>
  <c r="AI355" i="1"/>
  <c r="AH355" i="1"/>
  <c r="AG355" i="1"/>
  <c r="AF355" i="1"/>
  <c r="AE355" i="1"/>
  <c r="AD355" i="1"/>
  <c r="AK354" i="1"/>
  <c r="AJ354" i="1"/>
  <c r="AI354" i="1"/>
  <c r="AH354" i="1"/>
  <c r="AG354" i="1"/>
  <c r="AF354" i="1"/>
  <c r="AE354" i="1"/>
  <c r="AD354" i="1"/>
  <c r="AK353" i="1"/>
  <c r="AJ353" i="1"/>
  <c r="AI353" i="1"/>
  <c r="AH353" i="1"/>
  <c r="AG353" i="1"/>
  <c r="AF353" i="1"/>
  <c r="AE353" i="1"/>
  <c r="AD353" i="1"/>
  <c r="AK352" i="1"/>
  <c r="AJ352" i="1"/>
  <c r="AI352" i="1"/>
  <c r="AH352" i="1"/>
  <c r="AG352" i="1"/>
  <c r="AF352" i="1"/>
  <c r="AE352" i="1"/>
  <c r="AD352" i="1"/>
  <c r="AK351" i="1"/>
  <c r="AJ351" i="1"/>
  <c r="AI351" i="1"/>
  <c r="AH351" i="1"/>
  <c r="AG351" i="1"/>
  <c r="AF351" i="1"/>
  <c r="AE351" i="1"/>
  <c r="AD351" i="1"/>
  <c r="AK350" i="1"/>
  <c r="AJ350" i="1"/>
  <c r="AI350" i="1"/>
  <c r="AH350" i="1"/>
  <c r="AG350" i="1"/>
  <c r="AF350" i="1"/>
  <c r="AE350" i="1"/>
  <c r="AD350" i="1"/>
  <c r="AK349" i="1"/>
  <c r="AJ349" i="1"/>
  <c r="AI349" i="1"/>
  <c r="AH349" i="1"/>
  <c r="AG349" i="1"/>
  <c r="AF349" i="1"/>
  <c r="AE349" i="1"/>
  <c r="AD349" i="1"/>
  <c r="AK348" i="1"/>
  <c r="AJ348" i="1"/>
  <c r="AI348" i="1"/>
  <c r="AH348" i="1"/>
  <c r="AG348" i="1"/>
  <c r="AF348" i="1"/>
  <c r="AE348" i="1"/>
  <c r="AD348" i="1"/>
  <c r="AK347" i="1"/>
  <c r="AJ347" i="1"/>
  <c r="AI347" i="1"/>
  <c r="AH347" i="1"/>
  <c r="AG347" i="1"/>
  <c r="AF347" i="1"/>
  <c r="AE347" i="1"/>
  <c r="AD347" i="1"/>
  <c r="AK346" i="1"/>
  <c r="AJ346" i="1"/>
  <c r="AI346" i="1"/>
  <c r="AH346" i="1"/>
  <c r="AG346" i="1"/>
  <c r="AF346" i="1"/>
  <c r="AE346" i="1"/>
  <c r="AD346" i="1"/>
  <c r="AK345" i="1"/>
  <c r="AJ345" i="1"/>
  <c r="AI345" i="1"/>
  <c r="AH345" i="1"/>
  <c r="AG345" i="1"/>
  <c r="AF345" i="1"/>
  <c r="AE345" i="1"/>
  <c r="AD345" i="1"/>
  <c r="AK344" i="1"/>
  <c r="AJ344" i="1"/>
  <c r="AI344" i="1"/>
  <c r="AH344" i="1"/>
  <c r="AG344" i="1"/>
  <c r="AF344" i="1"/>
  <c r="AE344" i="1"/>
  <c r="AD344" i="1"/>
  <c r="AK343" i="1"/>
  <c r="AJ343" i="1"/>
  <c r="AI343" i="1"/>
  <c r="AH343" i="1"/>
  <c r="AG343" i="1"/>
  <c r="AF343" i="1"/>
  <c r="AE343" i="1"/>
  <c r="AD343" i="1"/>
  <c r="AK342" i="1"/>
  <c r="AJ342" i="1"/>
  <c r="AI342" i="1"/>
  <c r="AH342" i="1"/>
  <c r="AG342" i="1"/>
  <c r="AF342" i="1"/>
  <c r="AE342" i="1"/>
  <c r="AD342" i="1"/>
  <c r="AK341" i="1"/>
  <c r="AJ341" i="1"/>
  <c r="AI341" i="1"/>
  <c r="AH341" i="1"/>
  <c r="AG341" i="1"/>
  <c r="AF341" i="1"/>
  <c r="AE341" i="1"/>
  <c r="AD341" i="1"/>
  <c r="AK340" i="1"/>
  <c r="AJ340" i="1"/>
  <c r="AI340" i="1"/>
  <c r="AH340" i="1"/>
  <c r="AG340" i="1"/>
  <c r="AF340" i="1"/>
  <c r="AE340" i="1"/>
  <c r="AD340" i="1"/>
  <c r="AK339" i="1"/>
  <c r="AJ339" i="1"/>
  <c r="AI339" i="1"/>
  <c r="AH339" i="1"/>
  <c r="AG339" i="1"/>
  <c r="AF339" i="1"/>
  <c r="AE339" i="1"/>
  <c r="AD339" i="1"/>
  <c r="AK338" i="1"/>
  <c r="AJ338" i="1"/>
  <c r="AI338" i="1"/>
  <c r="AH338" i="1"/>
  <c r="AG338" i="1"/>
  <c r="AF338" i="1"/>
  <c r="AE338" i="1"/>
  <c r="AD338" i="1"/>
  <c r="AK337" i="1"/>
  <c r="AJ337" i="1"/>
  <c r="AI337" i="1"/>
  <c r="AH337" i="1"/>
  <c r="AG337" i="1"/>
  <c r="AF337" i="1"/>
  <c r="AE337" i="1"/>
  <c r="AD337" i="1"/>
  <c r="AK336" i="1"/>
  <c r="AJ336" i="1"/>
  <c r="AI336" i="1"/>
  <c r="AH336" i="1"/>
  <c r="AG336" i="1"/>
  <c r="AF336" i="1"/>
  <c r="AE336" i="1"/>
  <c r="AD336" i="1"/>
  <c r="AK335" i="1"/>
  <c r="AJ335" i="1"/>
  <c r="AI335" i="1"/>
  <c r="AH335" i="1"/>
  <c r="AG335" i="1"/>
  <c r="AF335" i="1"/>
  <c r="AE335" i="1"/>
  <c r="AD335" i="1"/>
  <c r="AK334" i="1"/>
  <c r="AJ334" i="1"/>
  <c r="AI334" i="1"/>
  <c r="AH334" i="1"/>
  <c r="AG334" i="1"/>
  <c r="AF334" i="1"/>
  <c r="AE334" i="1"/>
  <c r="AD334" i="1"/>
  <c r="AK333" i="1"/>
  <c r="AJ333" i="1"/>
  <c r="AI333" i="1"/>
  <c r="AH333" i="1"/>
  <c r="AG333" i="1"/>
  <c r="AF333" i="1"/>
  <c r="AE333" i="1"/>
  <c r="AD333" i="1"/>
  <c r="AK332" i="1"/>
  <c r="AJ332" i="1"/>
  <c r="AI332" i="1"/>
  <c r="AH332" i="1"/>
  <c r="AG332" i="1"/>
  <c r="AF332" i="1"/>
  <c r="AE332" i="1"/>
  <c r="AD332" i="1"/>
  <c r="AK331" i="1"/>
  <c r="AJ331" i="1"/>
  <c r="AI331" i="1"/>
  <c r="AH331" i="1"/>
  <c r="AG331" i="1"/>
  <c r="AF331" i="1"/>
  <c r="AE331" i="1"/>
  <c r="AD331" i="1"/>
  <c r="AK330" i="1"/>
  <c r="AJ330" i="1"/>
  <c r="AI330" i="1"/>
  <c r="AH330" i="1"/>
  <c r="AG330" i="1"/>
  <c r="AF330" i="1"/>
  <c r="AE330" i="1"/>
  <c r="AD330" i="1"/>
  <c r="AK329" i="1"/>
  <c r="AJ329" i="1"/>
  <c r="AI329" i="1"/>
  <c r="AH329" i="1"/>
  <c r="AG329" i="1"/>
  <c r="AF329" i="1"/>
  <c r="AE329" i="1"/>
  <c r="AD329" i="1"/>
  <c r="AK328" i="1"/>
  <c r="AJ328" i="1"/>
  <c r="AI328" i="1"/>
  <c r="AH328" i="1"/>
  <c r="AG328" i="1"/>
  <c r="AF328" i="1"/>
  <c r="AE328" i="1"/>
  <c r="AD328" i="1"/>
  <c r="AK327" i="1"/>
  <c r="AJ327" i="1"/>
  <c r="AI327" i="1"/>
  <c r="AH327" i="1"/>
  <c r="AG327" i="1"/>
  <c r="AF327" i="1"/>
  <c r="AE327" i="1"/>
  <c r="AD327" i="1"/>
  <c r="AK326" i="1"/>
  <c r="AJ326" i="1"/>
  <c r="AI326" i="1"/>
  <c r="AH326" i="1"/>
  <c r="AG326" i="1"/>
  <c r="AF326" i="1"/>
  <c r="AE326" i="1"/>
  <c r="AD326" i="1"/>
  <c r="AK325" i="1"/>
  <c r="AJ325" i="1"/>
  <c r="AI325" i="1"/>
  <c r="AH325" i="1"/>
  <c r="AG325" i="1"/>
  <c r="AF325" i="1"/>
  <c r="AE325" i="1"/>
  <c r="AD325" i="1"/>
  <c r="AK324" i="1"/>
  <c r="AJ324" i="1"/>
  <c r="AI324" i="1"/>
  <c r="AH324" i="1"/>
  <c r="AG324" i="1"/>
  <c r="AF324" i="1"/>
  <c r="AE324" i="1"/>
  <c r="AD324" i="1"/>
  <c r="AK323" i="1"/>
  <c r="AJ323" i="1"/>
  <c r="AI323" i="1"/>
  <c r="AH323" i="1"/>
  <c r="AG323" i="1"/>
  <c r="AF323" i="1"/>
  <c r="AE323" i="1"/>
  <c r="AD323" i="1"/>
  <c r="AK322" i="1"/>
  <c r="AJ322" i="1"/>
  <c r="AI322" i="1"/>
  <c r="AH322" i="1"/>
  <c r="AG322" i="1"/>
  <c r="AF322" i="1"/>
  <c r="AE322" i="1"/>
  <c r="AD322" i="1"/>
  <c r="AK321" i="1"/>
  <c r="AJ321" i="1"/>
  <c r="AI321" i="1"/>
  <c r="AH321" i="1"/>
  <c r="AG321" i="1"/>
  <c r="AF321" i="1"/>
  <c r="AE321" i="1"/>
  <c r="AD321" i="1"/>
  <c r="AK320" i="1"/>
  <c r="AJ320" i="1"/>
  <c r="AI320" i="1"/>
  <c r="AH320" i="1"/>
  <c r="AG320" i="1"/>
  <c r="AF320" i="1"/>
  <c r="AE320" i="1"/>
  <c r="AD320" i="1"/>
  <c r="AK319" i="1"/>
  <c r="AJ319" i="1"/>
  <c r="AI319" i="1"/>
  <c r="AH319" i="1"/>
  <c r="AG319" i="1"/>
  <c r="AF319" i="1"/>
  <c r="AE319" i="1"/>
  <c r="AD319" i="1"/>
  <c r="AK318" i="1"/>
  <c r="AJ318" i="1"/>
  <c r="AI318" i="1"/>
  <c r="AH318" i="1"/>
  <c r="AG318" i="1"/>
  <c r="AF318" i="1"/>
  <c r="AE318" i="1"/>
  <c r="AD318" i="1"/>
  <c r="AK317" i="1"/>
  <c r="AJ317" i="1"/>
  <c r="AI317" i="1"/>
  <c r="AH317" i="1"/>
  <c r="AG317" i="1"/>
  <c r="AF317" i="1"/>
  <c r="AE317" i="1"/>
  <c r="AD317" i="1"/>
  <c r="AK316" i="1"/>
  <c r="AJ316" i="1"/>
  <c r="AI316" i="1"/>
  <c r="AH316" i="1"/>
  <c r="AG316" i="1"/>
  <c r="AF316" i="1"/>
  <c r="AE316" i="1"/>
  <c r="AD316" i="1"/>
  <c r="AK315" i="1"/>
  <c r="AJ315" i="1"/>
  <c r="AI315" i="1"/>
  <c r="AH315" i="1"/>
  <c r="AG315" i="1"/>
  <c r="AF315" i="1"/>
  <c r="AE315" i="1"/>
  <c r="AD315" i="1"/>
  <c r="AK314" i="1"/>
  <c r="AJ314" i="1"/>
  <c r="AI314" i="1"/>
  <c r="AH314" i="1"/>
  <c r="AG314" i="1"/>
  <c r="AF314" i="1"/>
  <c r="AE314" i="1"/>
  <c r="AD314" i="1"/>
  <c r="AK313" i="1"/>
  <c r="AJ313" i="1"/>
  <c r="AI313" i="1"/>
  <c r="AH313" i="1"/>
  <c r="AG313" i="1"/>
  <c r="AF313" i="1"/>
  <c r="AE313" i="1"/>
  <c r="AD313" i="1"/>
  <c r="AK312" i="1"/>
  <c r="AJ312" i="1"/>
  <c r="AI312" i="1"/>
  <c r="AH312" i="1"/>
  <c r="AG312" i="1"/>
  <c r="AF312" i="1"/>
  <c r="AE312" i="1"/>
  <c r="AD312" i="1"/>
  <c r="AK311" i="1"/>
  <c r="AJ311" i="1"/>
  <c r="AI311" i="1"/>
  <c r="AH311" i="1"/>
  <c r="AG311" i="1"/>
  <c r="AF311" i="1"/>
  <c r="AE311" i="1"/>
  <c r="AD311" i="1"/>
  <c r="AK310" i="1"/>
  <c r="AJ310" i="1"/>
  <c r="AI310" i="1"/>
  <c r="AH310" i="1"/>
  <c r="AG310" i="1"/>
  <c r="AF310" i="1"/>
  <c r="AE310" i="1"/>
  <c r="AD310" i="1"/>
  <c r="AK309" i="1"/>
  <c r="AJ309" i="1"/>
  <c r="AI309" i="1"/>
  <c r="AH309" i="1"/>
  <c r="AG309" i="1"/>
  <c r="AF309" i="1"/>
  <c r="AE309" i="1"/>
  <c r="AD309" i="1"/>
  <c r="AK308" i="1"/>
  <c r="AJ308" i="1"/>
  <c r="AI308" i="1"/>
  <c r="AH308" i="1"/>
  <c r="AG308" i="1"/>
  <c r="AF308" i="1"/>
  <c r="AE308" i="1"/>
  <c r="AD308" i="1"/>
  <c r="AK307" i="1"/>
  <c r="AJ307" i="1"/>
  <c r="AI307" i="1"/>
  <c r="AH307" i="1"/>
  <c r="AG307" i="1"/>
  <c r="AF307" i="1"/>
  <c r="AE307" i="1"/>
  <c r="AD307" i="1"/>
  <c r="AK306" i="1"/>
  <c r="AJ306" i="1"/>
  <c r="AI306" i="1"/>
  <c r="AH306" i="1"/>
  <c r="AG306" i="1"/>
  <c r="AF306" i="1"/>
  <c r="AE306" i="1"/>
  <c r="AD306" i="1"/>
  <c r="AK305" i="1"/>
  <c r="AJ305" i="1"/>
  <c r="AI305" i="1"/>
  <c r="AH305" i="1"/>
  <c r="AG305" i="1"/>
  <c r="AF305" i="1"/>
  <c r="AE305" i="1"/>
  <c r="AD305" i="1"/>
  <c r="AK304" i="1"/>
  <c r="AJ304" i="1"/>
  <c r="AI304" i="1"/>
  <c r="AH304" i="1"/>
  <c r="AG304" i="1"/>
  <c r="AF304" i="1"/>
  <c r="AE304" i="1"/>
  <c r="AD304" i="1"/>
  <c r="AK303" i="1"/>
  <c r="AJ303" i="1"/>
  <c r="AI303" i="1"/>
  <c r="AH303" i="1"/>
  <c r="AG303" i="1"/>
  <c r="AF303" i="1"/>
  <c r="AE303" i="1"/>
  <c r="AD303" i="1"/>
  <c r="AK302" i="1"/>
  <c r="AJ302" i="1"/>
  <c r="AI302" i="1"/>
  <c r="AH302" i="1"/>
  <c r="AG302" i="1"/>
  <c r="AF302" i="1"/>
  <c r="AE302" i="1"/>
  <c r="AD302" i="1"/>
  <c r="AK301" i="1"/>
  <c r="AJ301" i="1"/>
  <c r="AI301" i="1"/>
  <c r="AH301" i="1"/>
  <c r="AG301" i="1"/>
  <c r="AF301" i="1"/>
  <c r="AE301" i="1"/>
  <c r="AD301" i="1"/>
  <c r="AK300" i="1"/>
  <c r="AJ300" i="1"/>
  <c r="AI300" i="1"/>
  <c r="AH300" i="1"/>
  <c r="AG300" i="1"/>
  <c r="AF300" i="1"/>
  <c r="AE300" i="1"/>
  <c r="AD300" i="1"/>
  <c r="AK299" i="1"/>
  <c r="AJ299" i="1"/>
  <c r="AI299" i="1"/>
  <c r="AH299" i="1"/>
  <c r="AG299" i="1"/>
  <c r="AF299" i="1"/>
  <c r="AE299" i="1"/>
  <c r="AD299" i="1"/>
  <c r="AK298" i="1"/>
  <c r="AJ298" i="1"/>
  <c r="AI298" i="1"/>
  <c r="AH298" i="1"/>
  <c r="AG298" i="1"/>
  <c r="AF298" i="1"/>
  <c r="AE298" i="1"/>
  <c r="AD298" i="1"/>
  <c r="AK297" i="1"/>
  <c r="AJ297" i="1"/>
  <c r="AI297" i="1"/>
  <c r="AH297" i="1"/>
  <c r="AG297" i="1"/>
  <c r="AF297" i="1"/>
  <c r="AE297" i="1"/>
  <c r="AD297" i="1"/>
  <c r="AK296" i="1"/>
  <c r="AJ296" i="1"/>
  <c r="AI296" i="1"/>
  <c r="AH296" i="1"/>
  <c r="AG296" i="1"/>
  <c r="AF296" i="1"/>
  <c r="AE296" i="1"/>
  <c r="AD296" i="1"/>
  <c r="AK295" i="1"/>
  <c r="AJ295" i="1"/>
  <c r="AI295" i="1"/>
  <c r="AH295" i="1"/>
  <c r="AG295" i="1"/>
  <c r="AF295" i="1"/>
  <c r="AE295" i="1"/>
  <c r="AD295" i="1"/>
  <c r="AK294" i="1"/>
  <c r="AJ294" i="1"/>
  <c r="AI294" i="1"/>
  <c r="AH294" i="1"/>
  <c r="AG294" i="1"/>
  <c r="AF294" i="1"/>
  <c r="AE294" i="1"/>
  <c r="AD294" i="1"/>
  <c r="AK293" i="1"/>
  <c r="AJ293" i="1"/>
  <c r="AI293" i="1"/>
  <c r="AH293" i="1"/>
  <c r="AG293" i="1"/>
  <c r="AF293" i="1"/>
  <c r="AE293" i="1"/>
  <c r="AD293" i="1"/>
  <c r="AK292" i="1"/>
  <c r="AJ292" i="1"/>
  <c r="AI292" i="1"/>
  <c r="AH292" i="1"/>
  <c r="AG292" i="1"/>
  <c r="AF292" i="1"/>
  <c r="AE292" i="1"/>
  <c r="AD292" i="1"/>
  <c r="AK291" i="1"/>
  <c r="AJ291" i="1"/>
  <c r="AI291" i="1"/>
  <c r="AH291" i="1"/>
  <c r="AG291" i="1"/>
  <c r="AF291" i="1"/>
  <c r="AE291" i="1"/>
  <c r="AD291" i="1"/>
  <c r="AK290" i="1"/>
  <c r="AJ290" i="1"/>
  <c r="AI290" i="1"/>
  <c r="AH290" i="1"/>
  <c r="AG290" i="1"/>
  <c r="AF290" i="1"/>
  <c r="AE290" i="1"/>
  <c r="AD290" i="1"/>
  <c r="AK289" i="1"/>
  <c r="AJ289" i="1"/>
  <c r="AI289" i="1"/>
  <c r="AH289" i="1"/>
  <c r="AG289" i="1"/>
  <c r="AF289" i="1"/>
  <c r="AE289" i="1"/>
  <c r="AD289" i="1"/>
  <c r="AK288" i="1"/>
  <c r="AJ288" i="1"/>
  <c r="AI288" i="1"/>
  <c r="AH288" i="1"/>
  <c r="AG288" i="1"/>
  <c r="AF288" i="1"/>
  <c r="AE288" i="1"/>
  <c r="AD288" i="1"/>
  <c r="AK287" i="1"/>
  <c r="AJ287" i="1"/>
  <c r="AI287" i="1"/>
  <c r="AH287" i="1"/>
  <c r="AG287" i="1"/>
  <c r="AF287" i="1"/>
  <c r="AE287" i="1"/>
  <c r="AD287" i="1"/>
  <c r="AK286" i="1"/>
  <c r="AJ286" i="1"/>
  <c r="AI286" i="1"/>
  <c r="AH286" i="1"/>
  <c r="AG286" i="1"/>
  <c r="AF286" i="1"/>
  <c r="AE286" i="1"/>
  <c r="AD286" i="1"/>
  <c r="AK285" i="1"/>
  <c r="AJ285" i="1"/>
  <c r="AI285" i="1"/>
  <c r="AH285" i="1"/>
  <c r="AG285" i="1"/>
  <c r="AF285" i="1"/>
  <c r="AE285" i="1"/>
  <c r="AD285" i="1"/>
  <c r="AK284" i="1"/>
  <c r="AJ284" i="1"/>
  <c r="AI284" i="1"/>
  <c r="AH284" i="1"/>
  <c r="AG284" i="1"/>
  <c r="AF284" i="1"/>
  <c r="AE284" i="1"/>
  <c r="AD284" i="1"/>
  <c r="AK283" i="1"/>
  <c r="AJ283" i="1"/>
  <c r="AI283" i="1"/>
  <c r="AH283" i="1"/>
  <c r="AG283" i="1"/>
  <c r="AF283" i="1"/>
  <c r="AE283" i="1"/>
  <c r="AD283" i="1"/>
  <c r="AK282" i="1"/>
  <c r="AJ282" i="1"/>
  <c r="AI282" i="1"/>
  <c r="AH282" i="1"/>
  <c r="AG282" i="1"/>
  <c r="AF282" i="1"/>
  <c r="AE282" i="1"/>
  <c r="AD282" i="1"/>
  <c r="AK281" i="1"/>
  <c r="AJ281" i="1"/>
  <c r="AI281" i="1"/>
  <c r="AH281" i="1"/>
  <c r="AG281" i="1"/>
  <c r="AF281" i="1"/>
  <c r="AE281" i="1"/>
  <c r="AD281" i="1"/>
  <c r="AK280" i="1"/>
  <c r="AJ280" i="1"/>
  <c r="AI280" i="1"/>
  <c r="AH280" i="1"/>
  <c r="AG280" i="1"/>
  <c r="AF280" i="1"/>
  <c r="AE280" i="1"/>
  <c r="AD280" i="1"/>
  <c r="AK279" i="1"/>
  <c r="AJ279" i="1"/>
  <c r="AI279" i="1"/>
  <c r="AH279" i="1"/>
  <c r="AG279" i="1"/>
  <c r="AF279" i="1"/>
  <c r="AE279" i="1"/>
  <c r="AD279" i="1"/>
  <c r="AK278" i="1"/>
  <c r="AJ278" i="1"/>
  <c r="AI278" i="1"/>
  <c r="AH278" i="1"/>
  <c r="AG278" i="1"/>
  <c r="AF278" i="1"/>
  <c r="AE278" i="1"/>
  <c r="AD278" i="1"/>
  <c r="AK277" i="1"/>
  <c r="AJ277" i="1"/>
  <c r="AI277" i="1"/>
  <c r="AH277" i="1"/>
  <c r="AG277" i="1"/>
  <c r="AF277" i="1"/>
  <c r="AE277" i="1"/>
  <c r="AD277" i="1"/>
  <c r="AK276" i="1"/>
  <c r="AJ276" i="1"/>
  <c r="AI276" i="1"/>
  <c r="AH276" i="1"/>
  <c r="AG276" i="1"/>
  <c r="AF276" i="1"/>
  <c r="AE276" i="1"/>
  <c r="AD276" i="1"/>
  <c r="AK275" i="1"/>
  <c r="AJ275" i="1"/>
  <c r="AI275" i="1"/>
  <c r="AH275" i="1"/>
  <c r="AG275" i="1"/>
  <c r="AF275" i="1"/>
  <c r="AE275" i="1"/>
  <c r="AD275" i="1"/>
  <c r="AK274" i="1"/>
  <c r="AJ274" i="1"/>
  <c r="AI274" i="1"/>
  <c r="AH274" i="1"/>
  <c r="AG274" i="1"/>
  <c r="AF274" i="1"/>
  <c r="AE274" i="1"/>
  <c r="AD274" i="1"/>
  <c r="AK273" i="1"/>
  <c r="AJ273" i="1"/>
  <c r="AI273" i="1"/>
  <c r="AH273" i="1"/>
  <c r="AG273" i="1"/>
  <c r="AF273" i="1"/>
  <c r="AE273" i="1"/>
  <c r="AD273" i="1"/>
  <c r="AK272" i="1"/>
  <c r="AJ272" i="1"/>
  <c r="AI272" i="1"/>
  <c r="AH272" i="1"/>
  <c r="AG272" i="1"/>
  <c r="AF272" i="1"/>
  <c r="AE272" i="1"/>
  <c r="AD272" i="1"/>
  <c r="AK271" i="1"/>
  <c r="AJ271" i="1"/>
  <c r="AI271" i="1"/>
  <c r="AH271" i="1"/>
  <c r="AG271" i="1"/>
  <c r="AF271" i="1"/>
  <c r="AE271" i="1"/>
  <c r="AD271" i="1"/>
  <c r="AK270" i="1"/>
  <c r="AJ270" i="1"/>
  <c r="AI270" i="1"/>
  <c r="AH270" i="1"/>
  <c r="AG270" i="1"/>
  <c r="AF270" i="1"/>
  <c r="AE270" i="1"/>
  <c r="AD270" i="1"/>
  <c r="AK269" i="1"/>
  <c r="AJ269" i="1"/>
  <c r="AI269" i="1"/>
  <c r="AH269" i="1"/>
  <c r="AG269" i="1"/>
  <c r="AF269" i="1"/>
  <c r="AE269" i="1"/>
  <c r="AD269" i="1"/>
  <c r="AK268" i="1"/>
  <c r="AJ268" i="1"/>
  <c r="AI268" i="1"/>
  <c r="AH268" i="1"/>
  <c r="AG268" i="1"/>
  <c r="AF268" i="1"/>
  <c r="AE268" i="1"/>
  <c r="AD268" i="1"/>
  <c r="AK267" i="1"/>
  <c r="AJ267" i="1"/>
  <c r="AI267" i="1"/>
  <c r="AH267" i="1"/>
  <c r="AG267" i="1"/>
  <c r="AF267" i="1"/>
  <c r="AE267" i="1"/>
  <c r="AD267" i="1"/>
  <c r="AK266" i="1"/>
  <c r="AJ266" i="1"/>
  <c r="AI266" i="1"/>
  <c r="AH266" i="1"/>
  <c r="AG266" i="1"/>
  <c r="AF266" i="1"/>
  <c r="AE266" i="1"/>
  <c r="AD266" i="1"/>
  <c r="AK265" i="1"/>
  <c r="AJ265" i="1"/>
  <c r="AI265" i="1"/>
  <c r="AH265" i="1"/>
  <c r="AG265" i="1"/>
  <c r="AF265" i="1"/>
  <c r="AE265" i="1"/>
  <c r="AD265" i="1"/>
  <c r="AK264" i="1"/>
  <c r="AJ264" i="1"/>
  <c r="AI264" i="1"/>
  <c r="AH264" i="1"/>
  <c r="AG264" i="1"/>
  <c r="AF264" i="1"/>
  <c r="AE264" i="1"/>
  <c r="AD264" i="1"/>
  <c r="AK263" i="1"/>
  <c r="AJ263" i="1"/>
  <c r="AI263" i="1"/>
  <c r="AH263" i="1"/>
  <c r="AG263" i="1"/>
  <c r="AF263" i="1"/>
  <c r="AE263" i="1"/>
  <c r="AD263" i="1"/>
  <c r="AK262" i="1"/>
  <c r="AJ262" i="1"/>
  <c r="AI262" i="1"/>
  <c r="AH262" i="1"/>
  <c r="AG262" i="1"/>
  <c r="AF262" i="1"/>
  <c r="AE262" i="1"/>
  <c r="AD262" i="1"/>
  <c r="AK261" i="1"/>
  <c r="AJ261" i="1"/>
  <c r="AI261" i="1"/>
  <c r="AH261" i="1"/>
  <c r="AG261" i="1"/>
  <c r="AF261" i="1"/>
  <c r="AE261" i="1"/>
  <c r="AD261" i="1"/>
  <c r="AK260" i="1"/>
  <c r="AJ260" i="1"/>
  <c r="AI260" i="1"/>
  <c r="AH260" i="1"/>
  <c r="AG260" i="1"/>
  <c r="AF260" i="1"/>
  <c r="AE260" i="1"/>
  <c r="AD260" i="1"/>
  <c r="AK259" i="1"/>
  <c r="AJ259" i="1"/>
  <c r="AI259" i="1"/>
  <c r="AH259" i="1"/>
  <c r="AG259" i="1"/>
  <c r="AF259" i="1"/>
  <c r="AE259" i="1"/>
  <c r="AD259" i="1"/>
  <c r="AK258" i="1"/>
  <c r="AJ258" i="1"/>
  <c r="AI258" i="1"/>
  <c r="AH258" i="1"/>
  <c r="AG258" i="1"/>
  <c r="AF258" i="1"/>
  <c r="AE258" i="1"/>
  <c r="AD258" i="1"/>
  <c r="AK257" i="1"/>
  <c r="AJ257" i="1"/>
  <c r="AI257" i="1"/>
  <c r="AH257" i="1"/>
  <c r="AG257" i="1"/>
  <c r="AF257" i="1"/>
  <c r="AE257" i="1"/>
  <c r="AD257" i="1"/>
  <c r="AK256" i="1"/>
  <c r="AJ256" i="1"/>
  <c r="AI256" i="1"/>
  <c r="AH256" i="1"/>
  <c r="AG256" i="1"/>
  <c r="AF256" i="1"/>
  <c r="AE256" i="1"/>
  <c r="AD256" i="1"/>
  <c r="AK255" i="1"/>
  <c r="AJ255" i="1"/>
  <c r="AI255" i="1"/>
  <c r="AH255" i="1"/>
  <c r="AG255" i="1"/>
  <c r="AF255" i="1"/>
  <c r="AE255" i="1"/>
  <c r="AD255" i="1"/>
  <c r="AK254" i="1"/>
  <c r="AJ254" i="1"/>
  <c r="AI254" i="1"/>
  <c r="AH254" i="1"/>
  <c r="AG254" i="1"/>
  <c r="AF254" i="1"/>
  <c r="AE254" i="1"/>
  <c r="AD254" i="1"/>
  <c r="AK253" i="1"/>
  <c r="AJ253" i="1"/>
  <c r="AI253" i="1"/>
  <c r="AH253" i="1"/>
  <c r="AG253" i="1"/>
  <c r="AF253" i="1"/>
  <c r="AE253" i="1"/>
  <c r="AD253" i="1"/>
  <c r="AK252" i="1"/>
  <c r="AJ252" i="1"/>
  <c r="AI252" i="1"/>
  <c r="AH252" i="1"/>
  <c r="AG252" i="1"/>
  <c r="AF252" i="1"/>
  <c r="AE252" i="1"/>
  <c r="AD252" i="1"/>
  <c r="AK251" i="1"/>
  <c r="AJ251" i="1"/>
  <c r="AI251" i="1"/>
  <c r="AH251" i="1"/>
  <c r="AG251" i="1"/>
  <c r="AF251" i="1"/>
  <c r="AE251" i="1"/>
  <c r="AD251" i="1"/>
  <c r="AK250" i="1"/>
  <c r="AJ250" i="1"/>
  <c r="AI250" i="1"/>
  <c r="AH250" i="1"/>
  <c r="AG250" i="1"/>
  <c r="AF250" i="1"/>
  <c r="AE250" i="1"/>
  <c r="AD250" i="1"/>
  <c r="AK249" i="1"/>
  <c r="AJ249" i="1"/>
  <c r="AI249" i="1"/>
  <c r="AH249" i="1"/>
  <c r="AG249" i="1"/>
  <c r="AF249" i="1"/>
  <c r="AE249" i="1"/>
  <c r="AD249" i="1"/>
  <c r="AK248" i="1"/>
  <c r="AJ248" i="1"/>
  <c r="AI248" i="1"/>
  <c r="AH248" i="1"/>
  <c r="AG248" i="1"/>
  <c r="AF248" i="1"/>
  <c r="AE248" i="1"/>
  <c r="AD248" i="1"/>
  <c r="AK247" i="1"/>
  <c r="AJ247" i="1"/>
  <c r="AI247" i="1"/>
  <c r="AH247" i="1"/>
  <c r="AG247" i="1"/>
  <c r="AF247" i="1"/>
  <c r="AE247" i="1"/>
  <c r="AD247" i="1"/>
  <c r="AK246" i="1"/>
  <c r="AJ246" i="1"/>
  <c r="AI246" i="1"/>
  <c r="AH246" i="1"/>
  <c r="AG246" i="1"/>
  <c r="AF246" i="1"/>
  <c r="AE246" i="1"/>
  <c r="AD246" i="1"/>
  <c r="AK245" i="1"/>
  <c r="AJ245" i="1"/>
  <c r="AI245" i="1"/>
  <c r="AH245" i="1"/>
  <c r="AG245" i="1"/>
  <c r="AF245" i="1"/>
  <c r="AE245" i="1"/>
  <c r="AD245" i="1"/>
  <c r="AK244" i="1"/>
  <c r="AJ244" i="1"/>
  <c r="AI244" i="1"/>
  <c r="AH244" i="1"/>
  <c r="AG244" i="1"/>
  <c r="AF244" i="1"/>
  <c r="AE244" i="1"/>
  <c r="AD244" i="1"/>
  <c r="AK243" i="1"/>
  <c r="AJ243" i="1"/>
  <c r="AI243" i="1"/>
  <c r="AH243" i="1"/>
  <c r="AG243" i="1"/>
  <c r="AF243" i="1"/>
  <c r="AE243" i="1"/>
  <c r="AD243" i="1"/>
  <c r="AK242" i="1"/>
  <c r="AJ242" i="1"/>
  <c r="AI242" i="1"/>
  <c r="AH242" i="1"/>
  <c r="AG242" i="1"/>
  <c r="AF242" i="1"/>
  <c r="AE242" i="1"/>
  <c r="AD242" i="1"/>
  <c r="AK241" i="1"/>
  <c r="AJ241" i="1"/>
  <c r="AI241" i="1"/>
  <c r="AH241" i="1"/>
  <c r="AG241" i="1"/>
  <c r="AF241" i="1"/>
  <c r="AE241" i="1"/>
  <c r="AD241" i="1"/>
  <c r="AK240" i="1"/>
  <c r="AJ240" i="1"/>
  <c r="AI240" i="1"/>
  <c r="AH240" i="1"/>
  <c r="AG240" i="1"/>
  <c r="AF240" i="1"/>
  <c r="AE240" i="1"/>
  <c r="AD240" i="1"/>
  <c r="AK239" i="1"/>
  <c r="AJ239" i="1"/>
  <c r="AI239" i="1"/>
  <c r="AH239" i="1"/>
  <c r="AG239" i="1"/>
  <c r="AF239" i="1"/>
  <c r="AE239" i="1"/>
  <c r="AD239" i="1"/>
  <c r="AK238" i="1"/>
  <c r="AJ238" i="1"/>
  <c r="AI238" i="1"/>
  <c r="AH238" i="1"/>
  <c r="AG238" i="1"/>
  <c r="AF238" i="1"/>
  <c r="AE238" i="1"/>
  <c r="AD238" i="1"/>
  <c r="AK237" i="1"/>
  <c r="AJ237" i="1"/>
  <c r="AI237" i="1"/>
  <c r="AH237" i="1"/>
  <c r="AG237" i="1"/>
  <c r="AF237" i="1"/>
  <c r="AE237" i="1"/>
  <c r="AD237" i="1"/>
  <c r="AK236" i="1"/>
  <c r="AJ236" i="1"/>
  <c r="AI236" i="1"/>
  <c r="AH236" i="1"/>
  <c r="AG236" i="1"/>
  <c r="AF236" i="1"/>
  <c r="AE236" i="1"/>
  <c r="AD236" i="1"/>
  <c r="AK235" i="1"/>
  <c r="AJ235" i="1"/>
  <c r="AI235" i="1"/>
  <c r="AH235" i="1"/>
  <c r="AG235" i="1"/>
  <c r="AF235" i="1"/>
  <c r="AE235" i="1"/>
  <c r="AD235" i="1"/>
  <c r="AK234" i="1"/>
  <c r="AJ234" i="1"/>
  <c r="AI234" i="1"/>
  <c r="AH234" i="1"/>
  <c r="AG234" i="1"/>
  <c r="AF234" i="1"/>
  <c r="AE234" i="1"/>
  <c r="AD234" i="1"/>
  <c r="AK233" i="1"/>
  <c r="AJ233" i="1"/>
  <c r="AI233" i="1"/>
  <c r="AH233" i="1"/>
  <c r="AG233" i="1"/>
  <c r="AF233" i="1"/>
  <c r="AE233" i="1"/>
  <c r="AD233" i="1"/>
  <c r="AK232" i="1"/>
  <c r="AJ232" i="1"/>
  <c r="AI232" i="1"/>
  <c r="AH232" i="1"/>
  <c r="AG232" i="1"/>
  <c r="AF232" i="1"/>
  <c r="AE232" i="1"/>
  <c r="AD232" i="1"/>
  <c r="AK231" i="1"/>
  <c r="AJ231" i="1"/>
  <c r="AI231" i="1"/>
  <c r="AH231" i="1"/>
  <c r="AG231" i="1"/>
  <c r="AF231" i="1"/>
  <c r="AE231" i="1"/>
  <c r="AD231" i="1"/>
  <c r="AK230" i="1"/>
  <c r="AJ230" i="1"/>
  <c r="AI230" i="1"/>
  <c r="AH230" i="1"/>
  <c r="AG230" i="1"/>
  <c r="AF230" i="1"/>
  <c r="AE230" i="1"/>
  <c r="AD230" i="1"/>
  <c r="AK229" i="1"/>
  <c r="AJ229" i="1"/>
  <c r="AI229" i="1"/>
  <c r="AH229" i="1"/>
  <c r="AG229" i="1"/>
  <c r="AF229" i="1"/>
  <c r="AE229" i="1"/>
  <c r="AD229" i="1"/>
  <c r="AK228" i="1"/>
  <c r="AJ228" i="1"/>
  <c r="AI228" i="1"/>
  <c r="AH228" i="1"/>
  <c r="AG228" i="1"/>
  <c r="AF228" i="1"/>
  <c r="AE228" i="1"/>
  <c r="AD228" i="1"/>
  <c r="AK227" i="1"/>
  <c r="AJ227" i="1"/>
  <c r="AI227" i="1"/>
  <c r="AH227" i="1"/>
  <c r="AG227" i="1"/>
  <c r="AF227" i="1"/>
  <c r="AE227" i="1"/>
  <c r="AD227" i="1"/>
  <c r="AK226" i="1"/>
  <c r="AJ226" i="1"/>
  <c r="AI226" i="1"/>
  <c r="AH226" i="1"/>
  <c r="AG226" i="1"/>
  <c r="AF226" i="1"/>
  <c r="AE226" i="1"/>
  <c r="AD226" i="1"/>
  <c r="AK225" i="1"/>
  <c r="AJ225" i="1"/>
  <c r="AI225" i="1"/>
  <c r="AH225" i="1"/>
  <c r="AG225" i="1"/>
  <c r="AF225" i="1"/>
  <c r="AE225" i="1"/>
  <c r="AD225" i="1"/>
  <c r="AK224" i="1"/>
  <c r="AJ224" i="1"/>
  <c r="AI224" i="1"/>
  <c r="AH224" i="1"/>
  <c r="AG224" i="1"/>
  <c r="AF224" i="1"/>
  <c r="AE224" i="1"/>
  <c r="AD224" i="1"/>
  <c r="AK223" i="1"/>
  <c r="AJ223" i="1"/>
  <c r="AI223" i="1"/>
  <c r="AH223" i="1"/>
  <c r="AG223" i="1"/>
  <c r="AF223" i="1"/>
  <c r="AE223" i="1"/>
  <c r="AD223" i="1"/>
  <c r="AK222" i="1"/>
  <c r="AJ222" i="1"/>
  <c r="AI222" i="1"/>
  <c r="AH222" i="1"/>
  <c r="AG222" i="1"/>
  <c r="AF222" i="1"/>
  <c r="AE222" i="1"/>
  <c r="AD222" i="1"/>
  <c r="AK221" i="1"/>
  <c r="AJ221" i="1"/>
  <c r="AI221" i="1"/>
  <c r="AH221" i="1"/>
  <c r="AG221" i="1"/>
  <c r="AF221" i="1"/>
  <c r="AE221" i="1"/>
  <c r="AD221" i="1"/>
  <c r="AK220" i="1"/>
  <c r="AJ220" i="1"/>
  <c r="AI220" i="1"/>
  <c r="AH220" i="1"/>
  <c r="AG220" i="1"/>
  <c r="AF220" i="1"/>
  <c r="AE220" i="1"/>
  <c r="AD220" i="1"/>
  <c r="AK219" i="1"/>
  <c r="AJ219" i="1"/>
  <c r="AI219" i="1"/>
  <c r="AH219" i="1"/>
  <c r="AG219" i="1"/>
  <c r="AF219" i="1"/>
  <c r="AE219" i="1"/>
  <c r="AD219" i="1"/>
  <c r="AK218" i="1"/>
  <c r="AJ218" i="1"/>
  <c r="AI218" i="1"/>
  <c r="AH218" i="1"/>
  <c r="AG218" i="1"/>
  <c r="AF218" i="1"/>
  <c r="AE218" i="1"/>
  <c r="AD218" i="1"/>
  <c r="AK217" i="1"/>
  <c r="AJ217" i="1"/>
  <c r="AI217" i="1"/>
  <c r="AH217" i="1"/>
  <c r="AG217" i="1"/>
  <c r="AF217" i="1"/>
  <c r="AE217" i="1"/>
  <c r="AD217" i="1"/>
  <c r="AK216" i="1"/>
  <c r="AJ216" i="1"/>
  <c r="AI216" i="1"/>
  <c r="AH216" i="1"/>
  <c r="AG216" i="1"/>
  <c r="AF216" i="1"/>
  <c r="AE216" i="1"/>
  <c r="AD216" i="1"/>
  <c r="AK215" i="1"/>
  <c r="AJ215" i="1"/>
  <c r="AI215" i="1"/>
  <c r="AH215" i="1"/>
  <c r="AG215" i="1"/>
  <c r="AF215" i="1"/>
  <c r="AE215" i="1"/>
  <c r="AD215" i="1"/>
  <c r="AK214" i="1"/>
  <c r="AJ214" i="1"/>
  <c r="AI214" i="1"/>
  <c r="AH214" i="1"/>
  <c r="AG214" i="1"/>
  <c r="AF214" i="1"/>
  <c r="AE214" i="1"/>
  <c r="AD214" i="1"/>
  <c r="AK213" i="1"/>
  <c r="AJ213" i="1"/>
  <c r="AI213" i="1"/>
  <c r="AH213" i="1"/>
  <c r="AG213" i="1"/>
  <c r="AF213" i="1"/>
  <c r="AE213" i="1"/>
  <c r="AD213" i="1"/>
  <c r="AK212" i="1"/>
  <c r="AJ212" i="1"/>
  <c r="AI212" i="1"/>
  <c r="AH212" i="1"/>
  <c r="AG212" i="1"/>
  <c r="AF212" i="1"/>
  <c r="AE212" i="1"/>
  <c r="AD212" i="1"/>
  <c r="AK211" i="1"/>
  <c r="AJ211" i="1"/>
  <c r="AI211" i="1"/>
  <c r="AH211" i="1"/>
  <c r="AG211" i="1"/>
  <c r="AF211" i="1"/>
  <c r="AE211" i="1"/>
  <c r="AD211" i="1"/>
  <c r="AK210" i="1"/>
  <c r="AJ210" i="1"/>
  <c r="AI210" i="1"/>
  <c r="AH210" i="1"/>
  <c r="AG210" i="1"/>
  <c r="AF210" i="1"/>
  <c r="AE210" i="1"/>
  <c r="AD210" i="1"/>
  <c r="AK209" i="1"/>
  <c r="AJ209" i="1"/>
  <c r="AI209" i="1"/>
  <c r="AH209" i="1"/>
  <c r="AG209" i="1"/>
  <c r="AF209" i="1"/>
  <c r="AE209" i="1"/>
  <c r="AD209" i="1"/>
  <c r="AK208" i="1"/>
  <c r="AJ208" i="1"/>
  <c r="AI208" i="1"/>
  <c r="AH208" i="1"/>
  <c r="AG208" i="1"/>
  <c r="AF208" i="1"/>
  <c r="AE208" i="1"/>
  <c r="AD208" i="1"/>
  <c r="AK207" i="1"/>
  <c r="AJ207" i="1"/>
  <c r="AI207" i="1"/>
  <c r="AH207" i="1"/>
  <c r="AG207" i="1"/>
  <c r="AF207" i="1"/>
  <c r="AE207" i="1"/>
  <c r="AD207" i="1"/>
  <c r="AK206" i="1"/>
  <c r="AJ206" i="1"/>
  <c r="AI206" i="1"/>
  <c r="AH206" i="1"/>
  <c r="AG206" i="1"/>
  <c r="AF206" i="1"/>
  <c r="AE206" i="1"/>
  <c r="AD206" i="1"/>
  <c r="AK205" i="1"/>
  <c r="AJ205" i="1"/>
  <c r="AI205" i="1"/>
  <c r="AH205" i="1"/>
  <c r="AG205" i="1"/>
  <c r="AF205" i="1"/>
  <c r="AE205" i="1"/>
  <c r="AD205" i="1"/>
  <c r="AK204" i="1"/>
  <c r="AJ204" i="1"/>
  <c r="AI204" i="1"/>
  <c r="AH204" i="1"/>
  <c r="AG204" i="1"/>
  <c r="AF204" i="1"/>
  <c r="AE204" i="1"/>
  <c r="AD204" i="1"/>
  <c r="AK203" i="1"/>
  <c r="AJ203" i="1"/>
  <c r="AI203" i="1"/>
  <c r="AH203" i="1"/>
  <c r="AG203" i="1"/>
  <c r="AF203" i="1"/>
  <c r="AE203" i="1"/>
  <c r="AD203" i="1"/>
  <c r="AK202" i="1"/>
  <c r="AJ202" i="1"/>
  <c r="AI202" i="1"/>
  <c r="AH202" i="1"/>
  <c r="AG202" i="1"/>
  <c r="AF202" i="1"/>
  <c r="AE202" i="1"/>
  <c r="AD202" i="1"/>
  <c r="AK201" i="1"/>
  <c r="AJ201" i="1"/>
  <c r="AI201" i="1"/>
  <c r="AH201" i="1"/>
  <c r="AG201" i="1"/>
  <c r="AF201" i="1"/>
  <c r="AE201" i="1"/>
  <c r="AD201" i="1"/>
  <c r="AK200" i="1"/>
  <c r="AJ200" i="1"/>
  <c r="AI200" i="1"/>
  <c r="AH200" i="1"/>
  <c r="AG200" i="1"/>
  <c r="AF200" i="1"/>
  <c r="AE200" i="1"/>
  <c r="AD200" i="1"/>
  <c r="AK199" i="1"/>
  <c r="AJ199" i="1"/>
  <c r="AI199" i="1"/>
  <c r="AH199" i="1"/>
  <c r="AG199" i="1"/>
  <c r="AF199" i="1"/>
  <c r="AE199" i="1"/>
  <c r="AD199" i="1"/>
  <c r="AK198" i="1"/>
  <c r="AJ198" i="1"/>
  <c r="AI198" i="1"/>
  <c r="AH198" i="1"/>
  <c r="AG198" i="1"/>
  <c r="AF198" i="1"/>
  <c r="AE198" i="1"/>
  <c r="AD198" i="1"/>
  <c r="AK197" i="1"/>
  <c r="AJ197" i="1"/>
  <c r="AI197" i="1"/>
  <c r="AH197" i="1"/>
  <c r="AG197" i="1"/>
  <c r="AF197" i="1"/>
  <c r="AE197" i="1"/>
  <c r="AD197" i="1"/>
  <c r="AK196" i="1"/>
  <c r="AJ196" i="1"/>
  <c r="AI196" i="1"/>
  <c r="AH196" i="1"/>
  <c r="AG196" i="1"/>
  <c r="AF196" i="1"/>
  <c r="AE196" i="1"/>
  <c r="AD196" i="1"/>
  <c r="AK195" i="1"/>
  <c r="AJ195" i="1"/>
  <c r="AI195" i="1"/>
  <c r="AH195" i="1"/>
  <c r="AG195" i="1"/>
  <c r="AF195" i="1"/>
  <c r="AE195" i="1"/>
  <c r="AD195" i="1"/>
  <c r="AK194" i="1"/>
  <c r="AJ194" i="1"/>
  <c r="AI194" i="1"/>
  <c r="AH194" i="1"/>
  <c r="AG194" i="1"/>
  <c r="AF194" i="1"/>
  <c r="AE194" i="1"/>
  <c r="AD194" i="1"/>
  <c r="AK193" i="1"/>
  <c r="AJ193" i="1"/>
  <c r="AI193" i="1"/>
  <c r="AH193" i="1"/>
  <c r="AG193" i="1"/>
  <c r="AF193" i="1"/>
  <c r="AE193" i="1"/>
  <c r="AD193" i="1"/>
  <c r="AK192" i="1"/>
  <c r="AJ192" i="1"/>
  <c r="AI192" i="1"/>
  <c r="AH192" i="1"/>
  <c r="AG192" i="1"/>
  <c r="AF192" i="1"/>
  <c r="AE192" i="1"/>
  <c r="AD192" i="1"/>
  <c r="AK191" i="1"/>
  <c r="AJ191" i="1"/>
  <c r="AI191" i="1"/>
  <c r="AH191" i="1"/>
  <c r="AG191" i="1"/>
  <c r="AF191" i="1"/>
  <c r="AE191" i="1"/>
  <c r="AD191" i="1"/>
  <c r="AK190" i="1"/>
  <c r="AJ190" i="1"/>
  <c r="AI190" i="1"/>
  <c r="AH190" i="1"/>
  <c r="AG190" i="1"/>
  <c r="AF190" i="1"/>
  <c r="AE190" i="1"/>
  <c r="AD190" i="1"/>
  <c r="AK189" i="1"/>
  <c r="AJ189" i="1"/>
  <c r="AI189" i="1"/>
  <c r="AH189" i="1"/>
  <c r="AG189" i="1"/>
  <c r="AF189" i="1"/>
  <c r="AE189" i="1"/>
  <c r="AD189" i="1"/>
  <c r="AK188" i="1"/>
  <c r="AJ188" i="1"/>
  <c r="AI188" i="1"/>
  <c r="AH188" i="1"/>
  <c r="AG188" i="1"/>
  <c r="AF188" i="1"/>
  <c r="AE188" i="1"/>
  <c r="AD188" i="1"/>
  <c r="AK187" i="1"/>
  <c r="AJ187" i="1"/>
  <c r="AI187" i="1"/>
  <c r="AH187" i="1"/>
  <c r="AG187" i="1"/>
  <c r="AF187" i="1"/>
  <c r="AE187" i="1"/>
  <c r="AD187" i="1"/>
  <c r="AK186" i="1"/>
  <c r="AJ186" i="1"/>
  <c r="AI186" i="1"/>
  <c r="AH186" i="1"/>
  <c r="AG186" i="1"/>
  <c r="AF186" i="1"/>
  <c r="AE186" i="1"/>
  <c r="AD186" i="1"/>
  <c r="AK185" i="1"/>
  <c r="AJ185" i="1"/>
  <c r="AI185" i="1"/>
  <c r="AH185" i="1"/>
  <c r="AG185" i="1"/>
  <c r="AF185" i="1"/>
  <c r="AE185" i="1"/>
  <c r="AD185" i="1"/>
  <c r="AK184" i="1"/>
  <c r="AJ184" i="1"/>
  <c r="AI184" i="1"/>
  <c r="AH184" i="1"/>
  <c r="AG184" i="1"/>
  <c r="AF184" i="1"/>
  <c r="AE184" i="1"/>
  <c r="AD184" i="1"/>
  <c r="AK183" i="1"/>
  <c r="AJ183" i="1"/>
  <c r="AI183" i="1"/>
  <c r="AH183" i="1"/>
  <c r="AG183" i="1"/>
  <c r="AF183" i="1"/>
  <c r="AE183" i="1"/>
  <c r="AD183" i="1"/>
  <c r="AK182" i="1"/>
  <c r="AJ182" i="1"/>
  <c r="AI182" i="1"/>
  <c r="AH182" i="1"/>
  <c r="AG182" i="1"/>
  <c r="AF182" i="1"/>
  <c r="AE182" i="1"/>
  <c r="AD182" i="1"/>
  <c r="AK181" i="1"/>
  <c r="AJ181" i="1"/>
  <c r="AI181" i="1"/>
  <c r="AH181" i="1"/>
  <c r="AG181" i="1"/>
  <c r="AF181" i="1"/>
  <c r="AE181" i="1"/>
  <c r="AD181" i="1"/>
  <c r="AK180" i="1"/>
  <c r="AJ180" i="1"/>
  <c r="AI180" i="1"/>
  <c r="AH180" i="1"/>
  <c r="AG180" i="1"/>
  <c r="AF180" i="1"/>
  <c r="AE180" i="1"/>
  <c r="AD180" i="1"/>
  <c r="AK179" i="1"/>
  <c r="AJ179" i="1"/>
  <c r="AI179" i="1"/>
  <c r="AH179" i="1"/>
  <c r="AG179" i="1"/>
  <c r="AF179" i="1"/>
  <c r="AE179" i="1"/>
  <c r="AD179" i="1"/>
  <c r="AK178" i="1"/>
  <c r="AJ178" i="1"/>
  <c r="AI178" i="1"/>
  <c r="AH178" i="1"/>
  <c r="AG178" i="1"/>
  <c r="AF178" i="1"/>
  <c r="AE178" i="1"/>
  <c r="AD178" i="1"/>
  <c r="AK177" i="1"/>
  <c r="AJ177" i="1"/>
  <c r="AI177" i="1"/>
  <c r="AH177" i="1"/>
  <c r="AG177" i="1"/>
  <c r="AF177" i="1"/>
  <c r="AE177" i="1"/>
  <c r="AD177" i="1"/>
  <c r="AK176" i="1"/>
  <c r="AJ176" i="1"/>
  <c r="AI176" i="1"/>
  <c r="AH176" i="1"/>
  <c r="AG176" i="1"/>
  <c r="AF176" i="1"/>
  <c r="AE176" i="1"/>
  <c r="AD176" i="1"/>
  <c r="AK175" i="1"/>
  <c r="AJ175" i="1"/>
  <c r="AI175" i="1"/>
  <c r="AH175" i="1"/>
  <c r="AG175" i="1"/>
  <c r="AF175" i="1"/>
  <c r="AE175" i="1"/>
  <c r="AD175" i="1"/>
  <c r="AK174" i="1"/>
  <c r="AJ174" i="1"/>
  <c r="AI174" i="1"/>
  <c r="AH174" i="1"/>
  <c r="AG174" i="1"/>
  <c r="AF174" i="1"/>
  <c r="AE174" i="1"/>
  <c r="AD174" i="1"/>
  <c r="AK173" i="1"/>
  <c r="AJ173" i="1"/>
  <c r="AI173" i="1"/>
  <c r="AH173" i="1"/>
  <c r="AG173" i="1"/>
  <c r="AF173" i="1"/>
  <c r="AE173" i="1"/>
  <c r="AD173" i="1"/>
  <c r="AK172" i="1"/>
  <c r="AJ172" i="1"/>
  <c r="AI172" i="1"/>
  <c r="AH172" i="1"/>
  <c r="AG172" i="1"/>
  <c r="AF172" i="1"/>
  <c r="AE172" i="1"/>
  <c r="AD172" i="1"/>
  <c r="AK171" i="1"/>
  <c r="AJ171" i="1"/>
  <c r="AI171" i="1"/>
  <c r="AH171" i="1"/>
  <c r="AG171" i="1"/>
  <c r="AF171" i="1"/>
  <c r="AE171" i="1"/>
  <c r="AD171" i="1"/>
  <c r="AK170" i="1"/>
  <c r="AJ170" i="1"/>
  <c r="AI170" i="1"/>
  <c r="AH170" i="1"/>
  <c r="AG170" i="1"/>
  <c r="AF170" i="1"/>
  <c r="AE170" i="1"/>
  <c r="AD170" i="1"/>
  <c r="AK169" i="1"/>
  <c r="AJ169" i="1"/>
  <c r="AI169" i="1"/>
  <c r="AH169" i="1"/>
  <c r="AG169" i="1"/>
  <c r="AF169" i="1"/>
  <c r="AE169" i="1"/>
  <c r="AD169" i="1"/>
  <c r="AK168" i="1"/>
  <c r="AJ168" i="1"/>
  <c r="AI168" i="1"/>
  <c r="AH168" i="1"/>
  <c r="AG168" i="1"/>
  <c r="AF168" i="1"/>
  <c r="AE168" i="1"/>
  <c r="AD168" i="1"/>
  <c r="AK167" i="1"/>
  <c r="AJ167" i="1"/>
  <c r="AI167" i="1"/>
  <c r="AH167" i="1"/>
  <c r="AG167" i="1"/>
  <c r="AF167" i="1"/>
  <c r="AE167" i="1"/>
  <c r="AD167" i="1"/>
  <c r="AK166" i="1"/>
  <c r="AJ166" i="1"/>
  <c r="AI166" i="1"/>
  <c r="AH166" i="1"/>
  <c r="AG166" i="1"/>
  <c r="AF166" i="1"/>
  <c r="AE166" i="1"/>
  <c r="AD166" i="1"/>
  <c r="AK165" i="1"/>
  <c r="AJ165" i="1"/>
  <c r="AI165" i="1"/>
  <c r="AH165" i="1"/>
  <c r="AG165" i="1"/>
  <c r="AF165" i="1"/>
  <c r="AE165" i="1"/>
  <c r="AD165" i="1"/>
  <c r="AK164" i="1"/>
  <c r="AJ164" i="1"/>
  <c r="AI164" i="1"/>
  <c r="AH164" i="1"/>
  <c r="AG164" i="1"/>
  <c r="AF164" i="1"/>
  <c r="AE164" i="1"/>
  <c r="AD164" i="1"/>
  <c r="AK163" i="1"/>
  <c r="AJ163" i="1"/>
  <c r="AI163" i="1"/>
  <c r="AH163" i="1"/>
  <c r="AG163" i="1"/>
  <c r="AF163" i="1"/>
  <c r="AE163" i="1"/>
  <c r="AD163" i="1"/>
  <c r="AK162" i="1"/>
  <c r="AJ162" i="1"/>
  <c r="AI162" i="1"/>
  <c r="AH162" i="1"/>
  <c r="AG162" i="1"/>
  <c r="AF162" i="1"/>
  <c r="AE162" i="1"/>
  <c r="AD162" i="1"/>
  <c r="AK161" i="1"/>
  <c r="AJ161" i="1"/>
  <c r="AI161" i="1"/>
  <c r="AH161" i="1"/>
  <c r="AG161" i="1"/>
  <c r="AF161" i="1"/>
  <c r="AE161" i="1"/>
  <c r="AD161" i="1"/>
  <c r="AK160" i="1"/>
  <c r="AJ160" i="1"/>
  <c r="AI160" i="1"/>
  <c r="AH160" i="1"/>
  <c r="AG160" i="1"/>
  <c r="AF160" i="1"/>
  <c r="AE160" i="1"/>
  <c r="AD160" i="1"/>
  <c r="AK159" i="1"/>
  <c r="AJ159" i="1"/>
  <c r="AI159" i="1"/>
  <c r="AH159" i="1"/>
  <c r="AG159" i="1"/>
  <c r="AF159" i="1"/>
  <c r="AE159" i="1"/>
  <c r="AD159" i="1"/>
  <c r="AK158" i="1"/>
  <c r="AJ158" i="1"/>
  <c r="AI158" i="1"/>
  <c r="AH158" i="1"/>
  <c r="AG158" i="1"/>
  <c r="AF158" i="1"/>
  <c r="AE158" i="1"/>
  <c r="AD158" i="1"/>
  <c r="AK157" i="1"/>
  <c r="AJ157" i="1"/>
  <c r="AI157" i="1"/>
  <c r="AH157" i="1"/>
  <c r="AG157" i="1"/>
  <c r="AF157" i="1"/>
  <c r="AE157" i="1"/>
  <c r="AD157" i="1"/>
  <c r="AK156" i="1"/>
  <c r="AJ156" i="1"/>
  <c r="AI156" i="1"/>
  <c r="AH156" i="1"/>
  <c r="AG156" i="1"/>
  <c r="AF156" i="1"/>
  <c r="AE156" i="1"/>
  <c r="AD156" i="1"/>
  <c r="AK155" i="1"/>
  <c r="AJ155" i="1"/>
  <c r="AI155" i="1"/>
  <c r="AH155" i="1"/>
  <c r="AG155" i="1"/>
  <c r="AF155" i="1"/>
  <c r="AE155" i="1"/>
  <c r="AD155" i="1"/>
  <c r="AK154" i="1"/>
  <c r="AJ154" i="1"/>
  <c r="AI154" i="1"/>
  <c r="AH154" i="1"/>
  <c r="AG154" i="1"/>
  <c r="AF154" i="1"/>
  <c r="AE154" i="1"/>
  <c r="AD154" i="1"/>
  <c r="AK153" i="1"/>
  <c r="AJ153" i="1"/>
  <c r="AI153" i="1"/>
  <c r="AH153" i="1"/>
  <c r="AG153" i="1"/>
  <c r="AF153" i="1"/>
  <c r="AE153" i="1"/>
  <c r="AD153" i="1"/>
  <c r="AK152" i="1"/>
  <c r="AJ152" i="1"/>
  <c r="AI152" i="1"/>
  <c r="AH152" i="1"/>
  <c r="AG152" i="1"/>
  <c r="AF152" i="1"/>
  <c r="AE152" i="1"/>
  <c r="AD152" i="1"/>
  <c r="AK151" i="1"/>
  <c r="AJ151" i="1"/>
  <c r="AI151" i="1"/>
  <c r="AH151" i="1"/>
  <c r="AG151" i="1"/>
  <c r="AF151" i="1"/>
  <c r="AE151" i="1"/>
  <c r="AD151" i="1"/>
  <c r="AK150" i="1"/>
  <c r="AJ150" i="1"/>
  <c r="AI150" i="1"/>
  <c r="AH150" i="1"/>
  <c r="AG150" i="1"/>
  <c r="AF150" i="1"/>
  <c r="AE150" i="1"/>
  <c r="AD150" i="1"/>
  <c r="AK149" i="1"/>
  <c r="AJ149" i="1"/>
  <c r="AI149" i="1"/>
  <c r="AH149" i="1"/>
  <c r="AG149" i="1"/>
  <c r="AF149" i="1"/>
  <c r="AE149" i="1"/>
  <c r="AD149" i="1"/>
  <c r="AK148" i="1"/>
  <c r="AJ148" i="1"/>
  <c r="AI148" i="1"/>
  <c r="AH148" i="1"/>
  <c r="AG148" i="1"/>
  <c r="AF148" i="1"/>
  <c r="AE148" i="1"/>
  <c r="AD148" i="1"/>
  <c r="AK147" i="1"/>
  <c r="AJ147" i="1"/>
  <c r="AI147" i="1"/>
  <c r="AH147" i="1"/>
  <c r="AG147" i="1"/>
  <c r="AF147" i="1"/>
  <c r="AE147" i="1"/>
  <c r="AD147" i="1"/>
  <c r="AK146" i="1"/>
  <c r="AJ146" i="1"/>
  <c r="AI146" i="1"/>
  <c r="AH146" i="1"/>
  <c r="AG146" i="1"/>
  <c r="AF146" i="1"/>
  <c r="AE146" i="1"/>
  <c r="AD146" i="1"/>
  <c r="AK145" i="1"/>
  <c r="AJ145" i="1"/>
  <c r="AI145" i="1"/>
  <c r="AH145" i="1"/>
  <c r="AG145" i="1"/>
  <c r="AF145" i="1"/>
  <c r="AE145" i="1"/>
  <c r="AD145" i="1"/>
  <c r="AK144" i="1"/>
  <c r="AJ144" i="1"/>
  <c r="AI144" i="1"/>
  <c r="AH144" i="1"/>
  <c r="AG144" i="1"/>
  <c r="AF144" i="1"/>
  <c r="AE144" i="1"/>
  <c r="AD144" i="1"/>
  <c r="AK143" i="1"/>
  <c r="AJ143" i="1"/>
  <c r="AI143" i="1"/>
  <c r="AH143" i="1"/>
  <c r="AG143" i="1"/>
  <c r="AF143" i="1"/>
  <c r="AE143" i="1"/>
  <c r="AD143" i="1"/>
  <c r="AK142" i="1"/>
  <c r="AJ142" i="1"/>
  <c r="AI142" i="1"/>
  <c r="AH142" i="1"/>
  <c r="AG142" i="1"/>
  <c r="AF142" i="1"/>
  <c r="AE142" i="1"/>
  <c r="AD142" i="1"/>
  <c r="AK141" i="1"/>
  <c r="AJ141" i="1"/>
  <c r="AI141" i="1"/>
  <c r="AH141" i="1"/>
  <c r="AG141" i="1"/>
  <c r="AF141" i="1"/>
  <c r="AE141" i="1"/>
  <c r="AD141" i="1"/>
  <c r="AK140" i="1"/>
  <c r="AJ140" i="1"/>
  <c r="AI140" i="1"/>
  <c r="AH140" i="1"/>
  <c r="AG140" i="1"/>
  <c r="AF140" i="1"/>
  <c r="AE140" i="1"/>
  <c r="AD140" i="1"/>
  <c r="AK139" i="1"/>
  <c r="AJ139" i="1"/>
  <c r="AI139" i="1"/>
  <c r="AH139" i="1"/>
  <c r="AG139" i="1"/>
  <c r="AF139" i="1"/>
  <c r="AE139" i="1"/>
  <c r="AD139" i="1"/>
  <c r="AK138" i="1"/>
  <c r="AJ138" i="1"/>
  <c r="AI138" i="1"/>
  <c r="AH138" i="1"/>
  <c r="AG138" i="1"/>
  <c r="AF138" i="1"/>
  <c r="AE138" i="1"/>
  <c r="AD138" i="1"/>
  <c r="AK137" i="1"/>
  <c r="AJ137" i="1"/>
  <c r="AI137" i="1"/>
  <c r="AH137" i="1"/>
  <c r="AG137" i="1"/>
  <c r="AF137" i="1"/>
  <c r="AE137" i="1"/>
  <c r="AD137" i="1"/>
  <c r="AK136" i="1"/>
  <c r="AJ136" i="1"/>
  <c r="AI136" i="1"/>
  <c r="AH136" i="1"/>
  <c r="AG136" i="1"/>
  <c r="AF136" i="1"/>
  <c r="AE136" i="1"/>
  <c r="AD136" i="1"/>
  <c r="AK135" i="1"/>
  <c r="AJ135" i="1"/>
  <c r="AI135" i="1"/>
  <c r="AH135" i="1"/>
  <c r="AG135" i="1"/>
  <c r="AF135" i="1"/>
  <c r="AE135" i="1"/>
  <c r="AD135" i="1"/>
  <c r="AK134" i="1"/>
  <c r="AJ134" i="1"/>
  <c r="AI134" i="1"/>
  <c r="AH134" i="1"/>
  <c r="AG134" i="1"/>
  <c r="AF134" i="1"/>
  <c r="AE134" i="1"/>
  <c r="AD134" i="1"/>
  <c r="AK133" i="1"/>
  <c r="AJ133" i="1"/>
  <c r="AI133" i="1"/>
  <c r="AH133" i="1"/>
  <c r="AG133" i="1"/>
  <c r="AF133" i="1"/>
  <c r="AE133" i="1"/>
  <c r="AD133" i="1"/>
  <c r="AK132" i="1"/>
  <c r="AJ132" i="1"/>
  <c r="AI132" i="1"/>
  <c r="AH132" i="1"/>
  <c r="AG132" i="1"/>
  <c r="AF132" i="1"/>
  <c r="AE132" i="1"/>
  <c r="AD132" i="1"/>
  <c r="AK131" i="1"/>
  <c r="AJ131" i="1"/>
  <c r="AI131" i="1"/>
  <c r="AH131" i="1"/>
  <c r="AG131" i="1"/>
  <c r="AF131" i="1"/>
  <c r="AE131" i="1"/>
  <c r="AD131" i="1"/>
  <c r="AK130" i="1"/>
  <c r="AJ130" i="1"/>
  <c r="AI130" i="1"/>
  <c r="AH130" i="1"/>
  <c r="AG130" i="1"/>
  <c r="AF130" i="1"/>
  <c r="AE130" i="1"/>
  <c r="AD130" i="1"/>
  <c r="AK129" i="1"/>
  <c r="AJ129" i="1"/>
  <c r="AI129" i="1"/>
  <c r="AH129" i="1"/>
  <c r="AG129" i="1"/>
  <c r="AF129" i="1"/>
  <c r="AE129" i="1"/>
  <c r="AD129" i="1"/>
  <c r="AK128" i="1"/>
  <c r="AJ128" i="1"/>
  <c r="AI128" i="1"/>
  <c r="AH128" i="1"/>
  <c r="AG128" i="1"/>
  <c r="AF128" i="1"/>
  <c r="AE128" i="1"/>
  <c r="AD128" i="1"/>
  <c r="AK127" i="1"/>
  <c r="AJ127" i="1"/>
  <c r="AI127" i="1"/>
  <c r="AH127" i="1"/>
  <c r="AG127" i="1"/>
  <c r="AF127" i="1"/>
  <c r="AE127" i="1"/>
  <c r="AD127" i="1"/>
  <c r="AK126" i="1"/>
  <c r="AJ126" i="1"/>
  <c r="AI126" i="1"/>
  <c r="AH126" i="1"/>
  <c r="AG126" i="1"/>
  <c r="AF126" i="1"/>
  <c r="AE126" i="1"/>
  <c r="AD126" i="1"/>
  <c r="AK125" i="1"/>
  <c r="AJ125" i="1"/>
  <c r="AI125" i="1"/>
  <c r="AH125" i="1"/>
  <c r="AG125" i="1"/>
  <c r="AF125" i="1"/>
  <c r="AE125" i="1"/>
  <c r="AD125" i="1"/>
  <c r="AK124" i="1"/>
  <c r="AJ124" i="1"/>
  <c r="AI124" i="1"/>
  <c r="AH124" i="1"/>
  <c r="AG124" i="1"/>
  <c r="AF124" i="1"/>
  <c r="AE124" i="1"/>
  <c r="AD124" i="1"/>
  <c r="AK123" i="1"/>
  <c r="AJ123" i="1"/>
  <c r="AI123" i="1"/>
  <c r="AH123" i="1"/>
  <c r="AG123" i="1"/>
  <c r="AF123" i="1"/>
  <c r="AE123" i="1"/>
  <c r="AD123" i="1"/>
  <c r="AK122" i="1"/>
  <c r="AJ122" i="1"/>
  <c r="AI122" i="1"/>
  <c r="AH122" i="1"/>
  <c r="AG122" i="1"/>
  <c r="AF122" i="1"/>
  <c r="AE122" i="1"/>
  <c r="AD122" i="1"/>
  <c r="AK121" i="1"/>
  <c r="AJ121" i="1"/>
  <c r="AI121" i="1"/>
  <c r="AH121" i="1"/>
  <c r="AG121" i="1"/>
  <c r="AF121" i="1"/>
  <c r="AE121" i="1"/>
  <c r="AD121" i="1"/>
  <c r="AK120" i="1"/>
  <c r="AJ120" i="1"/>
  <c r="AI120" i="1"/>
  <c r="AH120" i="1"/>
  <c r="AG120" i="1"/>
  <c r="AF120" i="1"/>
  <c r="AE120" i="1"/>
  <c r="AD120" i="1"/>
  <c r="AK119" i="1"/>
  <c r="AJ119" i="1"/>
  <c r="AI119" i="1"/>
  <c r="AH119" i="1"/>
  <c r="AG119" i="1"/>
  <c r="AF119" i="1"/>
  <c r="AE119" i="1"/>
  <c r="AD119" i="1"/>
  <c r="AK118" i="1"/>
  <c r="AJ118" i="1"/>
  <c r="AI118" i="1"/>
  <c r="AH118" i="1"/>
  <c r="AG118" i="1"/>
  <c r="AF118" i="1"/>
  <c r="AE118" i="1"/>
  <c r="AD118" i="1"/>
  <c r="AK117" i="1"/>
  <c r="AJ117" i="1"/>
  <c r="AI117" i="1"/>
  <c r="AH117" i="1"/>
  <c r="AG117" i="1"/>
  <c r="AF117" i="1"/>
  <c r="AE117" i="1"/>
  <c r="AD117" i="1"/>
  <c r="AK116" i="1"/>
  <c r="AJ116" i="1"/>
  <c r="AI116" i="1"/>
  <c r="AH116" i="1"/>
  <c r="AG116" i="1"/>
  <c r="AF116" i="1"/>
  <c r="AE116" i="1"/>
  <c r="AD116" i="1"/>
  <c r="AK115" i="1"/>
  <c r="AJ115" i="1"/>
  <c r="AI115" i="1"/>
  <c r="AH115" i="1"/>
  <c r="AG115" i="1"/>
  <c r="AF115" i="1"/>
  <c r="AE115" i="1"/>
  <c r="AD115" i="1"/>
  <c r="AK114" i="1"/>
  <c r="AJ114" i="1"/>
  <c r="AI114" i="1"/>
  <c r="AH114" i="1"/>
  <c r="AG114" i="1"/>
  <c r="AF114" i="1"/>
  <c r="AE114" i="1"/>
  <c r="AD114" i="1"/>
  <c r="AK113" i="1"/>
  <c r="AJ113" i="1"/>
  <c r="AI113" i="1"/>
  <c r="AH113" i="1"/>
  <c r="AG113" i="1"/>
  <c r="AF113" i="1"/>
  <c r="AE113" i="1"/>
  <c r="AD113" i="1"/>
  <c r="AK112" i="1"/>
  <c r="AJ112" i="1"/>
  <c r="AI112" i="1"/>
  <c r="AH112" i="1"/>
  <c r="AG112" i="1"/>
  <c r="AF112" i="1"/>
  <c r="AE112" i="1"/>
  <c r="AD112" i="1"/>
  <c r="AK111" i="1"/>
  <c r="AJ111" i="1"/>
  <c r="AI111" i="1"/>
  <c r="AH111" i="1"/>
  <c r="AG111" i="1"/>
  <c r="AF111" i="1"/>
  <c r="AE111" i="1"/>
  <c r="AD111" i="1"/>
  <c r="AK110" i="1"/>
  <c r="AJ110" i="1"/>
  <c r="AI110" i="1"/>
  <c r="AH110" i="1"/>
  <c r="AG110" i="1"/>
  <c r="AF110" i="1"/>
  <c r="AE110" i="1"/>
  <c r="AD110" i="1"/>
  <c r="AK109" i="1"/>
  <c r="AJ109" i="1"/>
  <c r="AI109" i="1"/>
  <c r="AH109" i="1"/>
  <c r="AG109" i="1"/>
  <c r="AF109" i="1"/>
  <c r="AE109" i="1"/>
  <c r="AD109" i="1"/>
  <c r="AK108" i="1"/>
  <c r="AJ108" i="1"/>
  <c r="AI108" i="1"/>
  <c r="AH108" i="1"/>
  <c r="AG108" i="1"/>
  <c r="AF108" i="1"/>
  <c r="AE108" i="1"/>
  <c r="AD108" i="1"/>
  <c r="AK107" i="1"/>
  <c r="AJ107" i="1"/>
  <c r="AI107" i="1"/>
  <c r="AH107" i="1"/>
  <c r="AG107" i="1"/>
  <c r="AF107" i="1"/>
  <c r="AE107" i="1"/>
  <c r="AD107" i="1"/>
  <c r="AK106" i="1"/>
  <c r="AJ106" i="1"/>
  <c r="AI106" i="1"/>
  <c r="AH106" i="1"/>
  <c r="AG106" i="1"/>
  <c r="AF106" i="1"/>
  <c r="AE106" i="1"/>
  <c r="AD106" i="1"/>
  <c r="AK105" i="1"/>
  <c r="AJ105" i="1"/>
  <c r="AI105" i="1"/>
  <c r="AH105" i="1"/>
  <c r="AG105" i="1"/>
  <c r="AF105" i="1"/>
  <c r="AE105" i="1"/>
  <c r="AD105" i="1"/>
  <c r="AK104" i="1"/>
  <c r="AJ104" i="1"/>
  <c r="AI104" i="1"/>
  <c r="AH104" i="1"/>
  <c r="AG104" i="1"/>
  <c r="AF104" i="1"/>
  <c r="AE104" i="1"/>
  <c r="AD104" i="1"/>
  <c r="AK103" i="1"/>
  <c r="AJ103" i="1"/>
  <c r="AI103" i="1"/>
  <c r="AH103" i="1"/>
  <c r="AG103" i="1"/>
  <c r="AF103" i="1"/>
  <c r="AE103" i="1"/>
  <c r="AD103" i="1"/>
  <c r="AK102" i="1"/>
  <c r="AJ102" i="1"/>
  <c r="AI102" i="1"/>
  <c r="AH102" i="1"/>
  <c r="AG102" i="1"/>
  <c r="AF102" i="1"/>
  <c r="AE102" i="1"/>
  <c r="AD102" i="1"/>
  <c r="AK101" i="1"/>
  <c r="AJ101" i="1"/>
  <c r="AI101" i="1"/>
  <c r="AH101" i="1"/>
  <c r="AG101" i="1"/>
  <c r="AF101" i="1"/>
  <c r="AE101" i="1"/>
  <c r="AD101" i="1"/>
  <c r="AK100" i="1"/>
  <c r="AJ100" i="1"/>
  <c r="AI100" i="1"/>
  <c r="AH100" i="1"/>
  <c r="AG100" i="1"/>
  <c r="AF100" i="1"/>
  <c r="AE100" i="1"/>
  <c r="AD100" i="1"/>
  <c r="AK99" i="1"/>
  <c r="AJ99" i="1"/>
  <c r="AI99" i="1"/>
  <c r="AH99" i="1"/>
  <c r="AG99" i="1"/>
  <c r="AF99" i="1"/>
  <c r="AE99" i="1"/>
  <c r="AD99" i="1"/>
  <c r="AK98" i="1"/>
  <c r="AJ98" i="1"/>
  <c r="AI98" i="1"/>
  <c r="AH98" i="1"/>
  <c r="AG98" i="1"/>
  <c r="AF98" i="1"/>
  <c r="AE98" i="1"/>
  <c r="AD98" i="1"/>
  <c r="AK97" i="1"/>
  <c r="AJ97" i="1"/>
  <c r="AI97" i="1"/>
  <c r="AH97" i="1"/>
  <c r="AG97" i="1"/>
  <c r="AF97" i="1"/>
  <c r="AE97" i="1"/>
  <c r="AD97" i="1"/>
  <c r="AK96" i="1"/>
  <c r="AJ96" i="1"/>
  <c r="AI96" i="1"/>
  <c r="AH96" i="1"/>
  <c r="AG96" i="1"/>
  <c r="AF96" i="1"/>
  <c r="AE96" i="1"/>
  <c r="AD96" i="1"/>
  <c r="AK95" i="1"/>
  <c r="AJ95" i="1"/>
  <c r="AI95" i="1"/>
  <c r="AH95" i="1"/>
  <c r="AG95" i="1"/>
  <c r="AF95" i="1"/>
  <c r="AE95" i="1"/>
  <c r="AD95" i="1"/>
  <c r="AK94" i="1"/>
  <c r="AJ94" i="1"/>
  <c r="AI94" i="1"/>
  <c r="AH94" i="1"/>
  <c r="AG94" i="1"/>
  <c r="AF94" i="1"/>
  <c r="AE94" i="1"/>
  <c r="AD94" i="1"/>
  <c r="AK93" i="1"/>
  <c r="AJ93" i="1"/>
  <c r="AI93" i="1"/>
  <c r="AH93" i="1"/>
  <c r="AG93" i="1"/>
  <c r="AF93" i="1"/>
  <c r="AE93" i="1"/>
  <c r="AD93" i="1"/>
  <c r="AK92" i="1"/>
  <c r="AJ92" i="1"/>
  <c r="AI92" i="1"/>
  <c r="AH92" i="1"/>
  <c r="AG92" i="1"/>
  <c r="AF92" i="1"/>
  <c r="AE92" i="1"/>
  <c r="AD92" i="1"/>
  <c r="AK91" i="1"/>
  <c r="AJ91" i="1"/>
  <c r="AI91" i="1"/>
  <c r="AH91" i="1"/>
  <c r="AG91" i="1"/>
  <c r="AF91" i="1"/>
  <c r="AE91" i="1"/>
  <c r="AD91" i="1"/>
  <c r="AK90" i="1"/>
  <c r="AJ90" i="1"/>
  <c r="AI90" i="1"/>
  <c r="AH90" i="1"/>
  <c r="AG90" i="1"/>
  <c r="AF90" i="1"/>
  <c r="AE90" i="1"/>
  <c r="AD90" i="1"/>
  <c r="AK89" i="1"/>
  <c r="AJ89" i="1"/>
  <c r="AI89" i="1"/>
  <c r="AH89" i="1"/>
  <c r="AG89" i="1"/>
  <c r="AF89" i="1"/>
  <c r="AE89" i="1"/>
  <c r="AD89" i="1"/>
  <c r="AK88" i="1"/>
  <c r="AJ88" i="1"/>
  <c r="AI88" i="1"/>
  <c r="AH88" i="1"/>
  <c r="AG88" i="1"/>
  <c r="AF88" i="1"/>
  <c r="AE88" i="1"/>
  <c r="AD88" i="1"/>
  <c r="AK87" i="1"/>
  <c r="AJ87" i="1"/>
  <c r="AI87" i="1"/>
  <c r="AH87" i="1"/>
  <c r="AG87" i="1"/>
  <c r="AF87" i="1"/>
  <c r="AE87" i="1"/>
  <c r="AD87" i="1"/>
  <c r="AK86" i="1"/>
  <c r="AJ86" i="1"/>
  <c r="AI86" i="1"/>
  <c r="AH86" i="1"/>
  <c r="AG86" i="1"/>
  <c r="AF86" i="1"/>
  <c r="AE86" i="1"/>
  <c r="AD86" i="1"/>
  <c r="AK85" i="1"/>
  <c r="AJ85" i="1"/>
  <c r="AI85" i="1"/>
  <c r="AH85" i="1"/>
  <c r="AG85" i="1"/>
  <c r="AF85" i="1"/>
  <c r="AE85" i="1"/>
  <c r="AD85" i="1"/>
  <c r="AK84" i="1"/>
  <c r="AJ84" i="1"/>
  <c r="AI84" i="1"/>
  <c r="AH84" i="1"/>
  <c r="AG84" i="1"/>
  <c r="AF84" i="1"/>
  <c r="AE84" i="1"/>
  <c r="AD84" i="1"/>
  <c r="AK83" i="1"/>
  <c r="AJ83" i="1"/>
  <c r="AI83" i="1"/>
  <c r="AH83" i="1"/>
  <c r="AG83" i="1"/>
  <c r="AF83" i="1"/>
  <c r="AE83" i="1"/>
  <c r="AD83" i="1"/>
  <c r="AK82" i="1"/>
  <c r="AJ82" i="1"/>
  <c r="AI82" i="1"/>
  <c r="AH82" i="1"/>
  <c r="AG82" i="1"/>
  <c r="AF82" i="1"/>
  <c r="AE82" i="1"/>
  <c r="AD82" i="1"/>
  <c r="AK81" i="1"/>
  <c r="AJ81" i="1"/>
  <c r="AI81" i="1"/>
  <c r="AH81" i="1"/>
  <c r="AG81" i="1"/>
  <c r="AF81" i="1"/>
  <c r="AE81" i="1"/>
  <c r="AD81" i="1"/>
  <c r="AK80" i="1"/>
  <c r="AJ80" i="1"/>
  <c r="AI80" i="1"/>
  <c r="AH80" i="1"/>
  <c r="AG80" i="1"/>
  <c r="AF80" i="1"/>
  <c r="AE80" i="1"/>
  <c r="AD80" i="1"/>
  <c r="AK79" i="1"/>
  <c r="AJ79" i="1"/>
  <c r="AI79" i="1"/>
  <c r="AH79" i="1"/>
  <c r="AG79" i="1"/>
  <c r="AF79" i="1"/>
  <c r="AE79" i="1"/>
  <c r="AD79" i="1"/>
  <c r="AK78" i="1"/>
  <c r="AJ78" i="1"/>
  <c r="AI78" i="1"/>
  <c r="AH78" i="1"/>
  <c r="AG78" i="1"/>
  <c r="AF78" i="1"/>
  <c r="AE78" i="1"/>
  <c r="AD78" i="1"/>
  <c r="AK77" i="1"/>
  <c r="AJ77" i="1"/>
  <c r="AI77" i="1"/>
  <c r="AH77" i="1"/>
  <c r="AG77" i="1"/>
  <c r="AF77" i="1"/>
  <c r="AE77" i="1"/>
  <c r="AD77" i="1"/>
  <c r="AK76" i="1"/>
  <c r="AJ76" i="1"/>
  <c r="AI76" i="1"/>
  <c r="AH76" i="1"/>
  <c r="AG76" i="1"/>
  <c r="AF76" i="1"/>
  <c r="AE76" i="1"/>
  <c r="AD76" i="1"/>
  <c r="AK75" i="1"/>
  <c r="AJ75" i="1"/>
  <c r="AI75" i="1"/>
  <c r="AH75" i="1"/>
  <c r="AG75" i="1"/>
  <c r="AF75" i="1"/>
  <c r="AE75" i="1"/>
  <c r="AD75" i="1"/>
  <c r="AK74" i="1"/>
  <c r="AJ74" i="1"/>
  <c r="AI74" i="1"/>
  <c r="AH74" i="1"/>
  <c r="AG74" i="1"/>
  <c r="AF74" i="1"/>
  <c r="AE74" i="1"/>
  <c r="AD74" i="1"/>
  <c r="AK73" i="1"/>
  <c r="AJ73" i="1"/>
  <c r="AI73" i="1"/>
  <c r="AH73" i="1"/>
  <c r="AG73" i="1"/>
  <c r="AF73" i="1"/>
  <c r="AE73" i="1"/>
  <c r="AD73" i="1"/>
  <c r="AK72" i="1"/>
  <c r="AJ72" i="1"/>
  <c r="AI72" i="1"/>
  <c r="AH72" i="1"/>
  <c r="AG72" i="1"/>
  <c r="AF72" i="1"/>
  <c r="AE72" i="1"/>
  <c r="AD72" i="1"/>
  <c r="AK71" i="1"/>
  <c r="AJ71" i="1"/>
  <c r="AI71" i="1"/>
  <c r="AH71" i="1"/>
  <c r="AG71" i="1"/>
  <c r="AF71" i="1"/>
  <c r="AE71" i="1"/>
  <c r="AD71" i="1"/>
  <c r="AK70" i="1"/>
  <c r="AJ70" i="1"/>
  <c r="AI70" i="1"/>
  <c r="AH70" i="1"/>
  <c r="AG70" i="1"/>
  <c r="AF70" i="1"/>
  <c r="AE70" i="1"/>
  <c r="AD70" i="1"/>
  <c r="AK69" i="1"/>
  <c r="AJ69" i="1"/>
  <c r="AI69" i="1"/>
  <c r="AH69" i="1"/>
  <c r="AG69" i="1"/>
  <c r="AF69" i="1"/>
  <c r="AE69" i="1"/>
  <c r="AD69" i="1"/>
  <c r="AK68" i="1"/>
  <c r="AJ68" i="1"/>
  <c r="AI68" i="1"/>
  <c r="AH68" i="1"/>
  <c r="AG68" i="1"/>
  <c r="AF68" i="1"/>
  <c r="AE68" i="1"/>
  <c r="AD68" i="1"/>
  <c r="AK67" i="1"/>
  <c r="AJ67" i="1"/>
  <c r="AI67" i="1"/>
  <c r="AH67" i="1"/>
  <c r="AG67" i="1"/>
  <c r="AF67" i="1"/>
  <c r="AE67" i="1"/>
  <c r="AD67" i="1"/>
  <c r="AK66" i="1"/>
  <c r="AJ66" i="1"/>
  <c r="AI66" i="1"/>
  <c r="AH66" i="1"/>
  <c r="AG66" i="1"/>
  <c r="AF66" i="1"/>
  <c r="AE66" i="1"/>
  <c r="AD66" i="1"/>
  <c r="AK65" i="1"/>
  <c r="AJ65" i="1"/>
  <c r="AI65" i="1"/>
  <c r="AH65" i="1"/>
  <c r="AG65" i="1"/>
  <c r="AF65" i="1"/>
  <c r="AE65" i="1"/>
  <c r="AD65" i="1"/>
  <c r="AK64" i="1"/>
  <c r="AJ64" i="1"/>
  <c r="AI64" i="1"/>
  <c r="AH64" i="1"/>
  <c r="AG64" i="1"/>
  <c r="AF64" i="1"/>
  <c r="AE64" i="1"/>
  <c r="AD64" i="1"/>
  <c r="AK63" i="1"/>
  <c r="AJ63" i="1"/>
  <c r="AI63" i="1"/>
  <c r="AH63" i="1"/>
  <c r="AG63" i="1"/>
  <c r="AF63" i="1"/>
  <c r="AE63" i="1"/>
  <c r="AD63" i="1"/>
  <c r="AK62" i="1"/>
  <c r="AJ62" i="1"/>
  <c r="AI62" i="1"/>
  <c r="AH62" i="1"/>
  <c r="AG62" i="1"/>
  <c r="AF62" i="1"/>
  <c r="AE62" i="1"/>
  <c r="AD62" i="1"/>
  <c r="AK61" i="1"/>
  <c r="AJ61" i="1"/>
  <c r="AI61" i="1"/>
  <c r="AH61" i="1"/>
  <c r="AG61" i="1"/>
  <c r="AF61" i="1"/>
  <c r="AE61" i="1"/>
  <c r="AD61" i="1"/>
  <c r="AK60" i="1"/>
  <c r="AJ60" i="1"/>
  <c r="AI60" i="1"/>
  <c r="AH60" i="1"/>
  <c r="AG60" i="1"/>
  <c r="AF60" i="1"/>
  <c r="AE60" i="1"/>
  <c r="AD60" i="1"/>
  <c r="AK59" i="1"/>
  <c r="AJ59" i="1"/>
  <c r="AI59" i="1"/>
  <c r="AH59" i="1"/>
  <c r="AG59" i="1"/>
  <c r="AF59" i="1"/>
  <c r="AE59" i="1"/>
  <c r="AD59" i="1"/>
  <c r="AK58" i="1"/>
  <c r="AJ58" i="1"/>
  <c r="AI58" i="1"/>
  <c r="AH58" i="1"/>
  <c r="AG58" i="1"/>
  <c r="AF58" i="1"/>
  <c r="AE58" i="1"/>
  <c r="AD58" i="1"/>
  <c r="AK57" i="1"/>
  <c r="AJ57" i="1"/>
  <c r="AI57" i="1"/>
  <c r="AH57" i="1"/>
  <c r="AG57" i="1"/>
  <c r="AF57" i="1"/>
  <c r="AE57" i="1"/>
  <c r="AD57" i="1"/>
  <c r="AK56" i="1"/>
  <c r="AJ56" i="1"/>
  <c r="AI56" i="1"/>
  <c r="AH56" i="1"/>
  <c r="AG56" i="1"/>
  <c r="AF56" i="1"/>
  <c r="AE56" i="1"/>
  <c r="AD56" i="1"/>
  <c r="AK55" i="1"/>
  <c r="AJ55" i="1"/>
  <c r="AI55" i="1"/>
  <c r="AH55" i="1"/>
  <c r="AG55" i="1"/>
  <c r="AF55" i="1"/>
  <c r="AE55" i="1"/>
  <c r="AD55" i="1"/>
  <c r="AK54" i="1"/>
  <c r="AJ54" i="1"/>
  <c r="AI54" i="1"/>
  <c r="AH54" i="1"/>
  <c r="AG54" i="1"/>
  <c r="AF54" i="1"/>
  <c r="AE54" i="1"/>
  <c r="AD54" i="1"/>
  <c r="AK53" i="1"/>
  <c r="AJ53" i="1"/>
  <c r="AI53" i="1"/>
  <c r="AH53" i="1"/>
  <c r="AG53" i="1"/>
  <c r="AF53" i="1"/>
  <c r="AE53" i="1"/>
  <c r="AD53" i="1"/>
  <c r="AK52" i="1"/>
  <c r="AJ52" i="1"/>
  <c r="AI52" i="1"/>
  <c r="AH52" i="1"/>
  <c r="AG52" i="1"/>
  <c r="AF52" i="1"/>
  <c r="AE52" i="1"/>
  <c r="AD52" i="1"/>
  <c r="AK51" i="1"/>
  <c r="AJ51" i="1"/>
  <c r="AI51" i="1"/>
  <c r="AH51" i="1"/>
  <c r="AG51" i="1"/>
  <c r="AF51" i="1"/>
  <c r="AE51" i="1"/>
  <c r="AD51" i="1"/>
  <c r="AK50" i="1"/>
  <c r="AJ50" i="1"/>
  <c r="AI50" i="1"/>
  <c r="AH50" i="1"/>
  <c r="AG50" i="1"/>
  <c r="AF50" i="1"/>
  <c r="AE50" i="1"/>
  <c r="AD50" i="1"/>
  <c r="AK49" i="1"/>
  <c r="AJ49" i="1"/>
  <c r="AI49" i="1"/>
  <c r="AH49" i="1"/>
  <c r="AG49" i="1"/>
  <c r="AF49" i="1"/>
  <c r="AE49" i="1"/>
  <c r="AD49" i="1"/>
  <c r="AK48" i="1"/>
  <c r="AJ48" i="1"/>
  <c r="AI48" i="1"/>
  <c r="AH48" i="1"/>
  <c r="AG48" i="1"/>
  <c r="AF48" i="1"/>
  <c r="AE48" i="1"/>
  <c r="AD48" i="1"/>
  <c r="AK47" i="1"/>
  <c r="AJ47" i="1"/>
  <c r="AI47" i="1"/>
  <c r="AH47" i="1"/>
  <c r="AG47" i="1"/>
  <c r="AF47" i="1"/>
  <c r="AE47" i="1"/>
  <c r="AD47" i="1"/>
  <c r="AK46" i="1"/>
  <c r="AJ46" i="1"/>
  <c r="AI46" i="1"/>
  <c r="AH46" i="1"/>
  <c r="AG46" i="1"/>
  <c r="AF46" i="1"/>
  <c r="AE46" i="1"/>
  <c r="AD46" i="1"/>
  <c r="AK45" i="1"/>
  <c r="AJ45" i="1"/>
  <c r="AI45" i="1"/>
  <c r="AH45" i="1"/>
  <c r="AG45" i="1"/>
  <c r="AF45" i="1"/>
  <c r="AE45" i="1"/>
  <c r="AD45" i="1"/>
  <c r="AK44" i="1"/>
  <c r="AJ44" i="1"/>
  <c r="AI44" i="1"/>
  <c r="AH44" i="1"/>
  <c r="AG44" i="1"/>
  <c r="AF44" i="1"/>
  <c r="AE44" i="1"/>
  <c r="AD44" i="1"/>
  <c r="AK43" i="1"/>
  <c r="AJ43" i="1"/>
  <c r="AI43" i="1"/>
  <c r="AH43" i="1"/>
  <c r="AG43" i="1"/>
  <c r="AF43" i="1"/>
  <c r="AE43" i="1"/>
  <c r="AD43" i="1"/>
  <c r="AK42" i="1"/>
  <c r="AJ42" i="1"/>
  <c r="AI42" i="1"/>
  <c r="AH42" i="1"/>
  <c r="AG42" i="1"/>
  <c r="AF42" i="1"/>
  <c r="AE42" i="1"/>
  <c r="AD42" i="1"/>
  <c r="AK41" i="1"/>
  <c r="AJ41" i="1"/>
  <c r="AI41" i="1"/>
  <c r="AH41" i="1"/>
  <c r="AG41" i="1"/>
  <c r="AF41" i="1"/>
  <c r="AE41" i="1"/>
  <c r="AD41" i="1"/>
  <c r="AK40" i="1"/>
  <c r="AJ40" i="1"/>
  <c r="AI40" i="1"/>
  <c r="AH40" i="1"/>
  <c r="AG40" i="1"/>
  <c r="AF40" i="1"/>
  <c r="AE40" i="1"/>
  <c r="AD40" i="1"/>
  <c r="AK39" i="1"/>
  <c r="AJ39" i="1"/>
  <c r="AI39" i="1"/>
  <c r="AH39" i="1"/>
  <c r="AG39" i="1"/>
  <c r="AF39" i="1"/>
  <c r="AE39" i="1"/>
  <c r="AD39" i="1"/>
  <c r="AK38" i="1"/>
  <c r="AJ38" i="1"/>
  <c r="AI38" i="1"/>
  <c r="AH38" i="1"/>
  <c r="AG38" i="1"/>
  <c r="AF38" i="1"/>
  <c r="AE38" i="1"/>
  <c r="AD38" i="1"/>
  <c r="AK37" i="1"/>
  <c r="AJ37" i="1"/>
  <c r="AI37" i="1"/>
  <c r="AH37" i="1"/>
  <c r="AG37" i="1"/>
  <c r="AF37" i="1"/>
  <c r="AE37" i="1"/>
  <c r="AD37" i="1"/>
  <c r="AK36" i="1"/>
  <c r="AJ36" i="1"/>
  <c r="AI36" i="1"/>
  <c r="AH36" i="1"/>
  <c r="AG36" i="1"/>
  <c r="AF36" i="1"/>
  <c r="AE36" i="1"/>
  <c r="AD36" i="1"/>
  <c r="AK35" i="1"/>
  <c r="AJ35" i="1"/>
  <c r="AI35" i="1"/>
  <c r="AH35" i="1"/>
  <c r="AG35" i="1"/>
  <c r="AF35" i="1"/>
  <c r="AE35" i="1"/>
  <c r="AD35" i="1"/>
  <c r="AK34" i="1"/>
  <c r="AJ34" i="1"/>
  <c r="AI34" i="1"/>
  <c r="AH34" i="1"/>
  <c r="AG34" i="1"/>
  <c r="AF34" i="1"/>
  <c r="AE34" i="1"/>
  <c r="AD34" i="1"/>
  <c r="AK33" i="1"/>
  <c r="AJ33" i="1"/>
  <c r="AI33" i="1"/>
  <c r="AH33" i="1"/>
  <c r="AG33" i="1"/>
  <c r="AF33" i="1"/>
  <c r="AE33" i="1"/>
  <c r="AD33" i="1"/>
  <c r="AK32" i="1"/>
  <c r="AJ32" i="1"/>
  <c r="AI32" i="1"/>
  <c r="AH32" i="1"/>
  <c r="AG32" i="1"/>
  <c r="AF32" i="1"/>
  <c r="AE32" i="1"/>
  <c r="AD32" i="1"/>
  <c r="AK31" i="1"/>
  <c r="AJ31" i="1"/>
  <c r="AI31" i="1"/>
  <c r="AH31" i="1"/>
  <c r="AG31" i="1"/>
  <c r="AF31" i="1"/>
  <c r="AE31" i="1"/>
  <c r="AD31" i="1"/>
  <c r="AK30" i="1"/>
  <c r="AJ30" i="1"/>
  <c r="AI30" i="1"/>
  <c r="AH30" i="1"/>
  <c r="AG30" i="1"/>
  <c r="AF30" i="1"/>
  <c r="AE30" i="1"/>
  <c r="AD30" i="1"/>
  <c r="AK29" i="1"/>
  <c r="AJ29" i="1"/>
  <c r="AI29" i="1"/>
  <c r="AH29" i="1"/>
  <c r="AG29" i="1"/>
  <c r="AF29" i="1"/>
  <c r="AE29" i="1"/>
  <c r="AD29" i="1"/>
  <c r="AK28" i="1"/>
  <c r="AJ28" i="1"/>
  <c r="AI28" i="1"/>
  <c r="AH28" i="1"/>
  <c r="AG28" i="1"/>
  <c r="AF28" i="1"/>
  <c r="AE28" i="1"/>
  <c r="AD28" i="1"/>
  <c r="AK27" i="1"/>
  <c r="AJ27" i="1"/>
  <c r="AI27" i="1"/>
  <c r="AH27" i="1"/>
  <c r="AG27" i="1"/>
  <c r="AF27" i="1"/>
  <c r="AE27" i="1"/>
  <c r="AD27" i="1"/>
  <c r="AK26" i="1"/>
  <c r="AJ26" i="1"/>
  <c r="AI26" i="1"/>
  <c r="AH26" i="1"/>
  <c r="AG26" i="1"/>
  <c r="AF26" i="1"/>
  <c r="AE26" i="1"/>
  <c r="AD26" i="1"/>
  <c r="AK25" i="1"/>
  <c r="AJ25" i="1"/>
  <c r="AI25" i="1"/>
  <c r="AH25" i="1"/>
  <c r="AG25" i="1"/>
  <c r="AF25" i="1"/>
  <c r="AE25" i="1"/>
  <c r="AD25" i="1"/>
  <c r="AK24" i="1"/>
  <c r="AJ24" i="1"/>
  <c r="AI24" i="1"/>
  <c r="AH24" i="1"/>
  <c r="AG24" i="1"/>
  <c r="AF24" i="1"/>
  <c r="AE24" i="1"/>
  <c r="AD24" i="1"/>
  <c r="AK23" i="1"/>
  <c r="AJ23" i="1"/>
  <c r="AI23" i="1"/>
  <c r="AH23" i="1"/>
  <c r="AG23" i="1"/>
  <c r="AF23" i="1"/>
  <c r="AE23" i="1"/>
  <c r="AD23" i="1"/>
  <c r="AK22" i="1"/>
  <c r="AJ22" i="1"/>
  <c r="AI22" i="1"/>
  <c r="AH22" i="1"/>
  <c r="AG22" i="1"/>
  <c r="AF22" i="1"/>
  <c r="AE22" i="1"/>
  <c r="AD22" i="1"/>
  <c r="AK21" i="1"/>
  <c r="AJ21" i="1"/>
  <c r="AI21" i="1"/>
  <c r="AH21" i="1"/>
  <c r="AG21" i="1"/>
  <c r="AF21" i="1"/>
  <c r="AE21" i="1"/>
  <c r="AD21" i="1"/>
  <c r="AK20" i="1"/>
  <c r="AJ20" i="1"/>
  <c r="AI20" i="1"/>
  <c r="AH20" i="1"/>
  <c r="AG20" i="1"/>
  <c r="AF20" i="1"/>
  <c r="AE20" i="1"/>
  <c r="AD20" i="1"/>
  <c r="AK19" i="1"/>
  <c r="AJ19" i="1"/>
  <c r="AI19" i="1"/>
  <c r="AH19" i="1"/>
  <c r="AG19" i="1"/>
  <c r="AF19" i="1"/>
  <c r="AE19" i="1"/>
  <c r="AD19" i="1"/>
  <c r="AK18" i="1"/>
  <c r="AJ18" i="1"/>
  <c r="AI18" i="1"/>
  <c r="AH18" i="1"/>
  <c r="AG18" i="1"/>
  <c r="AF18" i="1"/>
  <c r="AE18" i="1"/>
  <c r="AD18" i="1"/>
  <c r="AK17" i="1"/>
  <c r="AJ17" i="1"/>
  <c r="AI17" i="1"/>
  <c r="AH17" i="1"/>
  <c r="AG17" i="1"/>
  <c r="AF17" i="1"/>
  <c r="AE17" i="1"/>
  <c r="AD17" i="1"/>
  <c r="AK16" i="1"/>
  <c r="AJ16" i="1"/>
  <c r="AI16" i="1"/>
  <c r="AH16" i="1"/>
  <c r="AG16" i="1"/>
  <c r="AF16" i="1"/>
  <c r="AE16" i="1"/>
  <c r="AD16" i="1"/>
  <c r="AK15" i="1"/>
  <c r="AJ15" i="1"/>
  <c r="AI15" i="1"/>
  <c r="AH15" i="1"/>
  <c r="AG15" i="1"/>
  <c r="AF15" i="1"/>
  <c r="AE15" i="1"/>
  <c r="AD15" i="1"/>
  <c r="AK14" i="1"/>
  <c r="AJ14" i="1"/>
  <c r="AI14" i="1"/>
  <c r="AH14" i="1"/>
  <c r="AG14" i="1"/>
  <c r="AF14" i="1"/>
  <c r="AE14" i="1"/>
  <c r="AD14" i="1"/>
  <c r="AK13" i="1"/>
  <c r="AJ13" i="1"/>
  <c r="AI13" i="1"/>
  <c r="AH13" i="1"/>
  <c r="AG13" i="1"/>
  <c r="AF13" i="1"/>
  <c r="AE13" i="1"/>
  <c r="AD13" i="1"/>
  <c r="AK12" i="1"/>
  <c r="AJ12" i="1"/>
  <c r="AI12" i="1"/>
  <c r="AH12" i="1"/>
  <c r="AG12" i="1"/>
  <c r="AF12" i="1"/>
  <c r="AE12" i="1"/>
  <c r="AD12" i="1"/>
  <c r="AK11" i="1"/>
  <c r="AJ11" i="1"/>
  <c r="AI11" i="1"/>
  <c r="AH11" i="1"/>
  <c r="AG11" i="1"/>
  <c r="AF11" i="1"/>
  <c r="AE11" i="1"/>
  <c r="AD11" i="1"/>
  <c r="AK10" i="1"/>
  <c r="AJ10" i="1"/>
  <c r="AI10" i="1"/>
  <c r="AH10" i="1"/>
  <c r="AG10" i="1"/>
  <c r="AF10" i="1"/>
  <c r="AE10" i="1"/>
  <c r="AD10" i="1"/>
  <c r="AK9" i="1"/>
  <c r="AJ9" i="1"/>
  <c r="AI9" i="1"/>
  <c r="AH9" i="1"/>
  <c r="AG9" i="1"/>
  <c r="AF9" i="1"/>
  <c r="AE9" i="1"/>
  <c r="AD9" i="1"/>
  <c r="AK8" i="1"/>
  <c r="AJ8" i="1"/>
  <c r="AI8" i="1"/>
  <c r="AH8" i="1"/>
  <c r="AG8" i="1"/>
  <c r="AF8" i="1"/>
  <c r="AE8" i="1"/>
  <c r="AD8" i="1"/>
  <c r="AK7" i="1"/>
  <c r="AJ7" i="1"/>
  <c r="AI7" i="1"/>
  <c r="AH7" i="1"/>
  <c r="AG7" i="1"/>
  <c r="AF7" i="1"/>
  <c r="AE7" i="1"/>
  <c r="AD7" i="1"/>
  <c r="AK6" i="1"/>
  <c r="AJ6" i="1"/>
  <c r="AI6" i="1"/>
  <c r="AH6" i="1"/>
  <c r="AG6" i="1"/>
  <c r="AF6" i="1"/>
  <c r="AE6" i="1"/>
  <c r="AD6" i="1"/>
  <c r="AK5" i="1"/>
  <c r="AJ5" i="1"/>
  <c r="AI5" i="1"/>
  <c r="AH5" i="1"/>
  <c r="AG5" i="1"/>
  <c r="AF5" i="1"/>
  <c r="AE5" i="1"/>
  <c r="AD5" i="1"/>
  <c r="AK4" i="1"/>
  <c r="AJ4" i="1"/>
  <c r="AI4" i="1"/>
  <c r="AH4" i="1"/>
  <c r="AG4" i="1"/>
  <c r="AF4" i="1"/>
  <c r="AE4" i="1"/>
  <c r="AD4" i="1"/>
  <c r="AK3" i="1"/>
  <c r="AJ3" i="1"/>
  <c r="AI3" i="1"/>
  <c r="AH3" i="1"/>
  <c r="AG3" i="1"/>
  <c r="AF3" i="1"/>
  <c r="AE3" i="1"/>
  <c r="AD3" i="1"/>
  <c r="AK2" i="1"/>
  <c r="AJ2" i="1"/>
  <c r="AI2" i="1"/>
  <c r="AH2" i="1"/>
  <c r="AG2" i="1"/>
  <c r="AF2" i="1"/>
  <c r="AE2" i="1"/>
  <c r="AD2" i="1"/>
  <c r="B32" i="3" l="1"/>
  <c r="B15" i="3"/>
  <c r="F4" i="3"/>
  <c r="C32" i="3"/>
  <c r="C43" i="3" s="1"/>
  <c r="C15" i="3"/>
  <c r="D32" i="3"/>
  <c r="D43" i="3" s="1"/>
  <c r="D15" i="3"/>
  <c r="E32" i="3"/>
  <c r="E43" i="3" s="1"/>
  <c r="E15" i="3"/>
  <c r="B33" i="3"/>
  <c r="F33" i="3" s="1"/>
  <c r="F5" i="3"/>
  <c r="B34" i="3"/>
  <c r="F34" i="3" s="1"/>
  <c r="F6" i="3"/>
  <c r="B35" i="3"/>
  <c r="F35" i="3" s="1"/>
  <c r="F7" i="3"/>
  <c r="B36" i="3"/>
  <c r="F36" i="3" s="1"/>
  <c r="F8" i="3"/>
  <c r="B37" i="3"/>
  <c r="F37" i="3" s="1"/>
  <c r="F9" i="3"/>
  <c r="B38" i="3"/>
  <c r="F38" i="3" s="1"/>
  <c r="F10" i="3"/>
  <c r="B39" i="3"/>
  <c r="F39" i="3" s="1"/>
  <c r="F11" i="3"/>
  <c r="B40" i="3"/>
  <c r="F40" i="3" s="1"/>
  <c r="F12" i="3"/>
  <c r="B41" i="3"/>
  <c r="F41" i="3" s="1"/>
  <c r="F13" i="3"/>
  <c r="B42" i="3"/>
  <c r="F42" i="3" s="1"/>
  <c r="F14" i="3"/>
  <c r="F15" i="3" l="1"/>
  <c r="G4" i="3"/>
  <c r="B16" i="3"/>
  <c r="B43" i="3"/>
  <c r="F32" i="3"/>
  <c r="F43" i="3" l="1"/>
  <c r="F16" i="3"/>
  <c r="G15" i="3"/>
  <c r="G14" i="3"/>
  <c r="G13" i="3"/>
  <c r="G12" i="3"/>
  <c r="G11" i="3"/>
  <c r="G10" i="3"/>
  <c r="G9" i="3"/>
  <c r="G8" i="3"/>
  <c r="G7" i="3"/>
  <c r="G6" i="3"/>
  <c r="G5" i="3"/>
  <c r="E16" i="3"/>
  <c r="D16" i="3"/>
  <c r="C16" i="3"/>
  <c r="F44" i="3" l="1"/>
  <c r="G43" i="3"/>
  <c r="G42" i="3"/>
  <c r="G41" i="3"/>
  <c r="G40" i="3"/>
  <c r="G39" i="3"/>
  <c r="G38" i="3"/>
  <c r="G37" i="3"/>
  <c r="G36" i="3"/>
  <c r="G35" i="3"/>
  <c r="G34" i="3"/>
  <c r="G33" i="3"/>
  <c r="E44" i="3"/>
  <c r="D44" i="3"/>
  <c r="C44" i="3"/>
  <c r="G32" i="3"/>
  <c r="B44" i="3"/>
</calcChain>
</file>

<file path=xl/sharedStrings.xml><?xml version="1.0" encoding="utf-8"?>
<sst xmlns="http://schemas.openxmlformats.org/spreadsheetml/2006/main" count="17121" uniqueCount="6018">
  <si>
    <t>Carimbo de data/hora</t>
  </si>
  <si>
    <t>Município</t>
  </si>
  <si>
    <t>Faz parte de uma Região Turística?</t>
  </si>
  <si>
    <t>Nome do evento</t>
  </si>
  <si>
    <t>Descrição do evento (breve descrição)</t>
  </si>
  <si>
    <t>Lei estadual (se aplicada)</t>
  </si>
  <si>
    <t>Endereço do evento</t>
  </si>
  <si>
    <t>Site do Evento (se possuir)</t>
  </si>
  <si>
    <t>Mês de Realização do evento</t>
  </si>
  <si>
    <t>Data inicial do evento (data prevista)</t>
  </si>
  <si>
    <t>Data final do evento (data prevista)</t>
  </si>
  <si>
    <t>Horário do evento - Início (Horário previsto. Caso não tenha, deixar em branco)</t>
  </si>
  <si>
    <t>Horário do evento - Fim (Horário previsto. Caso não tenha, deixar em branco)</t>
  </si>
  <si>
    <t>Tipo de evento (consultar manual: clique aqui)</t>
  </si>
  <si>
    <t>Categoria (consultar manual: clique aqui)</t>
  </si>
  <si>
    <t>Faz parte das categorias abaixo?</t>
  </si>
  <si>
    <t>O evento é ligado à</t>
  </si>
  <si>
    <t>Tipo de público</t>
  </si>
  <si>
    <t>Público esperado (somente números)</t>
  </si>
  <si>
    <t>Público da edição de 2025 (somente números)</t>
  </si>
  <si>
    <t>Público da edição de 2024 (somente números)</t>
  </si>
  <si>
    <t>Público da edição de 2023 (somente números)</t>
  </si>
  <si>
    <t>Órgão ou empresa organizadora</t>
  </si>
  <si>
    <t>Site para compra do ingresso (se possuir)</t>
  </si>
  <si>
    <t>Contato para mais informações (email)</t>
  </si>
  <si>
    <t xml:space="preserve">Acessibilidade
Informe para qual deficiência o seu evento esta preparado para receber:
</t>
  </si>
  <si>
    <t>Acessibilidade
O que o evento possui:</t>
  </si>
  <si>
    <t>Acessibilidade Digital
Acessibilidade digital no site do Evento:</t>
  </si>
  <si>
    <t>Classificação etária</t>
  </si>
  <si>
    <t>Regiões Administrativas</t>
  </si>
  <si>
    <t>ID</t>
  </si>
  <si>
    <t>CD_GEOCODIGO</t>
  </si>
  <si>
    <t>CD_GEOCODMU</t>
  </si>
  <si>
    <t>LONG</t>
  </si>
  <si>
    <t>LAT</t>
  </si>
  <si>
    <t>ALT</t>
  </si>
  <si>
    <t>GM_PONTO_sk</t>
  </si>
  <si>
    <t>BARRETOS</t>
  </si>
  <si>
    <t>Águas Sertanejas</t>
  </si>
  <si>
    <t xml:space="preserve">71ª Festa do Peão de Boiadeiro de Barretos </t>
  </si>
  <si>
    <t>Realizada anualmente em Barretos (SP), a Festa do Peão de Barretos é o maior rodeio da América Latina. O evento reúne competições de montaria, apresentações musicais nacionais e internacionais, atividades culturais, gastronomia típica e eventos voltados à tradição sertaneja e ao agronegócio.</t>
  </si>
  <si>
    <t>Parque do Peão - Rodovia Brigadeiro Faria Lima, km 428 – Barretos/SP – CEP 14783-000</t>
  </si>
  <si>
    <t>https://www.independentes.com.br/festadopeao/inicio</t>
  </si>
  <si>
    <t>Agosto</t>
  </si>
  <si>
    <t>Festa</t>
  </si>
  <si>
    <t>Artístico/Cultural/Folclórico</t>
  </si>
  <si>
    <t>Rodeio</t>
  </si>
  <si>
    <t>Nehuma das opções acima</t>
  </si>
  <si>
    <t>Nacional</t>
  </si>
  <si>
    <t xml:space="preserve">Os Independentes </t>
  </si>
  <si>
    <t>www.barretos.totalacesso.com/</t>
  </si>
  <si>
    <t>turismo@independentes.com.br</t>
  </si>
  <si>
    <t>Deficiência Fisica, Deficiência Visual, Deficiência Auditiva</t>
  </si>
  <si>
    <t>Atendimento em Línguas de Sinais, Piso Tátil, Rampa, Braille, Banheiro Acessível, Portas Largas para PCR (Pessoa com cadeira de rodas)</t>
  </si>
  <si>
    <t>Intérprete de Libras no site do evento</t>
  </si>
  <si>
    <t>Indicado para maiores de 18 anos</t>
  </si>
  <si>
    <t>BOITUVA</t>
  </si>
  <si>
    <t>Raízes do Interior Paulista</t>
  </si>
  <si>
    <t>Campeonato Brasileiro de Balonismo</t>
  </si>
  <si>
    <t>Rua Benedito Rodrigues de Melo, s/n, no bairro Portal Ville Primavera/Azaleia</t>
  </si>
  <si>
    <t>Junho</t>
  </si>
  <si>
    <t>Campeonato/Torneio/Concurso</t>
  </si>
  <si>
    <t>Esportivo</t>
  </si>
  <si>
    <t>Nenhuma das opções acima</t>
  </si>
  <si>
    <t>Prefeitura e Confederação Brasileira de Balonismo</t>
  </si>
  <si>
    <t>felipealvim50@gmail.com</t>
  </si>
  <si>
    <t>Não possui</t>
  </si>
  <si>
    <t>Banheiro Acessível</t>
  </si>
  <si>
    <t>Livre</t>
  </si>
  <si>
    <t>19° Festival de Inverno</t>
  </si>
  <si>
    <t>Festival de Inverno</t>
  </si>
  <si>
    <t>Av. Pereira Ignacio, 101 - Res Primo, Boituva</t>
  </si>
  <si>
    <t>Julho</t>
  </si>
  <si>
    <t>Festival</t>
  </si>
  <si>
    <t>Regional</t>
  </si>
  <si>
    <t>Prefeitura de Boituva</t>
  </si>
  <si>
    <t>Deficiência Fisica</t>
  </si>
  <si>
    <t>Rampa, Elevador, Banheiro Acessível</t>
  </si>
  <si>
    <t>Boituvana 2026</t>
  </si>
  <si>
    <t xml:space="preserve">Festival de Rodeiro </t>
  </si>
  <si>
    <t>Rua Benedito Mazuquim</t>
  </si>
  <si>
    <t>Setembro</t>
  </si>
  <si>
    <t xml:space="preserve">Prefeitura de Boituva </t>
  </si>
  <si>
    <t>Indicado para maiores de 14 anos</t>
  </si>
  <si>
    <t>SÃO JOSÉ DO RIO PARDO</t>
  </si>
  <si>
    <t>Entre Rios, Serras e Cafés</t>
  </si>
  <si>
    <t xml:space="preserve">CARNAVAL 2026 </t>
  </si>
  <si>
    <t>O Carnaval de São José do Rio Pardo tem se consolidado como um dos maiores e melhores do interior do Estado de São Paulo. No último ano, o evento atraiu cerca de 5 mil pessoas por noite, demonstrando sua crescente relevância regional.
A programação ocorre nas noites de sexta, sábado, domingo, segunda e terça-feira, além de matinê no domingo e na terça. Todos os dias contamos com uma atração de destaque nacional e outra de reconhecimento regional, garantindo diversidade, qualidade e grande participação do público.</t>
  </si>
  <si>
    <t>AVENIDA EUCLIDES DA CUNHA, S/N</t>
  </si>
  <si>
    <t>Fevereiro</t>
  </si>
  <si>
    <t>Carnaval</t>
  </si>
  <si>
    <t xml:space="preserve">PREFEITURA MUNICIPAL </t>
  </si>
  <si>
    <t>secturismocultura@saojosedoriopardo.sp.gov.br</t>
  </si>
  <si>
    <t>Rampa, Banheiro Acessível, Portas Largas para PCR (Pessoa com cadeira de rodas)</t>
  </si>
  <si>
    <t>Indicado para maiores de 16 anos</t>
  </si>
  <si>
    <t xml:space="preserve">SEMANA EUCLIDIANA </t>
  </si>
  <si>
    <t xml:space="preserve">A Semana Euclidiana é um evento cultural anual e o mais antigo do Brasil, realizado em São José do Rio Pardo (SP) entre 9 e 15 de agosto, para celebrar a vida e obra do escritor Euclides da Cunha, autor de Os Sertões, conectando sua memória à identidade local através de palestras, estudos, oficinas e atividades cívicas que envolvem a comunidade e pesquisadores. </t>
  </si>
  <si>
    <t xml:space="preserve">ACONTECE EM DIVERSOS LOCAIS DO MUNICIPIO DE ACORDO COM A PROGRAMAÇÃO </t>
  </si>
  <si>
    <t>Movimento</t>
  </si>
  <si>
    <t>Social/Cívico/Histórico</t>
  </si>
  <si>
    <t xml:space="preserve">PREFEITURA MUNICIPAL DE SÃO JOSE DO RIO PARDO </t>
  </si>
  <si>
    <t>Atendimento em Línguas de Sinais, Rampa, Elevador, Banheiro Acessível, Portas Largas para PCR (Pessoa com cadeira de rodas)</t>
  </si>
  <si>
    <t>SANTA SALETE</t>
  </si>
  <si>
    <t>Entre Rios</t>
  </si>
  <si>
    <t>FESTIVIDADES DE ANIVERSÁRIO DO MUNICIPIO</t>
  </si>
  <si>
    <t>FESTIVIDADE ANIVERSÁRIO DO MUNICIPIO COM DESFILI CIVICO, ATRAÇÕES CULTURAIS, SHOW SERTANEJOS, EVENTOS ESPORTIVOS, CAVALGADA.</t>
  </si>
  <si>
    <t>NÃO</t>
  </si>
  <si>
    <t>AVENIDA XV DE NOVEMBRO CENTRO</t>
  </si>
  <si>
    <t>www.prefeituramunicipaldesantasalete.sp.gov.br</t>
  </si>
  <si>
    <t>Março</t>
  </si>
  <si>
    <t>Aniversário</t>
  </si>
  <si>
    <t xml:space="preserve">secretaria de cultura do município </t>
  </si>
  <si>
    <t>esporte@santasalete.sp.gov.br</t>
  </si>
  <si>
    <t>Rampa, Banheiro Acessível</t>
  </si>
  <si>
    <t>ITAPORANGA</t>
  </si>
  <si>
    <t>Angra Paulista</t>
  </si>
  <si>
    <t>ITAPÔ FOILIA - CARNAVAL DE RUA DE ITAPORANGA</t>
  </si>
  <si>
    <t>O Itapô Folia é o tradicional carnaval de rua de Itaporanga, realizado de 13 a 15 de fevereiro na Praça João Abdallah, com entrada totalmente gratuita. O evento reúne famílias e visitantes de diversas cidades, oferecendo um ambiente acolhedor, alegre e repleto de cores e fantasias.
A programação conta com bandas show típicas de carnaval, garantindo animação durante todas as noites. O espaço possui praça de alimentação completa, estrutura de banheiros e um sistema de segurança especializada, com monitoramento por câmeras em 100% da área do evento.
Marcado pela organização e pelo clima familiar, o Itapô Folia se consolidou como um dos eventos mais aguardados da região, celebrando a cultura e a diversão de forma segura e acessível a todos.</t>
  </si>
  <si>
    <t>NÃO POSSUI</t>
  </si>
  <si>
    <t>PRAÇA JOÃO ABDALLAH</t>
  </si>
  <si>
    <t xml:space="preserve">SOMENTE PAGINAS OFICIAIS DA PREFEITURA MUNICIPAL </t>
  </si>
  <si>
    <t>PREFEITURA MUNICIPAAL</t>
  </si>
  <si>
    <t xml:space="preserve">ENTRADA FRANCA </t>
  </si>
  <si>
    <t>15 3565 1397</t>
  </si>
  <si>
    <t>FESTIVIDADES INDIGENAS ALDEIA TEKOÁ PORÃ</t>
  </si>
  <si>
    <t>As Festividades Indígenas Tekoá Porã fazem parte do Mês dos Povos Indígenas e serão realizadas de 27 de abril a 1º de maio de 2026, na Aldeia Tekoá Porã, em Itaporanga/SP. O evento tem caráter cultural e educativo, oferecendo ao público uma imersão na tradição e no modo de vida indígena.
Durante os dias de programação, a comunidade abre suas portas gratuitamente para visitas monitoradas pelos Guias Culturais da Aldeia. O evento recebe  turistas, grupos escolares e visitantes de diversos municípios, somando milhares de pessoas ao longo das festividades.
As atividades incluem cantos e danças tradicionais, rodas de conversa sobre cultura e costumes, visita à Oca Sagrada, Museu, Escola, trilhas e espaços comunitários. Na Arena Indígena, os participantes vivenciam esportes tradicionais como Uca-Uca, corrida de tora, cabo de guerra com cipó, arco e flecha e zarabatana. Há ainda exposição de artesanato e culinária típica.
Reconhecido pela organização e pelo grande fluxo de visitantes, o evento reforça a valorização da cultura indígena e a importância do turismo cultural no município.</t>
  </si>
  <si>
    <t>não possui</t>
  </si>
  <si>
    <t>BAIRRO PRAINHA - ALDEIA TEKOÁ PORÃ</t>
  </si>
  <si>
    <t>Abril</t>
  </si>
  <si>
    <t>ALDEIA TEKOÁ PORÃ</t>
  </si>
  <si>
    <t xml:space="preserve">NÃO POSSUI </t>
  </si>
  <si>
    <t xml:space="preserve"> 15 3565 1397</t>
  </si>
  <si>
    <t>FESTA JUNINA - SÃO PEDRO</t>
  </si>
  <si>
    <t xml:space="preserve">FESTA JUNINA DE LONGA TRADIÇÃO - ONDE ENVOLVE TODA COMUNIDADE NA PREPARAÇÃO. COM DANÇA TIPICAS DO PERIODO JUNINO, TERÇO A SÃO PEDRO, E MUITA COMIDA, AMENDOIM, PIPOCA, QUENTÃO ACHOCOLATADO, DOCES TIPICOS. TUDO DE GRAÇA PARA POPULAÇÃO E O TURISTA </t>
  </si>
  <si>
    <t>PRAÇA DA IGREJA MATRIZ RUA OSVALDO CRUZ - CENTRO</t>
  </si>
  <si>
    <t>Festa Junina</t>
  </si>
  <si>
    <t>PREFEITURA MUNICIPAL DE SANTA SALETE</t>
  </si>
  <si>
    <t>AREIAS</t>
  </si>
  <si>
    <t>Vale Histórico</t>
  </si>
  <si>
    <t>Micareias</t>
  </si>
  <si>
    <t>Carnaval antecipado. Acontece há mais de 30 anos um fim de semana antes do carnaval oficial. Atrai folioes de SP, RJ e Sul de Minas.</t>
  </si>
  <si>
    <t>Praça 09 de Julho</t>
  </si>
  <si>
    <t>Comercial/Promocional</t>
  </si>
  <si>
    <t>Prefeitura Municipal de Areias</t>
  </si>
  <si>
    <t>areiastur@gmail.com</t>
  </si>
  <si>
    <t>Carnaval Bloco a Bloco</t>
  </si>
  <si>
    <t>O Carnaval reuni vários blocos do município, que vendem seus abadas, atraem turistas da região em um programação vespertina e noturna. Utilizam de trio elétrico para desfile do bloco e seguem para a praça de eventos onde acontece a apresentação de bandas de carnaval.</t>
  </si>
  <si>
    <t>Praça Senhor Bom Jesus</t>
  </si>
  <si>
    <t>CABREÚVA</t>
  </si>
  <si>
    <t>Roteiro dos Bandeirantes</t>
  </si>
  <si>
    <t>Carnabreúva</t>
  </si>
  <si>
    <t>Este evento, geralmente é composto por cinco dias de festa começando na sexta-feira que antecede o feriado de carnaval e finalizando na terça feira. No evento estão incluídas cinco noites de festa, duas matinês com a tradicional Banda São Roque tocando marchinhas.</t>
  </si>
  <si>
    <t>Praça Comendador Martins, Centro - Cabreúva/SP</t>
  </si>
  <si>
    <t>www.cabreuva.sp.gov.br</t>
  </si>
  <si>
    <t>Secretaria Municipal de Cultura, Turismo e Patrimônio Histórico de Cabreúva</t>
  </si>
  <si>
    <t>sec.cultura@cabreuva.sp.gov.br</t>
  </si>
  <si>
    <t>Piso Tátil, Rampa, Banheiro Acessível</t>
  </si>
  <si>
    <t>Festival de Inverno de Cabreúva</t>
  </si>
  <si>
    <t>Evento que atrai um público entre 20 e 30 mil pessoas, é a maior festa realizada na cidade. As atrações musicais são grandes nomes do Rock nacional e a gastronomia fica por conta dos estabelecimentos do município, visando assim o incentivo ao comércio local. O evento geralmente ocorre em um final de semana.</t>
  </si>
  <si>
    <t>Deficiência Fisica, Deficiência Visual, Não possui</t>
  </si>
  <si>
    <t>Festival de Bandas e Fanfarras de Areias</t>
  </si>
  <si>
    <t xml:space="preserve">Reune varias bandas e fanfarras da região, onde cada uma tem um tempo estimado para apresentação. Em 2026 será a 6 edição. Esse evento tem como anfitriã a Banda Marcial Municipal de Areias, que leva o titulo de Tri campeã Sul-americana de Bandas e Fanfarras de Itapema SC. A Banda faz parte do projeto musica nas escolas. </t>
  </si>
  <si>
    <t>Dezembro</t>
  </si>
  <si>
    <t>0000</t>
  </si>
  <si>
    <t>gratuito</t>
  </si>
  <si>
    <t>IGARATÁ</t>
  </si>
  <si>
    <t>Entre Serras e Águas</t>
  </si>
  <si>
    <t>IGT23K + Feira Gastronômica</t>
  </si>
  <si>
    <t>A IGT23K (Igaratá 23k) é amplamente conhecida como a maior corrida de montanha do Brasil, realizada anualmente em Igaratá/SP, e em sua ultima edição recebeu mais de 3 mil atletas, além do publico que vem acompanhar a corrida. Na na mesma data o COMTUR promove evento gastronômico para atender  população e visitantes com diversidade gastronômica e shows na Praça de Eventos.</t>
  </si>
  <si>
    <t>Não</t>
  </si>
  <si>
    <t>Largada :  Praça Luiz Carlos Lourenço</t>
  </si>
  <si>
    <t>zbrevents.com.br</t>
  </si>
  <si>
    <t>ZBR com apoio COMTUR e Município Igaratá</t>
  </si>
  <si>
    <t>turismo@igarata.sp.gov.br</t>
  </si>
  <si>
    <t>ITAÓCA</t>
  </si>
  <si>
    <t>Cavernas da Mata Atlântica</t>
  </si>
  <si>
    <t>Show da virada</t>
  </si>
  <si>
    <t xml:space="preserve">Réveillon, realizado na praça central, atraindo público de diversos municípios vizinhos e de outros estados, com número considerável de visitantes, com shows e diversas atrações para o público </t>
  </si>
  <si>
    <t xml:space="preserve">Não se aplica </t>
  </si>
  <si>
    <t>Rua professor Elias Lages de Magalhães, s/n, centro, Praça José Silva, CEP 18360015</t>
  </si>
  <si>
    <t>Réveillon (Ano Novo)</t>
  </si>
  <si>
    <t xml:space="preserve">Prefeitura Municipal </t>
  </si>
  <si>
    <t xml:space="preserve">Não possui </t>
  </si>
  <si>
    <t>pmitaoca@gmail.com</t>
  </si>
  <si>
    <t>PEDRO DE TOLEDO</t>
  </si>
  <si>
    <t>Caminhos da Mata Atlântica</t>
  </si>
  <si>
    <t>CAMPEONATO ANUAL DE CHURRASCO BARBECUE PEDRO DE TOLEDO</t>
  </si>
  <si>
    <t>Campeonato Brasileiro de Churrasco Barbecue em Pedro de Toledo com Show Musical, O Evento será realizado no nosso Município, com mais de 18 equipes. Projeto de Lei que já faz parte do Calendário anual do Município no Mês de Julho</t>
  </si>
  <si>
    <t>Projeto de Lei Aprovado Nº 1.601 de 28/02/2020</t>
  </si>
  <si>
    <t>Centro de Eventos Comunitários de Pedro de Toledo-SP</t>
  </si>
  <si>
    <t>Gastronômico</t>
  </si>
  <si>
    <t>Prefeitura Municipal de Pedro de Toledo</t>
  </si>
  <si>
    <t>turismo@pedrodetoledo.sp.gov.br</t>
  </si>
  <si>
    <t>Banheiro Acessível, Balcão de atendimento com altura reduzida, Portas Largas para PCR (Pessoa com cadeira de rodas), Outro:</t>
  </si>
  <si>
    <t xml:space="preserve">Aniversário da cidade </t>
  </si>
  <si>
    <t xml:space="preserve">Festa em comemoração do aniversário da cidade, com shows, apresentações culturais, eventos esportivos e outros </t>
  </si>
  <si>
    <t xml:space="preserve">Praça José Silva, rua professor Elias Lages de Magalhães, s/n, centro </t>
  </si>
  <si>
    <t>Novembro</t>
  </si>
  <si>
    <t>OLÍMPIA</t>
  </si>
  <si>
    <t>Carnaval Olímpia Folia 2026</t>
  </si>
  <si>
    <t>Considerado um dos maiores carnavais do noroeste paulista, o evento será realizado no estacionamento do Thermas dos Laranjais e espera receber 80 mil foliões durante quatro noites de shows. A entrada para a pista é gratuita e informações sobre a venda de camarotes serão divulgadas em breve.
Além disso, a Praça da Matriz receberá desfile das escolas de samba e matinês. Os distritos de Ribeiro dos Santos e Baguaçu também serão palco de matinês e shows.</t>
  </si>
  <si>
    <t>DECRETO Nº 9.444, DE 18 DE FEVEREIRO DE 2025</t>
  </si>
  <si>
    <t>Estacionamento do Thermas dos Laranjais - Av. do Folclore, 1543, Olímpia-SP</t>
  </si>
  <si>
    <t>https://www.turismo.olimpia.sp.gov.br/</t>
  </si>
  <si>
    <t>Prefeitura Municipal de Olímpia</t>
  </si>
  <si>
    <t>prefeitura@olimpia.sp.gov.br</t>
  </si>
  <si>
    <t>Rampa, Banheiro Acessível, Balcão de atendimento com altura reduzida, Portas Largas para PCR (Pessoa com cadeira de rodas)</t>
  </si>
  <si>
    <t>Áudio Descrição no site do evento, Legenda no site do evento</t>
  </si>
  <si>
    <t>PAULICÉIA</t>
  </si>
  <si>
    <t>Sol do Oeste</t>
  </si>
  <si>
    <t>Réveillon</t>
  </si>
  <si>
    <t>Baile show em praça pública, aberta ao público em geral, com queima de fogos</t>
  </si>
  <si>
    <t>n</t>
  </si>
  <si>
    <t>Praça da Amizade</t>
  </si>
  <si>
    <t>turismo@pauliceia.sp.gov.br</t>
  </si>
  <si>
    <t>ITANHAÉM</t>
  </si>
  <si>
    <t>Costa da Mata Atlântica</t>
  </si>
  <si>
    <t xml:space="preserve">Festa do Divino Espírito Santo </t>
  </si>
  <si>
    <t>Realizada há mais de 300 anos, a Festa do Divino tem programação repleta de costumes e envolve fiéis de todas as idades em momentos importantes da comemoração,  como a Noite da Soca, Alvorada Festiva, Abertura do Império,  Missa Solene, Encerramento do Sentenciou, Procissão do Divino Espírito Santo, entre outros.</t>
  </si>
  <si>
    <t>Praça Narciso de Andrade</t>
  </si>
  <si>
    <t>Maio</t>
  </si>
  <si>
    <t>Religioso</t>
  </si>
  <si>
    <t xml:space="preserve">Prefeitura de Itanhaém </t>
  </si>
  <si>
    <t>turismo@itanhaem.sp.gov.br</t>
  </si>
  <si>
    <t>Deficiência Fisica, Deficiência Intelectual</t>
  </si>
  <si>
    <t>Rampa</t>
  </si>
  <si>
    <t>Bailes carnavalescos, aberto ao público, realizado em praça ao ar livre.</t>
  </si>
  <si>
    <t>CarnaCross</t>
  </si>
  <si>
    <t>Tradicional competição de motocross, que ocorre há 25 anos, sendo realizado na pista permanente de motocross existente no balneário municipal, onde o público pode apreciar além da competição, a prainha, churrasqueiras e amplo espaço para motor home e camping. A competição ocorre durante os dias do carnaval, sendo uma alternativa aos bailes carnavalescos.</t>
  </si>
  <si>
    <t>Balneário Municipal.</t>
  </si>
  <si>
    <t>Internacional</t>
  </si>
  <si>
    <t>Cavalgada</t>
  </si>
  <si>
    <t>No mês de junho, ocorre os festejos em comemoração ao aniversário de emancipação do município, e uma das atrações, é a cavalgada, que já ocorre há 20 anos, terminando com um almoço entre os participantes.</t>
  </si>
  <si>
    <t>via pública</t>
  </si>
  <si>
    <t>Rural</t>
  </si>
  <si>
    <t>Agropecuária</t>
  </si>
  <si>
    <t>TEODORO SAMPAIO</t>
  </si>
  <si>
    <t>Pontal Paulista</t>
  </si>
  <si>
    <t>Folia de Reis</t>
  </si>
  <si>
    <t>A Folia de Reis é uma celebração da Igreja Católica que rememora a visita 
dos três reis magos ao menino Jesus após seu nascimento. Trata-se de uma 
manifestação integrante do folclore brasileiro, realizada entre 24de dezembro, 
véspera do Natal, e 6 de janeiro, Dia de Reis. No município de Teodoro Sampaio, 
essa festa folclórica e cultural acontece há 39 anos.</t>
  </si>
  <si>
    <t>Assentamento Ribeirão Bonito</t>
  </si>
  <si>
    <t>sites.google.com/view/sec-turismocultura</t>
  </si>
  <si>
    <t>Comissão da Folia de Reis</t>
  </si>
  <si>
    <t>turismo@pmteodorosampaio.sp.gov.br</t>
  </si>
  <si>
    <t>Banheiro Acessível, Portas Largas para PCR (Pessoa com cadeira de rodas)</t>
  </si>
  <si>
    <t>Rodeio Show</t>
  </si>
  <si>
    <t>Nos dias que antecedem a data do aniversário do município, 29/06, ocorre o Rodeio show, com montarias em touros e shows artísticos todas as noites, culminando na noite do dia 28, com distribuição de pipoca, amendoim torrado e quentão para o público presente, e ainda a queima da fogueira gigante, e queima de fogos, tradição desde 1984.</t>
  </si>
  <si>
    <t>Recinto de Rodeio</t>
  </si>
  <si>
    <t>Chegada do Papai Noel</t>
  </si>
  <si>
    <t>Chegada do Papai Noel, com trem da alegria, personagens infantis, e inauguração da iluminação de decoração natalina.</t>
  </si>
  <si>
    <t>Praça São Pedro</t>
  </si>
  <si>
    <t>Natal</t>
  </si>
  <si>
    <t>Festa do dia das Crianças</t>
  </si>
  <si>
    <t>Festa em comemoração ao dia das crianças, com distribuição de picolé, hot dog, algodão doce, e atrações circenses bem como brinquedos como cama elástica, escorregador, tudo montado na praça da amizade.</t>
  </si>
  <si>
    <t>Praça da amizade</t>
  </si>
  <si>
    <t>Outubro</t>
  </si>
  <si>
    <t>Municipal</t>
  </si>
  <si>
    <t>Município.</t>
  </si>
  <si>
    <t>Aniversário da cidade de Olímpia</t>
  </si>
  <si>
    <t>O aniversário da cidade de Olímpia (SP) é comemorado em 2 de março, data em que se celebra sua fundação, comemorando 123 anos em 2026, com uma rica programação de shows, eventos cívicos e festividades que marcam a história da cidade e seu desenvolvimento, especialmente pelo turismo das águas termais</t>
  </si>
  <si>
    <t>Recinto do Folclore de Olímpia - Avenida Menina Moça, nº 800, Vila Hípica, Olímpia - SP, CEP 15407-050</t>
  </si>
  <si>
    <t>olimpia.sp.gov.br</t>
  </si>
  <si>
    <t>Prefeitura da Estância Turística de Olímpia</t>
  </si>
  <si>
    <t>Atendimento em Línguas de Sinais, Rampa, Elevador, Banheiro Acessível, Balcão de atendimento com altura reduzida, Portas Largas para PCR (Pessoa com cadeira de rodas)</t>
  </si>
  <si>
    <t>Inauguração do Balneário Municipal</t>
  </si>
  <si>
    <t>Trio Elétrico e Banda de Axé</t>
  </si>
  <si>
    <t>Final da Avenida Manoel Guirado Segura-vicinal que liga ao balneário</t>
  </si>
  <si>
    <t>Janeiro</t>
  </si>
  <si>
    <t>Feira/Exposição/Mostra</t>
  </si>
  <si>
    <t>Secretaria de Turismo e Cultura e secretaria de Esporte e Lazer do municipio de Teodoro Sampaio_SP</t>
  </si>
  <si>
    <t>entrada franca</t>
  </si>
  <si>
    <t>ITAPECERICA DA SERRA</t>
  </si>
  <si>
    <t>Mananciais, Aventura, Artes e Negócios</t>
  </si>
  <si>
    <t>Festa da Primavera</t>
  </si>
  <si>
    <t>Evento familiar que acontece anualmente no município com caráter turístico e cultural; Realizado com o objetivo de promover a valorização das tradições locais, estimular a participação social e fomentar a economia criativa da região. 
A programação contempla atividades como apresentações artísticas, exposições de artesanatos, produtores locais, gastronomia e ações educativas voltadas à preservação ambiental. 
o evento integra o calendário municipal, contribuindo para o fortalecimento do turismo, para o desenvolvimento sociocultural e para ampliação de espaços de turismo e lazer.</t>
  </si>
  <si>
    <t>Praça da Fonte - Praça João Ferreira Domingues</t>
  </si>
  <si>
    <t>@turismoitapecerica</t>
  </si>
  <si>
    <t>Prefeitura Municipal de Itapecerica da Serra - Secretaria Municipal de Turismo</t>
  </si>
  <si>
    <t>evento gratuito</t>
  </si>
  <si>
    <t>setur.itap@gmail.com</t>
  </si>
  <si>
    <t>Aniversario Emancipação Politica Administrativa do Teodoro Sampaio</t>
  </si>
  <si>
    <t>Evento realizado com Show, desfile cívico,  apresentação das bandas marciais regional, cidade dos infláveis, pipoca, algodão doce, refrigerante, dois dias de festa para a população municipal, regional e interestadual.</t>
  </si>
  <si>
    <t>Praça Antonio Evangelista da Silva, Avenida Cuiabá, n° 1544</t>
  </si>
  <si>
    <t>Secretaria de Turismo e Cultura e Secretaria de Educação</t>
  </si>
  <si>
    <t>Expoagro</t>
  </si>
  <si>
    <t>O evento teve como objetivo fortalecer a cadeia do agronegócio regional, promover a economia e ampliar a oferta de atividades voltadas ao turismo e ao desenvolvimento sustentável. A estrutura do evento contou com área de exposição de produtos agrícolas, mostra de animais, espaço para empreendedores, estandes institucionais, praça de alimentação, além de programação cultural com apresentações musicais e atrações para o público geral. A Expoagro também proporcionou integração entre produtores, consumidores, instituições públicas e iniciativas privadas, estimulando o intercâmbio de conhecimentos e oportunidades de negócios. A realização da feira contribuiu para a valorização das atividades agropecuárias de Itapecerica da Serra, ampliando a visibilidade do setor, fortalecendo ações de turismo e promovendo movimentação econômica local durante os dois dias do evento.</t>
  </si>
  <si>
    <t>Ginásio de Esportes - Centro Educacional Poliesportivo Antonio Baldusco - Av. Dona Anila 1001</t>
  </si>
  <si>
    <t>Pref Municipal de Itapecerica da Serra - Sec Municipal de Turismo</t>
  </si>
  <si>
    <t>Festival do Folclore 2026 - 62° Edição</t>
  </si>
  <si>
    <t>O Festival do Folclore de Olímpia (FEFOL) é o maior evento de folclore do Brasil, que acontece anualmente em Olímpia (SP), consolidando a cidade como a Capital Nacional do Folclore, reunindo manifestações culturais autênticas de todo o país, com danças, músicas, artesanato, e celebrações que preservam as tradições populares brasileiras, sendo um evento gratuito e com entrada livre, realizado no Recinto do Folclore.</t>
  </si>
  <si>
    <t>https://www.folcloreolimpia.com.br/</t>
  </si>
  <si>
    <t>SANTA ALBERTINA</t>
  </si>
  <si>
    <t>Rewillon</t>
  </si>
  <si>
    <t xml:space="preserve">Virado do ano , show em praca pública </t>
  </si>
  <si>
    <t xml:space="preserve">Avenida Francisco Shimidt </t>
  </si>
  <si>
    <t xml:space="preserve">Prefeitura municipal </t>
  </si>
  <si>
    <t>Deficiência Fisica, Deficiência Visual</t>
  </si>
  <si>
    <t>Piso Tátil, Rampa, Banheiro Acessível, Portas Largas para PCR (Pessoa com cadeira de rodas)</t>
  </si>
  <si>
    <t>Paixão de Cristo Teatral</t>
  </si>
  <si>
    <t>Morte e ressurreição da vida de JESUS CRISTO em peça Teatral, onde todos revivem o sofrimento de JESUS para salvar a humanidade</t>
  </si>
  <si>
    <t>Recinto de Rodeio Toninho Cowboy, rua Alberto amador , nº. 914</t>
  </si>
  <si>
    <t>@paroquian.sperpetuosocorro</t>
  </si>
  <si>
    <t>Corpus Christi</t>
  </si>
  <si>
    <t>11.0000</t>
  </si>
  <si>
    <t>Comissão Organizadora Religiosa</t>
  </si>
  <si>
    <t>paroquiateodorosampaio@hotmail.com</t>
  </si>
  <si>
    <t>Áudio Descrição no site do evento</t>
  </si>
  <si>
    <t>Corrida Ecológica</t>
  </si>
  <si>
    <t xml:space="preserve">Comemoração ao dia do Meio Ambiente, corrida no Parque estadual Morro do Diabo, conscientização da preservação e conservação do meio ambiente
</t>
  </si>
  <si>
    <t>Rodovia Rubens Carlos Herling SPV-28 Km 11,  Bairro Corrego Seco</t>
  </si>
  <si>
    <t>Ecoturismo</t>
  </si>
  <si>
    <t>Secretaria de Turismo e Cultura e Parque Estadual Morro do Diabo</t>
  </si>
  <si>
    <t>SUZANÁPOLIS</t>
  </si>
  <si>
    <t xml:space="preserve">Natal iluminado 2026 </t>
  </si>
  <si>
    <t>O Natal Iluminado transformou nossa cidade em um verdadeiro cenário de encanto. A praça central, a prefeitura e as avenidas principais ganharam luzes, cores e decoração especial, criando um ambiente acolhedor que celebra a magia natalina e reúne famílias e visitantes em momentos de alegria.</t>
  </si>
  <si>
    <t xml:space="preserve">Praça Salvador Ferreira de Souza </t>
  </si>
  <si>
    <t>Prefeitura municipal</t>
  </si>
  <si>
    <t>esporte@suzanapolis.sp.gov.br</t>
  </si>
  <si>
    <t>Intérprete de Libras no site do evento, Áudio Descrição no site do evento, Legenda no site do evento</t>
  </si>
  <si>
    <t>Quermesse Santuário de Nossa Senhora Aparecida</t>
  </si>
  <si>
    <t>A Quermesse do Santuário de Nossa Senhora Aparecida em Olímpia, conhecida como Fenossa (Festa de Nossa Senhora Aparecida), é um evento anual tradicional que acontece em outubro, com programação que inclui comidas típicas (frango assado, churrasco, polenta), shows, bingo, brincadeiras e momentos de fé, reunindo a comunidade para celebrar a Padroeira do Brasil em um ambiente de alegria e confraternização, com atividades no calçadão e no próprio Santuário.</t>
  </si>
  <si>
    <t>Praça Nossa Senhora Aparecida, 183 - Patrimônio de Nossa Senhora Aparecida, Olímpia - SP, 15400-000</t>
  </si>
  <si>
    <t>https://santuarioaparecidaolimpia.com.br/</t>
  </si>
  <si>
    <t>Santuário de Nossa Senhora Aparecida Olímpia</t>
  </si>
  <si>
    <t>secretaria@santuarioaparecidaolimpia.com.br</t>
  </si>
  <si>
    <t>SALTO DE PIRAPORA</t>
  </si>
  <si>
    <t>História &amp; Aventuras</t>
  </si>
  <si>
    <t xml:space="preserve">Natal Cultural </t>
  </si>
  <si>
    <t>O Natal Cultural é um evento que celebra o espírito natalino com uma programação diversificada de atrações culturais, musicais e artísticas, promovendo lazer, convivência familiar e valorização dos talentos locais, em um ambiente de alegria, inclusão e tradição.</t>
  </si>
  <si>
    <t>Rua Francisco de Barros Leite - Centro, Salto de Pirapora</t>
  </si>
  <si>
    <t>https://www.instagram.com/culturasaltodepirapora/?locale=us&amp;hl=am-et</t>
  </si>
  <si>
    <t>Secretaria de Esporte e Cultura</t>
  </si>
  <si>
    <t>turismosaltodepirapora@gmail.com</t>
  </si>
  <si>
    <t>Deficiência Intelectual</t>
  </si>
  <si>
    <t>Outro:</t>
  </si>
  <si>
    <t>BRODOWSKI</t>
  </si>
  <si>
    <t>Raízes do Campo</t>
  </si>
  <si>
    <t>Carnaval Abre Alas</t>
  </si>
  <si>
    <t xml:space="preserve">Uma festa organizada para todas as famílias de Brodowski e Região, com a presença de muita música boa, fantasias, concursos e alegoria. </t>
  </si>
  <si>
    <t>Praça de Aliemntação "Santo Betetti"</t>
  </si>
  <si>
    <t>https://guia.destinosinteligentes.tur.br/Brodowski/</t>
  </si>
  <si>
    <t>Prefeitura Municipal de Brodowski-SP</t>
  </si>
  <si>
    <t>turismo@brodowski.sp.gov.br</t>
  </si>
  <si>
    <t>Rampa, Portas Largas para PCR (Pessoa com cadeira de rodas)</t>
  </si>
  <si>
    <t>Legenda no site do evento</t>
  </si>
  <si>
    <t>Encontro Nacional de Companhias de Santos Reis de Brodowski-SP</t>
  </si>
  <si>
    <t xml:space="preserve">A religiosidade do brodowskiano é muito marcante devido à sua formação mesclando imigrantes europeus, principalmente italianos e portugueses, bem como imigrantes do norte-nordeste do país que são povos tradicionalmente religiosos. Essa presença religiosa aflora nessas que é uma das mais bonitas manifestações folclóricas da região: em dezembro e janeiro, as Companhias de Reis ou Folias de Reis, saem em peregrinação pelas fazendas, sítios, e residências da cidade, cantando e rezando o terço. Em virtude de tão popular manifestação folclórica, é realizada, nos meses de Abril/Maio de cada ano, o Encontro Nacional de Companhias de Santos Reis, e se constitui numa grandiosa festa folclórica, que proporciona o encontro de mais 30 cidades da região e do sul de Minas Gerais, com dezenas de Companhias de Reis, que passam o dia cantando, rezando e se confraternizando, num portentoso espetáculo de fé e religiosidade. </t>
  </si>
  <si>
    <t>Praça Martim Moreira, 142 - Centro - Brodowski-SP</t>
  </si>
  <si>
    <t>Semana do Patrimônio Histórico</t>
  </si>
  <si>
    <t xml:space="preserve">Palestras, visitas na Sede do Parque Estadual Morro do Diabo- Trilha do Mico Leão Preto                                                                                                                                                                                                                                                                                   </t>
  </si>
  <si>
    <t>Decreto Estadual 60.519/2014</t>
  </si>
  <si>
    <t>Rodovia SPV-28 Rubens Crlos Herling, Km 11, Bairro Corrego Seco</t>
  </si>
  <si>
    <t>sites.google.com/view/sec-turismocultuta</t>
  </si>
  <si>
    <t>secretaria de Turismo e Cultura em parceria com a Secretaria da Educação e Gestor do Parque Estadual Morro do Diabo</t>
  </si>
  <si>
    <t>Indicado para maiores de 12 anos</t>
  </si>
  <si>
    <t>51ª SEMANA DE PORTINARI</t>
  </si>
  <si>
    <t xml:space="preserve">A Semana de Portinari que acontece anualmente de 15 a 22 de agosto, foi criada com o decreto nº 7.245, de 09/12/1975, a fim de promover a memória e a obra do artista genial  Candido Portinari, filho ilustre de Brodowski e difundir o gosto pela arte. Muitos são os eventos produzidos durante a semana como: Exposição Coletiva de Artes, Pintura Mural, Concurso Artístico e Literário, Desfile Cívico entre outros. </t>
  </si>
  <si>
    <t>Decreto nº 7.245, de 09/12/1975</t>
  </si>
  <si>
    <t>Praça Candido Portinari, 298 - Centro</t>
  </si>
  <si>
    <t>https://www.museucasadeportinari.org.br/</t>
  </si>
  <si>
    <t>Prefeitura Municipal de Brodowski e Museu Casa de Portinari</t>
  </si>
  <si>
    <t>Deficiência Fisica, Deficiência Visual, Deficiência Auditiva, Deficiência Intelectual</t>
  </si>
  <si>
    <t>Atendimento em Línguas de Sinais, Mapa Tátil, Rampa, Braille, Banheiro Acessível, Portas Largas para PCR (Pessoa com cadeira de rodas)</t>
  </si>
  <si>
    <t>18ª Piazza Della Nonna</t>
  </si>
  <si>
    <t xml:space="preserve">A cidade de Brodowski tem mais da metade de sua população formada por descendentes de imigrantes italianos, faz parte desta contagem a família do ilustre pintor Candido  Portinari; no intuito de homenagear toda essa descendência criou-se esta festa tipicamente italiana cujo nome é alusivo à Nonna que no idioma italiano vem a ser, avó. A Piazza Della Nonna (Praça da Avó) realiza-se durante a Semana de Portinari-15 a 22 de agosto. Com comidas típicas, músicas e danças daquele país, Brodowski recebe nas 4 noites do evento cerca de 10.000 visitantes. </t>
  </si>
  <si>
    <t>Cultura Italiana</t>
  </si>
  <si>
    <t>Mapa Tátil, Rampa, Braille, Banheiro Acessível, Portas Largas para PCR (Pessoa com cadeira de rodas)</t>
  </si>
  <si>
    <t>MESÓPOLIS</t>
  </si>
  <si>
    <t>Aniversario de Mesópolis</t>
  </si>
  <si>
    <t>O aniversário de Mesópolis é uma ocasião crucial para a cidade, pois, além de trazer artistas de renome nacional e valorizar a cultura local, ela impulsiona o turismo e gera um impacto positivo na economia. Essa avaliação demonstra como o evento é fundamental para o desenvolvimento do município em múltiplos aspectos.</t>
  </si>
  <si>
    <t xml:space="preserve">Praça Ângela Finasse s/n - centro </t>
  </si>
  <si>
    <t>https://www.instagram.com/p/DNOB_waxLGc/</t>
  </si>
  <si>
    <t>turismo@mesopolis.com.br</t>
  </si>
  <si>
    <t xml:space="preserve">EXPÔ TEODORO 2026
</t>
  </si>
  <si>
    <t xml:space="preserve">EXPÔ TEODORO 2025 - Festa tradicional no Município de Teodoro Sampaio-SP, resgatando a originalidade desse evento Montaria em Touro, Cavalgada, Prova de tambor, Praça de alimentação, Shows, Exposição, </t>
  </si>
  <si>
    <t>Recinto de rodeios Toninho Cowboy - Rua Alberto Amador, 914</t>
  </si>
  <si>
    <t>sites.google.com/vieew/sec-turismocultura</t>
  </si>
  <si>
    <t>Secretaria de Turismo e Cultura, Comissão Organizadora e COMTUR</t>
  </si>
  <si>
    <t>Festa da Padroeira do Brasil. Nossa Senhora Aparecida</t>
  </si>
  <si>
    <t xml:space="preserve">Show e quermesse </t>
  </si>
  <si>
    <t>Rua Pedro Rodrigues nº 735</t>
  </si>
  <si>
    <t>Paroquia Nossa Senhora Aparecida</t>
  </si>
  <si>
    <t>ITUPEVA</t>
  </si>
  <si>
    <t>Circuito das Frutas</t>
  </si>
  <si>
    <t>Festival Gastronômico e Turístico de Itupeva</t>
  </si>
  <si>
    <t>O festival convida o público a viver momentos inesquecíveis, onde sabores, aromas e cultura se encontram. Almoços e jantares temáticos despertam os sentidos, enquanto aulas e palestras sobre gastronomia e experiências turísticas ampliam o prazer de descobrir. Degustações de cachaças, cervejas artesanais, vinhos e cafés completam a experiência, que ganha ainda mais encanto com apresentações culturais, exposições, shows e roteiros especiais pelas rotas turísticas do município — um verdadeiro convite para sentir, explorar e se apaixonar.</t>
  </si>
  <si>
    <t>Município de Itupeva  consulte os estabelecimentos participantes.</t>
  </si>
  <si>
    <t>https://itupeva.sp.gov.br</t>
  </si>
  <si>
    <t>Prefeitura Municipal de Itupeva</t>
  </si>
  <si>
    <t>turismo@itupeva.sp.gov.br</t>
  </si>
  <si>
    <t>Natal Encantado</t>
  </si>
  <si>
    <t>A magia do Natal ilumina Itupeva com uma programação especial, oferecendo à população uma série de atrações que promovem lazer, encantamento e confraternização. Com atividades para todas as idades, o evento proporciona momentos de alegria e celebração, reforçando o espírito comunitário e as tradições natalinas.
Atrações:
	•	Chegada do Papai Noel
	•	Castelo do Papai Noel
	•	Ônibus iluminado gratuito
	•	Neve artificial
	•	Apresentação do Coral CCI
	•	Show de luzes no parque
	•	Show de fogos sem ruído
	•	Túnel iluminado
	•	Personagens temáticos
	•	Brinquedos infláveis, algodão-doce e pipoca gratuitos.</t>
  </si>
  <si>
    <t>Av. Emílio Checchinato, 706 - Jardim Samambaia, Itupeva SP.</t>
  </si>
  <si>
    <t>https://www.itupeva.sp.gov.br</t>
  </si>
  <si>
    <t>3 °Ciclo Turismo de Teodoro Sampaio- SP</t>
  </si>
  <si>
    <t>Passeio ciclístico realizado a 3 anos consecutivos, na área urbana e ecológica - Sede do parque Estadual Morro do Diabo</t>
  </si>
  <si>
    <t>Praça Antonio Evangelista da Silva- Praça da prefeitura</t>
  </si>
  <si>
    <t>mountain bike, Secretaria de Turismo e Cultura e Secretaria de Esporte e lazer de Teodoro Sampaio</t>
  </si>
  <si>
    <t>Natal Iluminado 2026</t>
  </si>
  <si>
    <t>É um evento Tradicional realizado no mês de dezembro, onde celebra o espirito natalino por meio das luzes, decorações especiais, programação cultural, show ao vivo, praça de alimentação, feira de artesanato, transformando a cidade em um grande cenário festivo para moradores e visitantes. Fomenta as vendas no comercio local.</t>
  </si>
  <si>
    <t>Praça Antonio Evangelista da Silva, avenida Cuiaba, 1544</t>
  </si>
  <si>
    <t>Prefeeitura municipal e Associação Comercial</t>
  </si>
  <si>
    <t>Deficiência Fisica, Deficiência Auditiva, Deficiência Intelectual</t>
  </si>
  <si>
    <t>SÃO MANUEL</t>
  </si>
  <si>
    <t>Cuesta Paulista</t>
  </si>
  <si>
    <t xml:space="preserve">A Festa de Corpus Christi em São Manuel é uma celebração tradicional com 77 anos de devoção, fé e arte, conhecido pelos belos tapetes e passadeiras coloridos nas ruas, missas, procissão, shows, feiras e praça de alimentação, envolvendo toda a comunidade e atraindo muitos fiéis e turistas para a cidade. </t>
  </si>
  <si>
    <t>Trajeto de Corpus Christi,  que liga o Santuário de Santa Terezinha à Igreja Matriz</t>
  </si>
  <si>
    <t>https://www.saomanuel.sp.gov.br/</t>
  </si>
  <si>
    <t>Secretaria Municipal de Turismo - Prefeitura Municipal de São Manuel</t>
  </si>
  <si>
    <t>turismo@saomanuel.sp.gov.br</t>
  </si>
  <si>
    <t>Festa da Assunção de Nossa Senhora ao Céu</t>
  </si>
  <si>
    <t>O Santuário Nossa Senhora Aparecida de São Manuel é o mais antigo dedicado à Padroeira do Brasil e o segundo construído no país com este título, concedido em 1913. Celebra a  168ª Festa da Assunção de Nossa Senhora, com início logo na madrugada, com Missas de hora em hora para acolher romeiros e devotos vindos de diversas regiões. Ao fim da tarde, a celebração da Santa Missa Solene de Encerramento reunirá a maior concentração de fiéis, seguida da tradicional Procissão Luminosa com a imagem de Nossa Senhora, que todos os anos leva milhares de pessoas às ruas em clima de profunda devoção. A festa recorda o dogma da Assunção de Maria, no qual a Igreja crê que, ao fim de sua vida terrena, a Mãe de Jesus foi elevada ao Céu em corpo e alma.</t>
  </si>
  <si>
    <t>Santuário de Aparecida, no Distrito de Aparecida de São Manuel</t>
  </si>
  <si>
    <t>https://www.facebook.com/santuariodamaeaparecida</t>
  </si>
  <si>
    <t>Santuário de Aparecida, de São Manuel</t>
  </si>
  <si>
    <t>santuarionossasenhoraaparecida@gmail.com</t>
  </si>
  <si>
    <t>CACHOEIRA PAULISTA</t>
  </si>
  <si>
    <t>Fé</t>
  </si>
  <si>
    <t xml:space="preserve">Carnaval das cores </t>
  </si>
  <si>
    <t xml:space="preserve">Carnaval das cores  , com vários blocos e trio elétrico  . </t>
  </si>
  <si>
    <t xml:space="preserve">Praça Prado Filho </t>
  </si>
  <si>
    <t>Desfile</t>
  </si>
  <si>
    <t xml:space="preserve">Secretaria de Cultura  , Turismo e Eventos </t>
  </si>
  <si>
    <t xml:space="preserve">Evento gratuito </t>
  </si>
  <si>
    <t>culturaeventos@cachoeirapaulista.sp.gov.br</t>
  </si>
  <si>
    <t>SUD MENNUCCI</t>
  </si>
  <si>
    <t>Pantanal Paulista</t>
  </si>
  <si>
    <t xml:space="preserve">Festa do Peão de Sud Mennucci </t>
  </si>
  <si>
    <t xml:space="preserve">É o maior evento da cidade, celebrando o aniversário do município com rodeios em touros, shows de artistas sertanejos renomados, queima do alho tradicional, praça de alimentação e parque de diversões, atraindo público da região com entrada franca em muitas edições, destacando a cultura sertaneja e o turismo local. </t>
  </si>
  <si>
    <t>R. José Benigo Gomes, 2 - Sud Mennucci, SP, 15360-000</t>
  </si>
  <si>
    <t>Prefeitura Municipal de Sud Mennucci e COEM - Comissão Organizadora de Eventos</t>
  </si>
  <si>
    <t xml:space="preserve">Gratuito </t>
  </si>
  <si>
    <t xml:space="preserve">turismo.meioambiente@sudmennucci.sp.gov.br </t>
  </si>
  <si>
    <t xml:space="preserve">CAMPEONATO DE PESCA ESPORTIVA </t>
  </si>
  <si>
    <t xml:space="preserve">O Campeonato de Pesca Esportiva de Sud Mennucci, conhecido como TUCUNASUD, é um evento anual que atrai pescadores de todo o Brasil para o Rio Tietê, focando no Tucunaré e também com categorias para caiaque, promovendo o turismo local e a preservação ambiental com a prática "pesque e solte". A competição ocorre geralmente nos Quiosques Públicos (Recanto das Águas) e envolve premiações, estrutura para famílias e uma atmosfera competitiva, destacando a cidade como polo da pesca esportiva. </t>
  </si>
  <si>
    <t xml:space="preserve">Sitio Santo Antonio - Cateto, Sud Mennucci - SP, 15360-000 </t>
  </si>
  <si>
    <t>Pesca e Náutico</t>
  </si>
  <si>
    <t xml:space="preserve">Prefeitura Municipal de Sud Mennucci e a Comissão de Pescadores </t>
  </si>
  <si>
    <t xml:space="preserve">Gratuito o evento e o valor da inscrição é estipulado quando lançado o torneio. </t>
  </si>
  <si>
    <t>turismo.meioambiente@sudmennucci.sp.gov.br</t>
  </si>
  <si>
    <t xml:space="preserve">CARNA SUD </t>
  </si>
  <si>
    <t>O Carna Sud é uma celebração popular realizada tradicionalmente na Praça da Matriz, reunindo um público regional diversificado, com apresentações de blocos carnavalescos e shows musicais, promovendo lazer, integração social e a valorização das tradições locais.</t>
  </si>
  <si>
    <t xml:space="preserve">Praça da Matriz de Sud Mennucci </t>
  </si>
  <si>
    <t xml:space="preserve">Prefeitura Municipal de Sud Mennucci e COMTUR - Conselho Municipal de Turismo </t>
  </si>
  <si>
    <t xml:space="preserve">Escolha da Rainha de Sud Mennucci </t>
  </si>
  <si>
    <t xml:space="preserve"> A Escolha da Rainha de Sud Mennucci é um evento tradicional ligado à Festa do Peão do município, onde candidatas locais concorrem ao título em um baile, com a vencedora (como Paula Daniele em uma edição recente) sendo coroada para representar a festa e a cidade, um evento que envolve desfiles, patrocinadores e a organização da COEM (Comissão Organizadora de Eventos Municipais). </t>
  </si>
  <si>
    <t>Pavilhão de Eventos do Recinto de Exposições de Sud Mennucci</t>
  </si>
  <si>
    <t xml:space="preserve">Prefeitura Municipal de Sud Mennucci e COEM </t>
  </si>
  <si>
    <t>AREALVA</t>
  </si>
  <si>
    <t>Caminhos do Tietê</t>
  </si>
  <si>
    <t xml:space="preserve">CARNAVAL: DE VOLTA ÀS RAIZES </t>
  </si>
  <si>
    <t>EVENTO POPULAR TRADICIONAL, REALIZADO NA PRAIA MUNICIPAL, REPORTA AO APELO POPULAR DE MOMENTOS DE LAZER ONDE TODA A FAMÍLIA POSSA USUFUIR DAS FESTIVIDADES DO CARNAVAL COM MUITA MÚSICA E APRESENTAÇÕES DE BLOCOS E FOLIÕES. GERALMENTE É COMPOSTO POR APRESENTAÇÃO MUSICAL (BANDA E DJ) EM TRIO ELÉTRICO.</t>
  </si>
  <si>
    <t xml:space="preserve">PRAIA MUNICIPAL PREFEITO JOSÉ RUIZ </t>
  </si>
  <si>
    <t xml:space="preserve">PREFEITURA MUNICIPAL DE AREALVA </t>
  </si>
  <si>
    <t>turismo@arealva.sp.gov.br</t>
  </si>
  <si>
    <t>Banheiro Acessível, Outro:</t>
  </si>
  <si>
    <t>SANTANA DE PARNAÍBA</t>
  </si>
  <si>
    <t>FOLIA DE REIS</t>
  </si>
  <si>
    <t xml:space="preserve"> Encerramento das festividades natalinas. No dia 06 de janeiro - Dia de Reis, é realizado o evento com apresentação de grupo folclórico que resgata a tradição da Folia de Reis, com encenação teatral, apresentação de bonecões, levantamento de mastro com pedidos, danças e muita música.
</t>
  </si>
  <si>
    <t>Praça 14 de Novembro - Centro Histórico - Santana de Parnaíba</t>
  </si>
  <si>
    <t>https://prefeitura.santanadeparnaiba.sp.gov.br/Plataforma/smct/eventos</t>
  </si>
  <si>
    <t>Secretaria Municipal de Cultura e Turismo de Santana de Parnaíba</t>
  </si>
  <si>
    <t>smct@santanadeparnaiba.sp.gov.br</t>
  </si>
  <si>
    <t>Piso Tátil, Rampa</t>
  </si>
  <si>
    <t>CARNAVAL</t>
  </si>
  <si>
    <t>Em Santana de Parnaíba, Carnaval é festa de rua. Tradicionalmente, os moradores e visitantes caem na folia do Centro Histórico. O Grito da Noite, manifestação secular, marca a abertura do carnaval parnaibano (sexta-feira). Nos demais dias de festa temos os tradicionais blocos com vasta programação, que inclusive já antecedem o Carnaval.</t>
  </si>
  <si>
    <t>LEI Nº 11.140, DE 24 DE ABRIL DE 2002</t>
  </si>
  <si>
    <t>CENTRO HISTÓRICO</t>
  </si>
  <si>
    <t>SECRETARIA MUNICIPAL DE CULTURA E TURISMO DE SANTANA DE PARNAÍBA</t>
  </si>
  <si>
    <t>RUBINÉIA</t>
  </si>
  <si>
    <t>1º Torneio Familia</t>
  </si>
  <si>
    <t>Campeonato de pesca, onde os trios tem que ser da mesma familia, exemplo, pais, filhos, tios, primos e sobrinhos</t>
  </si>
  <si>
    <t>Praia do Sol</t>
  </si>
  <si>
    <t>Casa Esporte Camping</t>
  </si>
  <si>
    <t>turismo@rubineia.sp.gov.br</t>
  </si>
  <si>
    <t>Rampa, Banheiro Acessível, Portas Largas para PCR (Pessoa com cadeira de rodas), Outro:</t>
  </si>
  <si>
    <t>DRAMA DA PAIXÃO</t>
  </si>
  <si>
    <t xml:space="preserve">Na Semana Santa (02, 03 e 04 de abril de 2026), com mais de 30 anos de tradição, acontece a encenação teatral conhecida como Drama da Paixão, um espetáculo consagrado como um dos maiores do Brasil, que retrata a trajetória do nascimento, da vida, da morte e da ressurreição de Jesus Cristo. O espetáculo revive uma das histórias mais emocionantes da humanidade e, a cada ano, apresenta uma passagem bíblica diferente, o que o torna sempre inédito. Ambientado em um espaço cenográfico de 15.000 m², o evento mobiliza mais de 1.000 pessoas, entre atores e equipe de produção.
</t>
  </si>
  <si>
    <t>LEI Nº 11.141, DE 24 DE ABRIL DE 2002</t>
  </si>
  <si>
    <t>Barragem Edgard de Souza - Estrada dos Romeiros, km 40</t>
  </si>
  <si>
    <t>Páscoa</t>
  </si>
  <si>
    <t>Na Semana Santa (02, 03 e 04 de abril de 2026), com mais de 30 anos de tradição, acontece a encenação teatral conhecida como Drama da Paixão, um espetáculo consagrado como um dos maiores do Brasil, que retrata a trajetória do nascimento, da vida, da morte e da ressurreição de Jesus Cristo. O espetáculo revive uma das histórias mais emocionantes da humanidade e, a cada ano, apresenta uma passagem bíblica diferente, o que o torna sempre inédito. Ambientado em um espaço cenográfico de 15.000 m², o evento mobiliza mais de 1.000 pessoas, entre atores e equipe de produção.</t>
  </si>
  <si>
    <t>CORPUS CHRISTI</t>
  </si>
  <si>
    <t>No feriado de Corpus Christi, Santana de Parnaíba transforma as ruas do Centro Histórico em um grande cenário de fé e arte com a confecção dos tradicionais tapetes de serragem, que atraem milhares de fiéis e visitantes. Considerado uma das maiores manifestações religiosas do Estado de São Paulo, o evento encanta pelas ilustrações de motivos religiosos, que impressionam pelo capricho, riqueza de detalhes e perfeição artística.
Os tapetes são confeccionados com serragem colorida, pó de café e casca de ovo, cobrindo as ruas históricas da cidade. Ao longo do dia, são celebradas missas, culminando com a tradicional procissão no fim da tarde. O evento também conta com praça de alimentação e barracas de artes e artesanato, proporcionando uma experiência completa de fé, cultura e convivência comunitária</t>
  </si>
  <si>
    <t>Centro Histórico</t>
  </si>
  <si>
    <t>Encontro de Antigomobilismo</t>
  </si>
  <si>
    <t xml:space="preserve">Em julho é promovido o Encontro de Antigomobilismo. As ruas do Centro Histórico são ocupadas por centenas de veículos antigos. É possível através desses automóveis clássicos, ver a evolução dos carros na história, raridades que marcaram gerações, presentes nas décadas de 1950, 1960, 1970 e 1980, além de caminhões e jeeps do exército. No evento, mercado de pulgas e barracas de artesanato e alimentação. Shows de rock e rockabilly na programação musical.      
</t>
  </si>
  <si>
    <t xml:space="preserve"> SECRETARIA MUNICIPAL DE CULTURA E TURISMO DE SANTANA DE PARNAÍBA</t>
  </si>
  <si>
    <t>Juninão de São João Batista</t>
  </si>
  <si>
    <t>A tradicional festa junina toma conta da Praça da Matriz “Monsenhor Antônio”, no coração da Estância Turística de Olímpia. Entre os dias 19 e 23 de junho, acontece o Juninão de São João, evento realizado pela Paróquia São João Batista, em parceria com a Prefeitura de Olímpia, por meio da Secretaria de Cultura e Defesa do Folclore.
Durante todas as noites, moradores e visitantes poderão saborear uma grande variedade de comidas típicas, como kafta, pastel, caldos, milho verde e a tradicional barraca do vinho do Rotary Club, além de outras bebidas e quitutes. O público também poderá aproveitar uma programação cultural gratuita, garantindo diversão para toda a família.</t>
  </si>
  <si>
    <t>PRAÇA DA MATRIZ “MONSENHOR ANTÔNIO SANTCLIMENTS TORRAS</t>
  </si>
  <si>
    <t>Paróquia de São João Batista em parceira com a Prefeitura da Estância Turística de Olímpia</t>
  </si>
  <si>
    <t>IGUAPE</t>
  </si>
  <si>
    <t>Lagamar</t>
  </si>
  <si>
    <t>Festa em Louvor ao Senhor Bom Jesus de Iguape</t>
  </si>
  <si>
    <t xml:space="preserve">A Festa do Senhor Bom Jesus de Iguape, que em 2025 completa 378 anos de história (iniciada em 1647), é uma das celebrações religiosas mais antigas e tradicionais do Brasil. 
O evento ocorre anualmente entre 28 de julho e 6 de agosto no município de Iguape. 
Principais Características da Festa:
Significado Religioso: Celebra o encontro da imagem do Senhor Bom Jesus de Iguape por indígenas na Praia do Leste em 1647. O ápice ocorre em 6 de agosto, considerado um dia santo e milagroso pelos fiéis.
Romarias e Procissões: Atrai milhares de devotos (estimados em 250 mil em edições recentes) que realizam caminhadas de fé, como a romarias com a duração de  dias na estrada para a conclusão do percurso até Iguape, sendo estas realizadas principalmente a cavalo e a pé. A procissão solene pelas ruas da cidade com a imagem original do Senhor Bom Jesus de Iguape e Nossa Senhora das Neves realizadas nos dias 05 e 06/08 são os momentos de maior comoção.
Programação Cultural: Além das novenas e missas no Santuário Basílica, a festa inclui:
Shows musicais: Apresentações gratuitas no Palco Mar Pequeno e na Praça da Basílica
Feira Popular: Montagem de mais de 300 tendas com artesanato, vestuário, gastronomia e produtos variados.
Edição de 2025: Marcada como uma das maiores da história, a edição de 2025 registrou recorde de público e o retorno pleno das celebrações à orla da cidade após anos de restrições. 
A celebração é considerada o segundo maior evento religioso do estado de São Paulo.
</t>
  </si>
  <si>
    <t>Orla do Mar Pequeno Largo da Basílica</t>
  </si>
  <si>
    <t>Prefeitura Municipal de Iguape</t>
  </si>
  <si>
    <t>41 99234 5538</t>
  </si>
  <si>
    <t>FESTA DA PADROEIRA  - DIA DE SANTA ANA</t>
  </si>
  <si>
    <t>Em 26 de julho - Dia dos Avós - Santa Ana (mãe de Maria e avó de Jesus) é festejada em Santana de Parnaíba. A festa religiosa em louvor à padroeira da cidade acontece com alvorada, missas, procissão, apresentações musicais, quermesse e fogos.</t>
  </si>
  <si>
    <t>SHOW DE ANIVERSÁRIO DA CIDADE</t>
  </si>
  <si>
    <t xml:space="preserve">No dia 14 de novembro Santana de Parnaíba comemora seu aniversário. A festa inclui alvorada, missas e diversas atividades culturais tendo como auge grande show (musical e pirotécnico).
</t>
  </si>
  <si>
    <t>NATAL DE LUZ</t>
  </si>
  <si>
    <t xml:space="preserve">Durante o mês de dezembro o Centro Histórico ganha decoração e iluminação natalina. São cerca de 500 mil lâmpadas de led, além de adereços, túneis, árvores, pórticos e o maior presépio articulado do Estado, que enfeitam ruas, praças, ponte, monumentos, fachadas de casas e os principais pontos turísticos como Igreja, Coreto e muito mais, atraindo milhares de turistas nesse período. O evento também conta com apresentações de Cantatas de Natal e a presença do Bom Velhinho aos fins de semana. 
</t>
  </si>
  <si>
    <t>Praça 14 de Novembro, Centro Histórico e Bolsão de Estacionamento</t>
  </si>
  <si>
    <t>Reveillon de Encantos Olímpia 2026</t>
  </si>
  <si>
    <t>O Réveillon de Encantos em Olímpia é a grande festa de virada de ano da cidade, um evento público que celebra a chegada de 2026 com muita música, alegria e energia positiva. Em 2026, especificamente, destaca-se o show do cantor Mumuzinho, tradicional queima de fogos, e atrações variadas para moradores e turistas, sendo um evento que mescla lazer e solidariedade com pista solidária (troca por alimentos) e camarotes, consolidando Olímpia como destino de fim de ano.</t>
  </si>
  <si>
    <t>Estacionamento do Parque Aquático Thermas dos Laranjais</t>
  </si>
  <si>
    <t>Rampa, Elevador, Banheiro Acessível, Balcão de atendimento com altura reduzida, Portas Largas para PCR (Pessoa com cadeira de rodas)</t>
  </si>
  <si>
    <t>Festa do Cururuquara</t>
  </si>
  <si>
    <t xml:space="preserve">Em comemoração a abolição da escravatura, que aconteceu em 13 de maio de 1888, os escravos libertos cantaram e dançaram durante três dias. Anualmente acontece a festa que leva o nome do bairro e objetiva resgatar as raízes dos negros, através de seus descendentes. O evento tem missa com reza cabocla, procissão e muito samba de bumbo.      
</t>
  </si>
  <si>
    <t>Lei nº 946/14, publicada em 22/04/15</t>
  </si>
  <si>
    <t>Largo das Palmeiras, s/nº - Bairro Cururuquara</t>
  </si>
  <si>
    <t>ROMARIA DO SURU</t>
  </si>
  <si>
    <t xml:space="preserve">Em louvor a Santo Antônio, é realizada na cidade, há quase um século, no mês de junho, a Festa do Surú. É o momento em que a comunidade reverencia a santidade por meio de romaria a cavalo, missa e quermesse. O evento faz parte da política de preservação das tradições do município e é realizado pela Secretaria Municipal de Cultura e Turismo, em parceria com a comunidade católica da cidade. A Romaria sai do Centro Histórico em direção à Capela de Santo Antônio do Suru.
</t>
  </si>
  <si>
    <t>Capela do Surú - Estrada Ecoturística do Surú</t>
  </si>
  <si>
    <t xml:space="preserve">Natal Encantado Olímpia </t>
  </si>
  <si>
    <t>O Natal em Olímpia, SP, é marcado pelo evento "Natal Encantado", com programação gratuita que inclui shows da Orquestra Sinfônica, chegada do Papai Noel, cortejos temáticos com folclore (Lendas em Festa), decoração especial na Praça da Matriz, mercado de artesanato e atividades nos parques aquáticos como o Hot Beach, oferecendo atrações como pintura corporal, oficinas e desfile, com horários especiais de funcionamento para serviços públicos durante o período festivo.</t>
  </si>
  <si>
    <t>olimpia.sp.gob.br</t>
  </si>
  <si>
    <t>UCHOA</t>
  </si>
  <si>
    <t>Águas, Cultura e Negócios</t>
  </si>
  <si>
    <t>Festa das Nações</t>
  </si>
  <si>
    <t>Evento anual que conta com a participação de entidades do município comercializando pratos típicos de diversos países, sempre com a apresentação de grandes shows</t>
  </si>
  <si>
    <t>Recinto Antonio Dias Barreiras - Rua José Carlos Tridapalli</t>
  </si>
  <si>
    <t>Prefeitura Municipal de Uchoa</t>
  </si>
  <si>
    <t>turismo@uchoa.sp.gov.br</t>
  </si>
  <si>
    <t>Rampa, Balcão de atendimento com altura reduzida</t>
  </si>
  <si>
    <t>A chegada do Papai Noel em Olímpia é o ponto alto do evento gratuito "Natal Encantado", uma celebração anual da cidade que marca o início das festividades natalinas, com muita luz, música e personagens, culminando com a aparição do Bom Velhinho, que interage com o público e se instala na sua "Casinha" na Praça da Matriz para receber crianças e famílias durante todo o mês de dezembro, promovendo um clima mágico e cultural com espetáculos e decorações.</t>
  </si>
  <si>
    <t>SANTA CRUZ DO RIO PARDO</t>
  </si>
  <si>
    <t>Rock Rio Pardo</t>
  </si>
  <si>
    <t>Criado em 2002, o então Rock in Rio Pardo, surgiu do anseio de alguns músicos principiantes e suas bandas de garagem. Em 2007, foi feita a parceria com a Secretaria de Cultura, uma melhor estrutura foi destinada ao evento, como som e palcos profissionais, divulgação, entre outros. Com o incremento, o evento ganhou força e entrou para o calendário de eventos da cidade.​
São três dias de evento, com apresentação de várias bandas por dia dos mais diversos lugares do Estado de São Paulo, além da apresentação de uma grande banda nacional no encerramento de cada dia. Nomes como Ira!, Raimundos, Ultraje a Rigor, Titãs, Sepultura, Matanza, Frejat, Nando Reis, Angra e Cachorro Grande já se apresentaram no evento. Em 2019, vieram CPM22, a volta aos palcos do festival da banda Sepultura - substituindo a banda Shaman pela fatalidade do falecimento do grande vocalista André Matos) - e a nova turnê chamada Matriz da cantora Pitty. O  ingresso é apenas 1 kg de alimento não perecível, sendo o maior festival solidário do Brasil.
Para o ano de 2026, teremos Samuel Rosa, Banda Glória e Biquíni (anteriormente conhecida como Biquini Cavadão).</t>
  </si>
  <si>
    <t xml:space="preserve">Recinto de Exposições José Rosso - Av. Antônio Bernadino Pereira de Lima - Vila Maristela </t>
  </si>
  <si>
    <t>https://www.rockriopardo.com.br/</t>
  </si>
  <si>
    <t>Prefeitura Municipal e Comissão de Bandas de Santa Cruz</t>
  </si>
  <si>
    <t>turismo@santacruzdoriopardo.sp.gov.br</t>
  </si>
  <si>
    <t>Atendimento em Línguas de Sinais, Rampa, Banheiro Acessível, Portas Largas para PCR (Pessoa com cadeira de rodas)</t>
  </si>
  <si>
    <t>MARÍLIA</t>
  </si>
  <si>
    <t>Alto Cafezal</t>
  </si>
  <si>
    <t xml:space="preserve">Japan Fest </t>
  </si>
  <si>
    <t xml:space="preserve">
Considerado um dos eventos mais tradicionais e importantes da colônia japonesa em todo o país, o Japan Fest iniciou em 2003 e é promovido pela Associação Cultural e Esportiva Nikkey de Marília em parceria com a Prefeitura Municipal e Governo do Estado. Com o principal objetivo de preservar e divulgar a cultural oriental e consolidar as relações entre descendentes e não descendentes, o Japan Fest ocorre uma vez por ano, em abril, tem duração de 04 dias oferecendo inúmeras atrações culturais, artísticas, gastronômicas e filantrópicas. Entrada gratuita, com a contribuição voluntária de alimentos. Em 2026 será realizada a 23ª edição. 
</t>
  </si>
  <si>
    <t>R. Benedito Alves Delfino, 2850 - Distrito Industrial, Marília - SP, 17512-043</t>
  </si>
  <si>
    <t xml:space="preserve">https://www.instagram.com/japanfestmarilia/ 
https://www.nikkeymarilia.com.br/site/index.asp </t>
  </si>
  <si>
    <t xml:space="preserve">Associação Cultural e Esportiva Nikkey de Marília </t>
  </si>
  <si>
    <t>secretaria@nikkeymarilia.com.br</t>
  </si>
  <si>
    <t xml:space="preserve">Festival Gastronômico </t>
  </si>
  <si>
    <t xml:space="preserve">
O Festival Gastronômico de Marília é o maior evento de gastronomia da região. Em 2025 foi a 11ª edição e é organizado e promovido pelo Marília e Região Convention &amp; Visitors Bureau e Sindicato de Hotéis, Bares e Restaurantes, em parceria com a Prefeitura Municipal. Os principais restaurantes da cidade, cerca de 20, participam desse evento, lançando novos pratos, a preço único que, como critério, devem homenagear pessoas, famílias, lugares ou empresas que fazem parte da história da cidade. Além disso, o festival premia os consumidores e uma característica importante do evento é a ação social: a cada ano a organização do Festival escolhe duas entidades para receber parte da renda arrecadada com a venda dos pratos. Tem duração de, em média, 45 dias. 
</t>
  </si>
  <si>
    <t xml:space="preserve">Cerca de 20 restaurantes </t>
  </si>
  <si>
    <t>https://www.instagram.com/festivalgastronomicodemarilia/</t>
  </si>
  <si>
    <t>Marília e Região Convention &amp; Visitors Bureau e Sindicato de Hotéis, Bares e Restaurantes</t>
  </si>
  <si>
    <t>sinhoresmarilia@gmail.com</t>
  </si>
  <si>
    <t>Olímpia Rodeo Festival</t>
  </si>
  <si>
    <t xml:space="preserve">O Olímpia Rodeo Festival, também conhecido como Festa do Peão de Olímpia, é um grande evento anual em Olímpia, SP, que celebra a cultura sertaneja e o agronegócio, combinando competições de rodeio (montaria em touros, parte do circuito PBR Brasil), grandes shows de música sertaneja, estrutura completa com camarotes e uma feira agropecuária (Olímpia + Agro) que fortalece o setor local. É uma festa de tradição que une esporte, lazer, gastronomia e solidariedade, atraindo público da região e turistas. </t>
  </si>
  <si>
    <t>Recinto do Folclore de Olímpia - Avenida Menina Moça, nº 800, na Vila Hípica, CEP 15407-050</t>
  </si>
  <si>
    <t>VOTUPORANGA</t>
  </si>
  <si>
    <t>Maravilhas do Rio Grande</t>
  </si>
  <si>
    <t xml:space="preserve">FLIV - Festival Literário de Votuporanga </t>
  </si>
  <si>
    <t>O Festival Literário de Votuporanga (Fliv) chegará à sua 16ª edição em 2026, consolidando-se como um dos maiores e mais importantes eventos multiculturais do Brasil. Reconhecido nacionalmente por sua relevância artística, social e educacional, o festival oferece uma ampla programação gratuita, com atividades que promovem a literatura, as artes e a cultura em suas mais diversas expressões.
O evento será realizado na cidade de Votuporanga/SP, localizada a aproximadamente 530 km da capital paulista, no período de 8 a 16 de agosto de 2026. Durante esses dias, a cidade se transforma em um polo de efervescência cultural, reunindo escritores, artistas, educadores, editoras, livrarias e o público em geral, fomentando o acesso à leitura, à arte e ao conhecimento.
Em 2021, o Fliv foi agraciado com o Prêmio Governador do Estado de São Paulo para as Artes, na categoria Livro, Leitura e Bibliotecas, destacando-se entre as principais iniciativas culturais do país. Já em 2023, foi novamente indicado ao mesmo prêmio, desta vez na categoria “Iniciativas Culturais – Terceiro Setor”, reafirmando seu papel como referência nacional no campo cultural e artístico.
Em 2025, o festival foi reconhecido como Patrimônio Imaterial do Município de Votuporanga, reconhecimento que evidencia sua importância histórica, cultural e simbólica para a cidade e para o cenário cultural brasileiro.
Por sua amplitude e impacto sociocultural, o Fliv depende de múltiplas fontes de financiamento para sua realização, incluindo recursos públicos e privados, editais e parcerias institucionais. Assim, o apoio por meio da Lei de Incentivo à Cultura mostra-se essencial para viabilizar o evento, uma vez que o recurso proveniente do Programa Bolsa Cultura, por si só, é insuficiente para garantir a execução integral da programação e da infraestrutura necessária para um festival dessa magnitude.
Cabe ressaltar que o pagamento do responsável técnico pelo projeto será realizado por meio de outras fontes de financiamento, não sendo custeado com os recursos deste edital, assegurando a correta aplicação dos valores incentivados e o cumprimento das normas legais.</t>
  </si>
  <si>
    <t>Rua Francisco Ramalho de Mendonça, 3112 - Jardim Alvorada, Votuporanga/SP</t>
  </si>
  <si>
    <t>https://fliv.com.br</t>
  </si>
  <si>
    <t>Prefeitura Municipal de Votuporanga</t>
  </si>
  <si>
    <t xml:space="preserve">Entrada gratuita </t>
  </si>
  <si>
    <t>cultura@votuporanga.sp.gov.br</t>
  </si>
  <si>
    <t>Piso Tátil, Rampa, Elevador, Banheiro Acessível, Portas Largas para PCR (Pessoa com cadeira de rodas)</t>
  </si>
  <si>
    <t>Revelando São Paulo - Vale do Ribeira</t>
  </si>
  <si>
    <t xml:space="preserve">O Revelando SP é o maior festival de cultura tradicional paulista, que anualmente realiza uma de suas edições na cidade de Iguape. O evento celebra e valoriza as tradições do estado, com entrada gratuita, e geralmente ocorre no Centro de Eventos Prefeito Casimiro Teixeira. 
O festival é um encontro que valoriza as raízes culturais de São Paulo, reunindo manifestações do campo, da cidade, do litoral e de comunidades indígenas. O objetivo é promover o conhecimento e o respeito pela história e pelo modo de vida local. 
As principais atrações incluem culinária tradicional, incluindo barracas com comidas típicas de diversas regiões do estado. Exposição e venda de peças que carregam história e identidade, como trançados, cerâmicas, esculturas e bordados, bem como apresentações culturais que incluem música, dança, saberes populares, grupos rituais, seresteiros, sanfoneiros e violeiros.
Edições recentes contaram com apresentações de artistas renomados como Almir Sater, 14 Bis, Bruna Viola, e outros.
O evento possui espaços interativos com artesãos e exposições acessíveis, como a de arte sacra em 3D, que permite o toque nas peças. 
Em 2025, o evento ocorreu em Iguape de 19 a 22 de junho, como parte do calendário anual do festival que também passou por outras cidades como Barretos e São José dos Campos. 
O "Revelando SP" consolidou-se como um palco importante para o fortalecimento das tradições paulistas, atraindo milhares de visitantes interessados em vivenciar a riqueza da identidade cultural do estado. 
</t>
  </si>
  <si>
    <t>Centro de Eventos - Rua Ana Cândida Sandoval, s/n Triogo</t>
  </si>
  <si>
    <t>www.revelandosp.com.br</t>
  </si>
  <si>
    <t>Secretaria de Cultura do Estado</t>
  </si>
  <si>
    <t>cultura@iguape.sp.gov.br</t>
  </si>
  <si>
    <t>VOTU INTERNATIONAL RODEO</t>
  </si>
  <si>
    <t>O Votu International Rodeo é um grande festival de rodeio e entretenimento realizado em Votuporanga (SP), no Centro de Eventos Helder Henrique Galera. Sua primeira edição recente aconteceu entre 8 e 11 de maio de 2025, resgatando a tradição do rodeio na cidade após anos sem o evento e atraindo um público recorde de cerca de 80 mil pessoas com competição internacional de montarias em touros, shows sertanejos e atrações para toda a família.
O evento combina desafios esportivos emocionantes com música ao vivo de grandes nomes do cenário nacional, estrutura de parque de diversões, opções de camarotes e entrada gratuita para a pista em todos os dias.
Além do aspecto esportivo, o rodeio também teve impacto social e econômico significativo, movimentando milhões na economia local, gerando empregos e promovendo ações solidárias, como a arrecadação de R$ 200 mil para a Santa Casa de Votuporanga no Desafio do Bem.
Após o sucesso de 2025, a organização já prepara uma edição ainda maior para 7 a 10 de maio de 2026, com premiação histórica anunciada e uma grade de atrações ampliada.</t>
  </si>
  <si>
    <t>"Centro de Eventos Helder Henrique Galera" - Angelo Comar - Rod. Vicinal, VTG 020 - Votuporanga/SP</t>
  </si>
  <si>
    <t>Grupo Tércio Miranda, com apoio da Prefeitura Municipal de Votuporanga</t>
  </si>
  <si>
    <t>https://www.totalacesso.com/events/VotuInternationalRodeo?utm_source=ig&amp;utm_medium=social&amp;utm_content=link_in_bio&amp;fbclid=PAdGRleAOv4wVleHRuA2FlbQIxMQBzcnRjBmFwcF9pZA8xMjQwMjQ1NzQyODc0MTQAAaeTDL7CqlMZhpQ9oaQnGDf4QBd2h4EhZdynF5Bj5N7Tj3L1DmW0okh1j--8gQ_aem_BFdiZ96lqeE0iZQyBV_HLw</t>
  </si>
  <si>
    <t>OBA FESTIVAL</t>
  </si>
  <si>
    <t>O OBA Festival é um dos mais tradicionais e populares carnavais do interior paulista, nascido em Votuporanga (SP) há cerca de 20 anos como uma festa de Carnaval local e que, ao longo do tempo, ganhou projeção regional.
Em 2022, o festival foi transferido para São José do Rio Preto, onde foi realizado por três edições, consolidando-se como um dos maiores carnavais do interior paulista.
No entanto, em 2025 foi anunciado o retorno do OBA Festival à sua cidade de origem, Votuporanga, para a edição de 2026, após parceria entre poder público e iniciativa privada da cidade, que viabilizou melhorias na infraestrutura do evento, incluindo reforma de espaços, novos setores e maior capacidade de público.
Esse retorno marca um novo ciclo para o festival, reforçando sua identidade com Votuporanga e ampliando sua atuação com novidades como a Pista Solidária, setores diferenciados e grandes atrações musicais confirmadas para a programação de 14 a 16 de fevereiro de 2026.</t>
  </si>
  <si>
    <t xml:space="preserve">Centro de Eventos “Helder Henrique Galera” - Angelo Comar - Rod. Vicinal, VTG 020 </t>
  </si>
  <si>
    <t>https://www.obafestival.com.br/</t>
  </si>
  <si>
    <t>Oba Produções Ltda. com apoio da Prefeitura Municipal de Votuporanga</t>
  </si>
  <si>
    <t>https://www.guicheweb.com.br/oba-festival-2026_46590</t>
  </si>
  <si>
    <t>SANTA ISABEL</t>
  </si>
  <si>
    <t>Coração Paulista</t>
  </si>
  <si>
    <t xml:space="preserve">13° Volks Day - Encontro de Fuscas e Carros antigos </t>
  </si>
  <si>
    <t>Evento beneficente para público familiar, realizado todo terceiro domingo de junho de cada ano e participação de vários clubes de carros antigos vindos de várias cidades do estado, sendo que no último evento teve cerca de 600 carros expostos.</t>
  </si>
  <si>
    <t>Rua Eloy pessoa barros (espaço rodovia)</t>
  </si>
  <si>
    <t xml:space="preserve">Boxer Club Santa Isabel </t>
  </si>
  <si>
    <t>rogeriopiscinas1234@gmail.com</t>
  </si>
  <si>
    <t>Festival de Cinema de Marília</t>
  </si>
  <si>
    <t xml:space="preserve"> 
O Festival de Cinema de Marília é um evento de grande relevância no calendário nacional e referência no cenário cultural brasileiro. Com raízes na década de 1960, atrai cineastas, críticos, cinéfilos e entusiastas. 
Este evento não se resume apenas à exibição de filmes, ele representa uma celebração da sétima arte e da riqueza cultural brasileira, criando um espaço de networking, aprendizado e entretenimento. Realizado no Teatro Municipal “Waldir Silveira Mello”, a programação é intensa e diversificada, contando com oficinas, mostras competitivas, sessões de filmes (longas e curtas-metragens), entre outras atividades, abordando também temas essenciais como inclusão social, diversidade e sustentabilidade.  
O Festival tem realização do Clube de Cinema de Marília e Ministério da Cultura e conta com o apoio da Política Nacional PNAB – Aldir Blanc, Prefeitura de Marília, Produtora Cinegoria e Produtora Alumiar Filmes. Entrada gratuita e duração de 8 dias, em média. 
</t>
  </si>
  <si>
    <t>Teatro Municipal Waldir Silveira Mello, avenida Rio Branco, 51 - Centro, Marília/SP</t>
  </si>
  <si>
    <t>www.festivalcinemamarilia.com.br
www.instagram.com/festivalcinemamarilia.</t>
  </si>
  <si>
    <t xml:space="preserve">Clube de Cinema de Marília </t>
  </si>
  <si>
    <t>www.festivalcinemamarilia.com.br //  www.instagram.com/festivalcinemamarilia.</t>
  </si>
  <si>
    <t>https://www.festivalcinemamarilia.com.br/contato</t>
  </si>
  <si>
    <t xml:space="preserve">Festival do Café </t>
  </si>
  <si>
    <t xml:space="preserve">O Festival do Café celebra a centenária Fazenda Cascata, propriedade cafeeira que teve papel fundamental na fundação e no desenvolvimento de Marília e região, e marca também a inserção de Marília e região no programa estadual Rotas do Café, valorizando uma das mais importantes cadeias produtivas responsáveis pelo crescimento econômico e cultural local e regional.
Com uma programação completa para toda a família, o Festival do Café reúne produtores de café, artesãos, baristas, palestrantes e atrações musicais. O público desfruta de praça de alimentação com food trucks, produtos artesanais, brinquedos infláveis, exposição de tratores e fotos, além de palestras. Valoriza a cadeia produtiva do café, fomenta o turismo e o lazer, difunde conhecimento, história e cultura, além de fortalecer a identidade e o desenvolvimento regional. 
A entrada é gratuita, com doação voluntária de 1 kg de alimento,  das 10h às 18h. 
</t>
  </si>
  <si>
    <t>Fazenda Cascata: avenida Cascata, 201-495- Jardim Maria Izabel -Marília/SP</t>
  </si>
  <si>
    <t>https://www.instagram.com/turismomarilia/</t>
  </si>
  <si>
    <t>Prefeitura Municipal de Marília, através da Secretaria Municipal do Trabalho, Turismo e Desenvolvimento Econômico</t>
  </si>
  <si>
    <t xml:space="preserve">turismo@marilia.sp.gov.br </t>
  </si>
  <si>
    <t xml:space="preserve">Rota das Capelas Alto Cafezal </t>
  </si>
  <si>
    <t xml:space="preserve">O evento na Rota das Capelas Alto Cafezal é um evento de cicloturismo, que reúne ciclistas de Marília e região. Com 100 quilômetros de extensão e 1.800 metros de altimetria, a Rota das Capelas é um percurso ecumênico e turístico que conecta fé, natureza e história. Ao longo do trajeto, os participantes passam por oito edificações religiosas — uma catedral, um mosteiro, uma igreja, quatro capelas e uma gruta — em um percurso que também resgata parte da história da região, ao seguir trechos da primeira estrada aberta durante o desbravamento da expedição geográfica de Campos Novos Paulista.
O circuito tem início no centro de Marília, na Praça da Catedral Basílica de São Bento, seguindo pela zona sul da cidade e deixando o perímetro urbano pela Avenida Durval de Menezes, até a ponte sobre o Rio do Peixe, em direção a Ocauçu. Já na cidade vizinha, o trajeto contempla paisagens naturais de grande beleza, como a formação rochosa conhecida como Dedo de Deus e a Gruta de Nossa Senhora Auxiliadora, com a imagem da santa incrustada em um paredão de pedra. O percurso segue ainda pelos distritos de Nova Colômbia e São Benedito (Ocauçu), por Amadeu Amaral e finaliza em Avencas, no Mosteiro da Divina Misericórdia, encerrando uma jornada de fé, superação e conexão com a natureza.
Mais do que um pedal, o evento é uma experiência transformadora, que une esporte, espiritualidade e turismo sustentável. O trajeto, de nível de dificuldade alto, é amplamente elogiado pela beleza de suas paisagens, sinalização de qualidade e estrutura de apoio. Durante o evento, há pontos de hidratação, suporte mecânico e ambulância de prontidão para garantir a segurança dos participantes.
O evento é realizado uma vez por ano, pela Associação Rota das Capelas Alto Cafezal e apoio da Prefeitura Municipal de Marília, através da Secretaria do Trabalho, Turismo e Desenvolvimento Econômico. Porém, durante todo o ano é frequentada por ciclistas e peregrino, sendo a rota autoguiada. 
</t>
  </si>
  <si>
    <t>Rota das Capelas Alto Cafezal</t>
  </si>
  <si>
    <t xml:space="preserve">https://www.instagram.com/rotadascapelas.altocafezal/ 
</t>
  </si>
  <si>
    <t>Associação Rota das Capelas Alto Cafezal e apoio da Prefeitura Municipal de Marília, através da Secretaria do Trabalho, Turismo e Desenvolvimento Econômico</t>
  </si>
  <si>
    <t xml:space="preserve">https://www.instagram.com/rotadascapelas.altocafezal/ </t>
  </si>
  <si>
    <t>SÃO SIMÃO</t>
  </si>
  <si>
    <t>Alta Mogiana</t>
  </si>
  <si>
    <t xml:space="preserve">FESICA - Festival Simonense da Canção </t>
  </si>
  <si>
    <t xml:space="preserve">O FESICA – Festival Simonense da Canção teve início em 1973, idealizado por um grupo de jovens simonenses da Juventude Unida Simonense (JUS). Começando de forma simples, o festival rapidamente ganhou projeção e alcançou dimensão nacional, consolidando-se como um dos mais importantes eventos culturais da cidade.
A primeira edição foi realizada no Cine-Theatro Carlos Gomes. Já no terceiro ano, devido ao grande sucesso de público, o festival passou a acontecer no Cine Oásis, espaço mais amplo, onde permaneceu até 1988 — período considerado o auge do FESICA, marcado por dias de glória e pela passagem de artistas que mais tarde se consagraram na música brasileira. Entre os destaques estão André de Souza e Neusa Mahlow, representantes de São Simão.
Entre 1989 e 1996, o festival foi realizado no Ginásio de Esportes Amadeu Geraigire. Em 1997, ocorreu uma edição comemorativa pelos 25 anos do FESICA, sem caráter competitivo. No ano seguinte, 1998, o festival foi realizado pela última vez naquele ciclo.
Após um longo período de pausa, o FESICA foi retomado em 2022 pela Prefeitura Municipal de São Simão, com edições realizadas nos dias 07, 08 e 09 de julho, reunindo artistas de diversas regiões do Brasil. O festival teve continuidade em 2023 e 2024 e, em 2025, celebrou 30 anos de Voos e Vozes, apresentando nova roupagem e identidade visual, batendo recordes de inscrições, recebendo artistas de norte a sul do país e sendo amplamente aclamado pelo público e pela região, reafirmando sua relevância cultural e artística. </t>
  </si>
  <si>
    <t xml:space="preserve">- </t>
  </si>
  <si>
    <t xml:space="preserve">Praça da República - Centro - São Simão </t>
  </si>
  <si>
    <t xml:space="preserve">https://www.instagram.com/fesica_ss/
https://linktr.ee/FESICA2025?utm_source=linktree_profile_share&amp;ltsid=73d2714a-8749-42df-ad81-584f6339e467
</t>
  </si>
  <si>
    <t>Secretaria Municipal de Turismo e Desenvolvimento Ecônomico / Secretaria Municipal de Cultura / Prefeitura de São Simão</t>
  </si>
  <si>
    <t>-</t>
  </si>
  <si>
    <t>turismo@saosimao.sp.gov.br</t>
  </si>
  <si>
    <t>Piso Tátil, Rampa, Banheiro Acessível, Balcão de atendimento com altura reduzida, Portas Largas para PCR (Pessoa com cadeira de rodas)</t>
  </si>
  <si>
    <t xml:space="preserve">Carnaval Simonense </t>
  </si>
  <si>
    <t>O tradicional Carnaval de Rua de São Simão, renovado, cheio de energia e mantendo viva uma das maiores expressões culturais da cidade. A cada edição, a festa cresce, se fortalece e reafirma seu lugar como um dos principais carnavais da região.
Com uma programação diversa e democrática, o Carnaval de São Simão reúne famílias, amigos e turistas em um ambiente de alegria, cores e muita música. São noites intensas de festa e matinês pensadas para todas as idades, além de concursos entre repúblicas, desfiles carnavalescos, blocos, shows artísticos e a já tradicional caça ao tesouro, que movimenta a cidade e encanta gerações.
Mais do que uma festa, o carnaval simonense é um encontro de histórias, culturas e pessoas, fortalecendo o turismo, a economia local e o sentimento de pertencimento. Um carnaval gratuito, popular, seguro e feito para todos — onde a tradição se renova e a alegria toma conta das ruas.</t>
  </si>
  <si>
    <t>Rodoviária e Praça da República de São Simão</t>
  </si>
  <si>
    <t xml:space="preserve">https://www.instagram.com/carnavalsimonense/
Estamos criando redes sociais do Carnaval 
</t>
  </si>
  <si>
    <t>Secretaria de Turismo e Desenvolvimento Ecônomico / Secretaria de Cultura / Prefeitura Municipal de São Simão</t>
  </si>
  <si>
    <t>Mapa Tátil, Piso Tátil, Rampa, Banheiro Acessível, Balcão de atendimento com altura reduzida, Portas Largas para PCR (Pessoa com cadeira de rodas)</t>
  </si>
  <si>
    <t>PARIQUERA-AÇU</t>
  </si>
  <si>
    <t>17ª Festa das Nações</t>
  </si>
  <si>
    <t>A Festa das Nações de Pariquera-Açu foi criada com o objetivo de valorizar as etnias que marcaram a colonização do município, destacando as culturas alemã, polonesa, suíça, italiana e portuguesa, que juntas formam uma grande riqueza cultural.
Mais do que um evento festivo, a Festa das Nações celebra a identidade do município, promove o encontro de culturas e fortalece o sentimento de pertencimento da comunidade. Em 2026, o evento chega à sua décima sétima edição, já consolidado como um dos principais acontecimentos culturais da região, sendo realizado ao longo de 4 dias de programação, e tendo ultrapassado, nas últimas edições, a marca de 20 mil visitantes, reafirmando sua importância cultural, turística e social para Pariquera-Açu.</t>
  </si>
  <si>
    <t>Centro de eventos dos Imigrantes, Av. Olímpica, S/N. Pariquera-Açu, CEP 11930-000</t>
  </si>
  <si>
    <t>https://www.instagram.com/festadasnacoespariquera?igsh=MXdkbWxjbHFwdDY1Yw==</t>
  </si>
  <si>
    <t>Cultura Alemã</t>
  </si>
  <si>
    <t>Prefeitura Municipal de Pariquera Açu</t>
  </si>
  <si>
    <t>turismo@pariqueraacu.sp.gov.br</t>
  </si>
  <si>
    <t>Deficiência Fisica, Deficiência Auditiva</t>
  </si>
  <si>
    <t>Atendimento em Línguas de Sinais, Banheiro Acessível, Portas Largas para PCR (Pessoa com cadeira de rodas)</t>
  </si>
  <si>
    <t>FEI BANANA (14ª Feira Nacional da Bananicultura)</t>
  </si>
  <si>
    <t>A FEIBANANA – Feira Nacional da Bananicultura é um dos principais eventos do país voltados à cadeia produtiva da banana. Realizada em Pariquera-Açu, a feira reúne produtores, pesquisadores, empresas e o público em geral para apresentar inovações tecnológicas, compartilhar conhecimento por meio de palestras especializadas e valorizar a cultura local, com artesanato, atrações culturais e shows. Consolidada como um grande ponto de encontro do setor, a FEIBANANA promove o desenvolvimento da bananicultura e atrai milhares de visitantes a cada edição.</t>
  </si>
  <si>
    <t>Centro de Eventos dos Imigrantes, Av. Olímpica, S/N. Pariquera-Açu. CEP 11930-000.</t>
  </si>
  <si>
    <t>ABAVAR - Associação dos Bananicultores do Vale do Ribeira</t>
  </si>
  <si>
    <t>CIENP - Congresso Internacional de Educação do Noroeste Paulista</t>
  </si>
  <si>
    <t>O CIENP é um evento formativo de grande impacto para o Noroeste Paulista, promovido pelo Arranjo de Desenvolvimento da Educação do Noroeste Paulista (ADE Noroeste Paulista), em parceria com a AMA. O congresso simboliza o compromisso coletivo com a educação e representa, na prática, o regime de colaboração horizontal entre os municípios do Noroeste Paulista.
Em 2025, o CIENP celebrou sua 10ª edição, marcando uma década de formação continuada para professores, dirigentes e demais profissionais da educação, consolidando-se como um marco regional no fortalecimento da aprendizagem e da gestão educacional.</t>
  </si>
  <si>
    <t>https://cienp.com.br</t>
  </si>
  <si>
    <t>Congresso e afins</t>
  </si>
  <si>
    <t>Científico/Técnico</t>
  </si>
  <si>
    <t>Arranjo de Desenvolvimento da Educação do Noroeste Paulista (ADE Noroeste Paulista), em parceria com a Associação dos Municípios da Araraquarense (AMA) e a Prefeitura Municipal de Votuporanga</t>
  </si>
  <si>
    <t>ITATIBA</t>
  </si>
  <si>
    <t>21ª Festa do Caqui e Cia.</t>
  </si>
  <si>
    <t>A Festa do Caqui e Cia. é o maior evento turístico de Itatiba e tem como objetivo valorizar o agroturismo e a produção local. É realizada sempre em meados de Abril, no Parque Luis Latorre (Parque da Juventude), e, além de divulgar a fruta com especial destaque para o agronegócio, proporciona também diversas outras atrações que agradam os visitantes: passeios turísticos às propriedades rurais, aulas de culinária que têm o caqui como matéria-prima principal, praça de alimentação, exposição de frutas premiadas e leilão, produtores rurais, artesanato, espaço turismo, cidade das crianças, espaço de convivência etc. O evento busca valorizar a cultura local com apresentações de artistas e bandas da cidade e região. A festa tem caráter filantrópico, pois a praça de alimentação é composta pelas entidades assistenciais da cidade que angariam fundos para seus trabalhos sociais. Os produtores rurais comercializam frutas in natura, produtos orgânicos, sucos, vinhos, geleias, doces e compotas, dentre outros, e são enaltecidos pelo público que prestigia a Festa do Caqui e Cia.</t>
  </si>
  <si>
    <t>Parque Luis Latorre (Parque da Juventude)- Avenida Prefeito Erasmo Chrispim, 100, no Bairro do Engenho, Itatiba</t>
  </si>
  <si>
    <t>https://itatiba.sp.gov.br/</t>
  </si>
  <si>
    <t>Prefeitura do Município de Itatiba</t>
  </si>
  <si>
    <t>turismo@cultura.itatiba.sp.gov.br</t>
  </si>
  <si>
    <t xml:space="preserve">27ª Exposição de Orquídeas </t>
  </si>
  <si>
    <t xml:space="preserve">A Exposição Nacional de Orquídeas de Votuporanga é um evento tradicional do município que reúne expositores e orquidófilos de diversas regiões do país, apresentando ao público centenas de espécies e variedades de orquídeas. Organizada pela Associação Votuporanguense de Orquidófilos (AVORQ), com apoio do poder público, a exposição combina contemplação, troca de conhecimentos e valorização ambiental, contando com julgamento técnico das plantas, orientações sobre cultivo e venda de mudas. Além do caráter técnico e educativo, o evento também se consolida como uma atração cultural e turística, integrando atividades culturais, artesanato e lazer, com entrada gratuita e ampla participação da comunidade.
</t>
  </si>
  <si>
    <t>Parque da Cultura - Rua Francisco Ramalho de Mendonça, 3112, Jardim Alvorada - Votuporanga/SP</t>
  </si>
  <si>
    <t xml:space="preserve">Associação Votuporanguense dos Orquidófilos com apoio da Prefeitura Municipal de Votuporanga </t>
  </si>
  <si>
    <t>ITARARÉ</t>
  </si>
  <si>
    <t>Região Turística dos Cânions Paulista</t>
  </si>
  <si>
    <t xml:space="preserve">Festa de São Pedro </t>
  </si>
  <si>
    <t>Quermesse em louvor ao padroeiro da cidade na Praça Central. Mês de junho até o dia 29 ocorrendo em todos os finais de semana do mês.</t>
  </si>
  <si>
    <t>Praça Francisco Alves Negrão</t>
  </si>
  <si>
    <t xml:space="preserve">Igreja Católica </t>
  </si>
  <si>
    <t>cultura@itarare.sp.gov.br</t>
  </si>
  <si>
    <t>PRAIA GRANDE</t>
  </si>
  <si>
    <t>Estação Verão Praia (Arenas de Verão) EDIÇÃO 2025/2026</t>
  </si>
  <si>
    <t>O Estação Verão Praia é um dos maiores programas de lazer, cultura e esporte do litoral paulista. Realizado pela Prefeitura de Praia Grande durante a temporada de verão, o evento oferece uma ampla programação gratuita voltada para toda a família, reunindo atividades esportivas, aulas de dança, recreação, oficinas culturais e atrações musicais.
Com arenas instaladas em diferentes pontos da orla, o projeto promove integração, bem-estar e diversão para moradores e turistas, valorizando o espírito de confraternização e a energia do verão. Além disso, o Estação Verão Praia contribui para o fortalecimento do turismo local, sendo referência em eventos sazonais no Estado de São Paulo.</t>
  </si>
  <si>
    <t xml:space="preserve"> Boqueirão - Guilhermina - Aviação - Tupi - Ocian - Mirim - Caiçara - Real/Flórida</t>
  </si>
  <si>
    <t>https://www.estacaoveraopg.com.br/</t>
  </si>
  <si>
    <t>Grupo HJR em parceria com a Secretaria de Cultura e Turismo</t>
  </si>
  <si>
    <t>sectureventos@praiagrande.sp.gov.br</t>
  </si>
  <si>
    <t>RÉVEILLON - 2025/2026</t>
  </si>
  <si>
    <t>A chegada de 2026 em Praia Grande promete ser inesquecível! Para celebrar a virada do ano, a Prefeitura prepara um lindo espetáculo de queima de fogos silenciosos, distribuídos em seis pontos ao longo da faixa de areia, nos bairros Canto do Forte, Boqueirão, Aviação, Tupi, Mirim e Caiçara. Serão 10 minutos de luzes e cores, visíveis de qualquer trecho dos 22,5 quilômetros de praia.
Neste ano, a Cidade traz novidades que prometem impressionar o público. Três bairros – Canto do Forte, Tupi e Caiçara – receberão estruturas montadas diretamente no solo. Já nos bairros Boqueirão, Aviação e Mirim, o show pirotécnico ganhará ainda mais destaque ao ser lançado de grandes cubos instalados na areia, compondo um cenário especial para a temporada de verão.
Essas estruturas contarão com megatelões de LED, que transformarão a virada em um verdadeiro espetáculo visual. Os painéis, que contam com 15 metros de altura por 20 de largura no módulo central, e 15 metros de altura por 15 de largura nas laterais, exibirão a contagem regressiva para o novo ano.
Arenas - As estações do projeto ‘Estação Verão Praia’ serão outra atração na virada do ano, com shows musicais dos artistas locais para que este momento seja ainda mais marcante para os moradores e turistas presentes na Cidade.
Confira os endereços da queima de fogos:
* Forte (Praça Duque de Caxias)
* Boqueirão (altura da Avenida Presidente Costa e Silva)
* Aviação (altura da Rua Vasco da Gama)
* Tupi (altura da Rua Doutor Ernesto Vergara)
* Mirim (Avenida dos Sindicatos)
* Caiçara (entre as ruas Vicente Francisco Cirino e João Piedade Gomes) 
Para mais informações acompanhe nossas redes: @palaciodasartespg / @prefpraiagrande / turismo.praiagrande.sp.gov.br
(Evento sujeito a alterações)</t>
  </si>
  <si>
    <t>Orla da praia de Praia Grande</t>
  </si>
  <si>
    <t>https://www2.praiagrande.sp.gov.br/</t>
  </si>
  <si>
    <t>Prefeitura de Praia Grande</t>
  </si>
  <si>
    <t>secturturismo@praiagrande.sp.gov.br</t>
  </si>
  <si>
    <t>ESTAÇÃO VERÃO SHOW EDIÇÃO 2025/2026</t>
  </si>
  <si>
    <t>O Estação Verão Show, considerado o maior festival de verão do Brasil, que retorna em sua 9ª edição com apresentações entre 20 de dezembro de 2025 e 31 de janeiro de 2026, no Kartódromo Municipal. Serão 32 atrações musicais reunindo grandes nomes da música brasileira e novos talentos, com público esperado de 400 mil pessoas vindas de 26 estados brasileiros e 2 países da América do Sul. Na última edição, o evento reuniu 250 mil pessoas de 24 estados e dois países da américa do sul, e consolidou-se como uma das maiores experiências musicais do país. Os artistas da região também são valorizados durante os eventos, somente nas apresentações durante a temporada de verão nas arenas e shows, são cerca de 150 músicos/bandas.
Programação do Estação Verão
A programação completa dos shows e os pontos de vendas estão disponíveis no site www.estacaoveraopg.com.br.
- Lista de shows e artistas
Sábado - Dia 20/12 - Roberto Carlos
Sexta - Dia 26/12 – Daniel - Wesley Safadão
Sábado – Dia 27/12 – Roupa Nova - Caetano Veloso
Sexta – Dia 02/01 – MC Ryan SP - MC Hariel - Gusttavo Lima
Sábado – Dia 03/01 – Ana Castela - Thiaguinho
Domingo – Dia 04/01 – Cê tá doido Festival
Sexta – Dia 09/01 – Pablo - Belo
Sábado – Dia 10/01 – Wiu - Teto – Matuê
Sexta – Dias 16/01 – Zé Neto e Cristiano – Natanzinho Lima
Sábado – Dia 17/01 – Ludmilla – Ivete Sangalo
Domingo – Dia 18/01 – Henry Freitas - Jorge e Mateus
Sexta – Dia 23/11 – Pablo Vittar - Pedro Sampaio – Marina Senna
Sábado – Dia 24/01 – Mari Fernadez – Léo Foguete- Felipe Amorim
Sexta – Dia 30/01 – Xand Avião – Sorriso Maroto
Sábado – Dia 31/01 – Marisa Monte – João Gomes (Dominguinhos)
Observação: O evento possui classificação de 16 anos, sendo obrigatória a apresentação de documento de identificação. Menores de 16 anos podem participar desde que estejam acompanhados dos pais ou responsáveis legais.
Para mais informações acompanhe nossas redes: @palaciodasartespg / @prefpraiagrande / turismo.praiagrande.sp.gov.br
(Evento sujeito a alterações)</t>
  </si>
  <si>
    <t>Kartódromo Municipal de Praia Grande:  R. José Bonifácio, s/n - Sítio do Campo, Praia Grande - SP, 11725-420</t>
  </si>
  <si>
    <t>https://www.guicheweb.com.br/estacao-verao-show-2026_46424</t>
  </si>
  <si>
    <t>11º Encontro de Carros Antigos</t>
  </si>
  <si>
    <t>O Encontro de Carros Antigos de Votuporanga é um evento tradicional que celebra a paixão pelo automobilismo e a história dos veículos clássicos, reunindo centenas de carros antigos e raros de colecionadores de Votuporanga e de várias cidades da região no Parque da Cultura. Realizado pela Prefeitura, por meio da Secretaria de Cultura e Turismo, em parceria com o Vintage Clube Votuporanga, o encontro proporciona ao público uma verdadeira viagem no tempo, com modelos que carregam memórias e afeto pela cultura automobilística. Além da exposição dos veículos, o evento inclui programação cultural com shows de música ao vivo, feira de artesanato e opções gastronômicas em food trucks, atraindo milhares de visitantes durante o fim de semana. Em algumas edições, a iniciativa também incorporou um caráter solidário, com arrecadação de alimentos para o Fundo Social de Solidariedade.</t>
  </si>
  <si>
    <t>Parque da Cultura - Rua Francisco Ramalho de Mendonça, 3113, Jardim Alvorada - Votuporanga/SP</t>
  </si>
  <si>
    <t>Vintage Club Votuporanga em parceria com a Prefeitura Municipal de Votuporanga</t>
  </si>
  <si>
    <t>Gratuito</t>
  </si>
  <si>
    <t>Festa na Roça</t>
  </si>
  <si>
    <t xml:space="preserve">A Festa na Roça é realizada pelo Sítio Olho D’Água (café Dona Santina), que faz parte do circuito de turismo rural e do programa estadual Rotas do Café. O sítio recebe praça de alimentação, com diversas opções de culinária, feira livre, com comercialização de alimentos produzidos na região, feira de artesanato, espaço do café, exposição de projetos e programas de ciências e tecnologias do campo, totalizando mais de 50 expositores. Também tem música ao vivo e contação de histórias. 
Evento para toda família passar o domingo, se aproximar da natureza e da vida no campo, estender sua toalha no chão e se desconectar do barulho da cidade. A entrada é gratuita, com a doação voluntária de 1kg de alimento. 
</t>
  </si>
  <si>
    <t>Sítio Olho D'Água: Rua Rosa Luiza de Jesus, s/n - Maracá- Marília/SP</t>
  </si>
  <si>
    <t>Sítio Olho D'Água (café Dona Santina) e apoio da Prefeitura de Marília</t>
  </si>
  <si>
    <t>rbpardoc@gmail.com</t>
  </si>
  <si>
    <t xml:space="preserve">Connect ACIM </t>
  </si>
  <si>
    <t xml:space="preserve">O Connect ACIM é um evento de empreendedorismo, considerado o maior de Marília e região, promovido pela Associação Comercial e de Inovação de Marília, que está em sua 8ª edição. O encontro reúne, anualmente, palestrantes renomados, empreendedores, lideranças, estudantes, profissionais de diversas áreas e toda a comunidade. 
Com profissionais de autoridade no universo empresarial e palestras enriquecedoras sobre investimentos, educação, empreendedorismo, entre outros assuntos, conta, também, com estandes de empresas e universidades, cujos representantes transmitem informações e conhecimento aos visitantes. 
</t>
  </si>
  <si>
    <t>Golden Palace:  Avenida Fabio Mascarim da Silva, 277 - Parque das Industrias, Marília/SP</t>
  </si>
  <si>
    <t>https://connectacim.com.br/</t>
  </si>
  <si>
    <t>Associação Comercial e de Inovação de Marília</t>
  </si>
  <si>
    <t>secretaria@acim.org.br</t>
  </si>
  <si>
    <t>SANTA BÁRBARA D'OESTE</t>
  </si>
  <si>
    <t>A Paixão de Cristo</t>
  </si>
  <si>
    <t>A Paixão de Cristo de Santa Rita D'Oeste, SP, é um tradicional e grandioso espetáculo de fé e teatro que acontece na Semana Santa, atraindo público da cidade e região, com encenação dos últimos momentos de Jesus, envolvendo centenas de pessoas da comunidade, produção local, e sendo um evento importante do calendário turístico e cultural, promovido pela Prefeitura e com apoio de toda população. Considerada a maior encenação a céu aberto da região noroeste paulista, a Paixão de Cristo, apresentada na Sexta-Feira Santa, retrata os últimos momentos vividos por Jesus Cristo na terra até sua morte e ressurreição. A peça é realizada no município há mais de 25 anos e hoje faz parte do calendário cultural e turístico da cidade; no início realizada pelos cristãos na praça da matriz, hoje promovida pela Prefeitura Municipal, no recinto de exposições, para maior conforto dos milhares de expectadores.</t>
  </si>
  <si>
    <t>Recinto de Exposições Jonas Ferreira da Silva</t>
  </si>
  <si>
    <t>https://www.instagram.com/reels/DIG9aVuOFGt/</t>
  </si>
  <si>
    <t>Secretaria de Turismo e Lazer e Diretoria de Cultura</t>
  </si>
  <si>
    <t>17 3643 70 00</t>
  </si>
  <si>
    <t>SANTA RITA D'OESTE</t>
  </si>
  <si>
    <t>Show de aniversário da Cidade</t>
  </si>
  <si>
    <t xml:space="preserve">Show de Aniversário da cidade, geralmente realizado por uma banda de renome ou artista, mas o objetivo principal do evento é celebrar o aniversário de fundação da cidade de Santa Rita d`Oeste, impulsionando o comércio local e empreendedores,  promovendo um sentimento de comunidade e orgulho entre os moradores da cidade.
É realizado 2 apresentações musicais diferentes na mesma data, um show com Banda ou artista de Renome Nacional e outro com artista local.  Os artistas se apresentaram em um palco montado na praça central, oferecendo uma variedade de estilos musicais para entreter o público e praça gastronômica. O evento promove um sentimento de pertencimento e orgulho entre os moradores, reforçando a identidade cultural aumentando a visibilidade da cidade e potencialmente atraindo novos moradores e investidores. Além da geração de empregos temporários durante o evento onde há uma demanda por mão de obra temporária, o que gera empregos para a população local, especialmente em áreas como serviços de alimentação, organização e limpeza.  O evento também impulsiona as vendas do comércio local, como restaurantes, lojas e serviços, contribuindo para a economia da cidade.
</t>
  </si>
  <si>
    <t>Praça da Matriz de Santa Rita d`Oeste</t>
  </si>
  <si>
    <t>https://www.instagram.com/p/C7lqiuUI1Pb/?hl=en</t>
  </si>
  <si>
    <t>17 3643 7000</t>
  </si>
  <si>
    <t>Rampa, Banheiro Acessível, Balcão de atendimento com altura reduzida</t>
  </si>
  <si>
    <t>Festa Junina de Santa Rita d`Oeste</t>
  </si>
  <si>
    <t xml:space="preserve">
A Festa Junina de Santa Rita d`Oeste é marcada por muita cultura, diversão e participação popular, realizada na Praça da Matriz. O evento promovido pelo governo municipal encanta o público com apresentações das escolas municipais, show ao vivo, distribuição de pipoca, amendoim e achocolatado, além da feirinha com um cardápio típico de dar água na boca! 
 Um dos momentos mais especiais é a participação das crianças da rede municipal de ensino, alunos da CMEI, EMEI e EMEF, um verdadeiro show em suas apresentações juninas, arrancando aplausos e sorrisos dos familiares e de todos os presentes.
 A Festa Junina faz parte do calendário turístico de Santa Rita d’Oeste, mostrando sua força ao reunir moradores e visitantes de toda a região.</t>
  </si>
  <si>
    <t>Rua: Rinaldo Franzotti ao lado da Praça da Matriz</t>
  </si>
  <si>
    <t>https://www.instagram.com/p/DK7KIVZO66K/</t>
  </si>
  <si>
    <t xml:space="preserve"> Secretaria de Turismo e Lazer e Diretoria de Cultura</t>
  </si>
  <si>
    <t xml:space="preserve">Festival de Dança </t>
  </si>
  <si>
    <t xml:space="preserve">
O Festival de Dança de Marília é realizado anualmente, durante 6 dias no mês de julho, e oferece, em média, R$ 40 mil em premiação, além de bolsas de estudos internacionais para os ganhadores. 
O Festival recebe cerca de 2 mil bailarinos de todo o país para participar não apenas das seletivas, mas também dos cursos oferecidos pelo evento. Entre jurados e professores para os workshops, estão nomes de bailarinos consagrados, nacional e internacionalmente. 
As apresentações são realizadas no Teatro Municipal, a partir das 14:30, com ingressos promocionais, vendidos a preço único. 
É realizado pela Soul Dance Produções, em parceria com a Prefeitura de Marília. 
</t>
  </si>
  <si>
    <t>Teatro Municipal Waldir Silveira Mello: Av. Rio Branco, 51 - Centro, Marília - SP</t>
  </si>
  <si>
    <t xml:space="preserve">Soul Dance Produções, em parceria com a Prefeitura de Marília. </t>
  </si>
  <si>
    <t>cultura@marilia.sp.gov.br</t>
  </si>
  <si>
    <t xml:space="preserve">14 ° FESTIVAL  DAS NAÇÕES DE SANTA RITA D’OESTE </t>
  </si>
  <si>
    <t xml:space="preserve">Já é um festa tradicional no município e na região. É uma festa totalmente gratuita que se justifica pela importância na difusão das culturas de diversos países e regiões brasileiras através da música, danças folclóricas e gastronomia, ainda o impulsionamento da economia criativa, geração de emprego e da valorização dos artistas e da arte nacional e internacional.
 O Festival oferecerá uma experiência imersiva através da música, performances, artes, gastronomia e tradições, criando uma conexão poderosa entre culturas e um ambiente de celebração. A troca cultural permite que diferentes grupos compartilhem suas tradições, valores, e expressões artísticas, criando um ambiente de aprendizado mútuo e enriquecimento coletivo. Em um mundo cada vez mais globalizado, Festivais como a o Festival  das Nações são fundamentais para promover a tolerância, empatia e a cooperação entre culturas, além de fortalecer laços internacionais. 
</t>
  </si>
  <si>
    <t>Estádio de Futebol Antônio Mamede de Oliveira</t>
  </si>
  <si>
    <t>https://www.facebook.com/profile.php?id=100092163698604</t>
  </si>
  <si>
    <t>000</t>
  </si>
  <si>
    <t xml:space="preserve">Secretaria de Turismo e lazer  </t>
  </si>
  <si>
    <t xml:space="preserve">Luzes que Encantam </t>
  </si>
  <si>
    <t>Luzes que Encantam vem sendo desenvolvidos a mais de 15 anos.
Devido ao grande sucesso da última edição com a junção da tradicional Feira Gastronômica da cidade, a cada ano uma nova estrutura é pensada para melhor atender a todos os turistas, visitantes e população que passam pelo evento, pois além da maravilhosa gastronomia local oferecida pelos nossos feirantes a decoração com cordão de luz  distribuídos embaixo das tendas por mais de um mês na praça da matriz da cidade encanta todo público que por lá passa.
Após o acender das luzes natalinas, temos 49 dias de muita cultura, com muita luz, personagens cativantes, danças, shows, teatro, desfile e inúmeras apresentações artísticas a culinária local que retrata a cultura caipira em sua maioria e a magia que só o Natal pode proporcionar, na praça da matriz embaixo do pavilhão de tendas que são minunciosamente enfeitados com festões e muitas luzes, espaço este organizado para acolher durante mais de um mês diversas atrações e o público da cidade e região.</t>
  </si>
  <si>
    <t>https://www.santaritadoeste.sp.gov.br/noticias/luzes-que-encantam-2025-santa-rita-d-oeste-ja-vive-o-clima-especial-do-natal</t>
  </si>
  <si>
    <t>Secretaria de Turismo e lazer</t>
  </si>
  <si>
    <t>Jipe Eficiente</t>
  </si>
  <si>
    <t xml:space="preserve">O evento Jipe Eficiente consiste em proporcionar às pessoas com deficiência a oportunidade de vivenciarem uma verdadeira aventura off-road a bordo de jipes. Um passeio de jipe em uma trilha especialmente preparada, com cerca de 3 km de ida e 3 km de volta, totalizando aproximadamente 20 minutos de percurso por trecho. A atividade é acompanhada por monitores e voluntários e proporciona uma experiência única de lazer, integração e superação para pessoas com deficiência, além de conscientizar a população sobre a importância da acessibilidade e da inclusão social. É gratuito e os interessados devem se cadastrar junto às entidades ou à Secretaria Municipal do Trabalho, Turismo e Desenvolvimento Econômico. 
</t>
  </si>
  <si>
    <t>Sítio São Benedito (Sítio do Chorão) – Entrada do distrito de Avencas- Marília/SP</t>
  </si>
  <si>
    <t>Prefeitura Municipal de Marília</t>
  </si>
  <si>
    <t>Indicado para maiores de 10 anos</t>
  </si>
  <si>
    <t>Reveillon</t>
  </si>
  <si>
    <t>Em Santa Rita d’Oeste (SP), o Réveillon é uma celebração tradicional e mais comunitária e familiar – muito diferente das grandes festas nas capitais como São Paulo ou Rio de Janeiro. A principal programação acontece na praça matriz da cidade, onde moradores, amigos e famílias se reúnem para comemorar a chegada do novo ano. A festa inclui um show musical ao vivo, com animação popular e atividades para todos os públicos, promovendo um clima de confraternização e alegria comunitária. Reforçando o sentido de comunidade, o Réveillon em Santa Rita d’Oeste é um evento onde as pessoas se encontram para celebrar juntas, muitas vezes levando famílias inteiras para participar da contagem regressiva, do show e da confraternização na praça.</t>
  </si>
  <si>
    <t>Rua Rinaldo Franzotti ao lado da Praça da Matriz da cidade</t>
  </si>
  <si>
    <t>https://www.instagram.com/p/DSFdzKYDs8i/</t>
  </si>
  <si>
    <t>Secretaria de Turismo e Lazer</t>
  </si>
  <si>
    <t>Corrida da Virada</t>
  </si>
  <si>
    <t xml:space="preserve">A Corrida da Virada nasceu de uma iniciativa de atletas marilienses apaixonados pelo tradicional evento paulistano do último dia do ano. Os percursos são de 8km e 15 km, com a subida da avenida Cascata (que é o desafio!) e não é uma competição, não há cronometragem de tempo, pódio e premiação. O objetivo é desafio, superação, celebração e solidariedade, por isso todos os participantes são vencedores. 
O evento tem finalidade social através da doação de alimentos. Entregue kit de participação incluindo medalha e camiseta. A saída é em frente ao Yara Clube e o percurso conta com pontos de hidratação. 
</t>
  </si>
  <si>
    <t>Avenida Vicente Ferreira, em frente ao Yara Clube – Marília/SP15</t>
  </si>
  <si>
    <t>https://www.instagram.com/corridadaviradamarilia/</t>
  </si>
  <si>
    <t>Comissão Organizadora com apoio da Prefeitura de Marília</t>
  </si>
  <si>
    <t>MIRA ESTRELA</t>
  </si>
  <si>
    <t>Festa do Peão de Mira Estrela</t>
  </si>
  <si>
    <t>O evento consistem em 03 dias de festa com musica sertaneja e rodeio de touros e cavalos, com quase quatro décadas de tradição, o evento atrai recordes de público a cada edição e é reconhecido regionalmente como um dos melhores rodeios da categoria.  Movimentando o turismo, o comércio, os meios de hospedagens, alimentos e bebidas e serviços, Mira Estrela se destaca com essa festa inesquecível. O evento possui dentre suas atrações, shows musicais, praça de alimentação, exposição de animais e de grandes empresas.</t>
  </si>
  <si>
    <t>José Florêncio Vicente, 267</t>
  </si>
  <si>
    <t>turismomiraestrela</t>
  </si>
  <si>
    <t>Prefeitura de Mira Estrela</t>
  </si>
  <si>
    <t>turismo@miraetrela.sp.gov.br</t>
  </si>
  <si>
    <t>Piso Tátil, Rampa, Banheiro Acessível, Portas Largas para PCR (Pessoa com cadeira de rodas), Outro:</t>
  </si>
  <si>
    <t>TAMBAÚ</t>
  </si>
  <si>
    <t>Encantos da Anhanguera Central</t>
  </si>
  <si>
    <t>O Carnaval de Tambaú/SP é uma celebração popular que une alegria, tradição e diversidade, reunindo moradores e visitantes em uma festa democrática, segura e cheia de identidade cultural. São 5 noites e 2 matinês de muita alegria. Tudo gratuito</t>
  </si>
  <si>
    <t>Avenida José Gatto s/n</t>
  </si>
  <si>
    <t>Prefeitura</t>
  </si>
  <si>
    <t>eventos@tambau.sp.gov.br</t>
  </si>
  <si>
    <t xml:space="preserve">Arraiá  na Praça </t>
  </si>
  <si>
    <t>O Arraiá na Praça de Mesópolis é um evento festivo que celebra a tradição junina com muita animação. Ele acontece na praça principal da cidade e reúne moradores e visitantes para curtir quadrilhas, comidas típicas, brincadeiras e música ao vivo. É uma ótima oportunidade para fortalecer o espírito comunitário e valorizar a cultura local.</t>
  </si>
  <si>
    <t>Praça Ângelo finasse</t>
  </si>
  <si>
    <t>https://www.instagram.com/p/DL2rzbDObL1/</t>
  </si>
  <si>
    <t>turismo@mesopolis.sp.gov.br</t>
  </si>
  <si>
    <t>Semana Santa</t>
  </si>
  <si>
    <t>A Semana Santa de Tambaú/SP é um momento de fé, reflexão e tradição, que mobiliza a comunidade em celebrações religiosas, fortalecendo a espiritualidade, a cultura local e o sentimento de união.</t>
  </si>
  <si>
    <t>Praça Santo Antonio</t>
  </si>
  <si>
    <t>Igrejas</t>
  </si>
  <si>
    <t>(19)3673-3201</t>
  </si>
  <si>
    <t xml:space="preserve">Show de Fim de Ano </t>
  </si>
  <si>
    <t xml:space="preserve">  O evento de final de ano de Mesópolis, conhecido como o Acender das Luzes, é uma celebração que atrai muitos turistas e moradores, inclusive aqueles que têm família na cidade e vêm visitar. É uma época em que a cidade fica bastante movimentada, com a cerimônia de acendimento das luzes, shows, cinema na praça e até campeonatos de futebol. É uma data que realmente reúne todo mundo e celebra o espírito festivo da cidade.</t>
  </si>
  <si>
    <t xml:space="preserve">Praça Ângelo Finasse </t>
  </si>
  <si>
    <t>https://www.instagram.com/p/DSX-torDtBv/?img_index=1</t>
  </si>
  <si>
    <t>Encontro de Folia de Reis</t>
  </si>
  <si>
    <t>O Encontro de Folia de Reis de Tambaú/SP é uma manifestação cultural e religiosa que preserva a tradição popular, reunindo grupos, cânticos e devoção em um momento de fé, identidade e valorização da cultura local.</t>
  </si>
  <si>
    <t xml:space="preserve">Marcha da Fé </t>
  </si>
  <si>
    <t>A Marcha da Fé de Tambaú/SP é uma manifestação de espiritualidade e devoção coletiva, que reúne fiéis em um percurso de oração, esperança e união, fortalecendo a fé e os valores da comunidade, em lembrança e homenagem ao Beato Donizetti.</t>
  </si>
  <si>
    <t>Avenida Angelina Lepri Biasoli, S/n</t>
  </si>
  <si>
    <t>3673-3201</t>
  </si>
  <si>
    <t>Festa da Cidade - Fictam</t>
  </si>
  <si>
    <t>A Festa da Cidade - FICTAM de Tambaú/SP celebra a história, a cultura e o desenvolvimento do município, reunindo a população em momentos de confraternização, identidade local e valorização das tradições tambauenses.</t>
  </si>
  <si>
    <t>Avenida José Gatto S/n</t>
  </si>
  <si>
    <t>GUAÍRA</t>
  </si>
  <si>
    <t>NATAL ENCANTADO</t>
  </si>
  <si>
    <t>O NATAL ENCANTADO É UM DO PONTOS ALTOS DO CALENDÁRIO MUNICIPAL, ATRAINDO CENTENAS DE PESSOAS, ENTRE FAMILIARES E CRIANÇAS, PARA UM AMBIENTE DE FESTA E CONFRATERNIZAÇÃO, COM EXTENSA PROGRAMAÇÃO CULTURAL, ESPETÁCULOS E A TRADICIONAL CHEGADA DO PAPAI NOEL.</t>
  </si>
  <si>
    <t>PRAÇA SÃO SEBASTIÃO</t>
  </si>
  <si>
    <t>PREFEITURA MINICIPAL, ACIG (ASSOCIAÇÃO COMERCIAL E INDUSTRIAL DE GUAÍRA)</t>
  </si>
  <si>
    <t>diretoria.cte@guaira.sp.gov.br</t>
  </si>
  <si>
    <t>Corrida do Trabalhador 2026</t>
  </si>
  <si>
    <t>A Corrida do Trabalhador em Olímpia é um evento anual tradicional, geralmente realizado em 1º de Maio, com modalidades de corrida (7km) e caminhada (3km), além de Corrida Kids, atraindo atletas de toda a região e oferecendo premiações em troféus e dinheiro para os melhores colocados, com largada e chegada na Av. Benatti, no Vale do Turismo</t>
  </si>
  <si>
    <t>Av. Benito Benatti</t>
  </si>
  <si>
    <t>CAMPINAS</t>
  </si>
  <si>
    <t>Bem Viver</t>
  </si>
  <si>
    <t>Carnaval de rua de Campinas</t>
  </si>
  <si>
    <t>Uma festa popular que leva multidões às ruas. Assim é o Carnaval de Campinas, ao longo da sua história. As referências de passado remontam aos bailes em clube, ao auge dos carnavais de blocos, aos desfiles das escolas de samba nas décadas, aos trios elétricos, a contar de 40, 60, 80… ao século 21. 
Campinas viu o seu Carnaval evoluir com as escolas de samba, que tem representatividade pela Liga das Escolas de Samba de Campinas (LIESCA), fundada em 1950.
O Carnaval de Campinas 2026 contará com cerca de 60 blocos de rua.</t>
  </si>
  <si>
    <t>Diversos</t>
  </si>
  <si>
    <t>turismo@campinas.sp.gov.br</t>
  </si>
  <si>
    <t>Festival de Férias</t>
  </si>
  <si>
    <t>O "Festival de Férias" em Olímpia é um evento anual promovido pela Prefeitura, especialmente durante o mês de julho (férias escolares), com foco em atividades esportivas e culturais gratuitas para todas as idades, integrando lazer, esporte e cultura, e complementando o tradicional Festival do Folclore (agosto), que é um evento maior e nacionalmente conhecido, fortalecendo o turismo da cidade, conhecido como capital nacional do folclore.</t>
  </si>
  <si>
    <t>Recinto do Folclore - Avenida Menina Moça, nº 800, Vila Hípica, CEP 15407-050</t>
  </si>
  <si>
    <t>SÃO JOÃO DA BOA VISTA</t>
  </si>
  <si>
    <t>Festa de São João 2026</t>
  </si>
  <si>
    <t>A Festa de São João constitui-se como um dos principais eventos promovidos pelo Departamento de Turismo da Prefeitura Municipal de São João da Boa Vista. Realizada anualmente no mês de junho, coincide com as celebrações do aniversário da cidade, comemorado no dia 24 do referido mês. O evento engloba uma programação diversificada, que inclui a comercialização de comidas e bebidas típicas por expositores, apresentações musicais noturnas, concurso de quadrilhas juninas envolvendo escolas da rede municipal de ensino, concurso de cartuchos de doces juninos, concurso fotográfico com temáticas locais, parque de diversões, exposição e venda de artesanato, entre outras atividades.</t>
  </si>
  <si>
    <t>Recinto de Exposições José Ruy de Lima Azevedo - Avenida Senador Marcos Freire, s/n</t>
  </si>
  <si>
    <t>Departamento Municipal de Turismo</t>
  </si>
  <si>
    <t>turismo@saojoao.sp.gov.br</t>
  </si>
  <si>
    <t>FAIG FEIRA AGROINDUSTRIAL DE GUAIRA</t>
  </si>
  <si>
    <t>UM EVENTO IMPORTANTE PARA O AGRONEGÓCIO LOCAL, ESPECIALMENTE FOCADO NO AGRONEGOCIO DE IRRIGAÇÃO, SUSTENTABILIDADE, TECNOLOGIA E EMPREENDEDORISMO</t>
  </si>
  <si>
    <t>Parque de Exposições Ademir Jovanini Augusto</t>
  </si>
  <si>
    <t>PREFEITURA MUNICIPAL, SINDICATO RURAL DE GUAIRA, SEBRAE E AGEA (ASSOCIAÇÃO GUAIRENSE DE ENGENHEIROS E AGRÔNOMOS)</t>
  </si>
  <si>
    <t>desenvolvimento@guaira.sp.gov.br</t>
  </si>
  <si>
    <t>MONTE ALEGRE DO SUL</t>
  </si>
  <si>
    <t>Águas Paulista</t>
  </si>
  <si>
    <t>Carnaval Alegria</t>
  </si>
  <si>
    <t>Quatro dias de festa na Praça Bom Jesus e pelas ruas do charmoso Centro Histórico de Monte Alegre do Sul, com matinês, shows e desfiles.</t>
  </si>
  <si>
    <t>Praça Bom Jesus</t>
  </si>
  <si>
    <t>Prefeitura de Monte Alegre do Sul</t>
  </si>
  <si>
    <t>turismo@montealegredosul.sp.gov.br</t>
  </si>
  <si>
    <t>Festa do Padroeiro Senhor Bom Jesus</t>
  </si>
  <si>
    <t xml:space="preserve">É uma celebração anual tradicional que ocorre em agosto, com ponto alto no dia 6, marcando a fé e a história da cidade com missas, procissões (incluindo romarias de motociclistas e de cidades vizinhas como Amparo e Serra Negra), quermesse, praça de alimentação, shows musicais e o Festival de Bandas e Fanfarras, sendo um evento de grande importância cultural e religiosa para o município. </t>
  </si>
  <si>
    <t>ITAÍ</t>
  </si>
  <si>
    <t xml:space="preserve">Prova do Laço </t>
  </si>
  <si>
    <t>A prova do laço de Itaí é uma das mais tradicionais do Estado de São Paulo, sendo inclusive uma das mais esperadas por laçadores de todo o Brasil. São três dias de prova durante o dia com praça de alimentação e nas noites bailes gaúchos realizado no próprio recinto. As provas contam com Laço Amador, Profissional, Amazonas, Juvenil e Mirim; a grande final acontece sempre no domingo, o terceiro e último dia da festa.</t>
  </si>
  <si>
    <t>Um (Rua Aristides Domingues Leite), Itaí, SP, 18730 · 42 km</t>
  </si>
  <si>
    <t>instagram - amigosdolacoitai</t>
  </si>
  <si>
    <t>associação amigos do laço de Itaí</t>
  </si>
  <si>
    <t>cultura@itai.sp.gov.br</t>
  </si>
  <si>
    <t xml:space="preserve">Festa de Santo Antônio </t>
  </si>
  <si>
    <t xml:space="preserve">As comemorações religiosas ocorrem durante os treze primeiros dias do mês de junho. Durante este período são realizadas diversas missas nas igrejas de cada bairro – conhecidas como a Trezena de Santo Antônio – além de uma Quermesse em frente à Igreja Matriz - onde o destaque é o tradicional Lanche de Pernil, os variados pastéis e os shows de bandas locais - além da tradicional Procissão em Louvor ao Padroeiro. Bingo e leilão de gado em prol da Igreja. 
Na semana do dia 13 é montada nas ruas centrais uma grande feira que reúne em média até umas 150 barracas, que atrai visitantes de diversos municípios do entorno, onde comerciantes de Itaí e cidades próximas e da grande capital de São Paulo vendem os mais variados produtos, com destaque para as roupas e utensílios domésticos.
A Prefeitura através da Secretaria de Cultura e Turismo monta um palco onde acontece shows durante vários dias da festa e A barraca do Fundo Social de Solidariedade participa sempre servindo variados e saborosos petiscos e bebidas aos visitantes além das barracas com as diversidades no comércio de vestuário e alimentos.
Os brinquedos infláveis e a 'carreta da alegria' para a criançada completam a festividade cultural e religiosa de ITAÍ.
No último dia de festa acontece a tradicional Corrida de Santo Antônio
</t>
  </si>
  <si>
    <t xml:space="preserve"> Rua José Floriano 1274, Itaí, SP, 18730-011 · 41 km</t>
  </si>
  <si>
    <t>comunidade religiosa de Itaí e prefeitura de Itaí</t>
  </si>
  <si>
    <t>cultura.itai.sp.gov.br</t>
  </si>
  <si>
    <t>Festa do Peão de Itaí</t>
  </si>
  <si>
    <t xml:space="preserve">Evento com duração de 04 a 05 dias que atrai a população local e visitantes da região. Algumas atividades da festa são: rodeios, shows com artistas renomados, cavalgada pela cidade, parque de diversões, queima de fogos de artifício, eleição da rainha da festa, além da diversificada praça de alimentação.
Além dos grandes shows, o coração da festa continua sendo as emocionantes provas de rodeio em touros e cavalos. As montarias, que atraem o público pela adrenalina e tradição, reúnem peões de todo o Brasil em competições que testam coragem, técnica e resistência.
As provas seguem o regulamento oficial, com narração profissional, salva-vidas de arena e estrutura completa para garantir segurança aos competidores e emoção ao público.
</t>
  </si>
  <si>
    <t>Parque Mauro Roberto de Morais, avenida amantino Roberto de Moura, s/n , Itaí, sp</t>
  </si>
  <si>
    <t xml:space="preserve"> Instagram @festadopeaodeitai</t>
  </si>
  <si>
    <t>comitiva da festa e prefeitura de Itaí</t>
  </si>
  <si>
    <t>Festa do Morango</t>
  </si>
  <si>
    <t xml:space="preserve">A Festa do Morango de Monte Alegre do Sul ocorre em agosto e setembro e é conhecida por seus produtos artesanais e atrações locais.
É um evento tradicional com entrada gratuita que celebra a cultura e a produção de morangos do município. 
A festa ocorre em múltiplos fins de semana, na Praça Bom Jesus, no Centro Histórico da cidade.
Nela, os visitantes encontram morangos frescos, uma grande variedade de doces artesanais (tortas, pavês, compotas, geleias, licores), artesanato local, música ao vivo e comidas típicas. </t>
  </si>
  <si>
    <t xml:space="preserve">1º de Maio  </t>
  </si>
  <si>
    <t xml:space="preserve">Eventos de características semelhantes realizados para homenagear os trabalhadores (1º de Maio) 
O evento de Primeiro de Maio em Itaí é uma celebração significativa que combina comemorações culturais e esportivas. A festa é organizada pela Prefeitura e inclui uma variedade de atividades, como apresentações musicais, eventos esportivos e serviços da saúde. O evento é um marco da cidade, onde a população tem a oportunidade de participar e se divertir em um ambiente festivo e acolhedor
 São montadas barracas de comida variada, brincadeiras para as crianças – como cama elástica, piscina de bolinhas, tobogã e futebol de sabão - shows de bandas locais e sorteios de brindes.
Jogos para os adultos como torneio de troco, campeonato de futebol e torneio de  pescaria.
</t>
  </si>
  <si>
    <t>Lago Antonio Ribeiro - R. Hichidi Futikani, 181-315 - Vila Capitao Cesario, Itaí - SP, 18730-000</t>
  </si>
  <si>
    <t>Prefeitura de Itaí</t>
  </si>
  <si>
    <t>Itaí Rock in Fest</t>
  </si>
  <si>
    <t>Um festival de rock com shows de bandas nacionais e regionais, praça de alimentação, área de camping e estacionamento. O Evento em 2025 realizou sua 4ª edição aconteceu nos dias 4 e 5 de julho, com atrações como Paulo Ricardo, Biquíni Cavadão e Viper, e entrada gratuita</t>
  </si>
  <si>
    <t>Parque de Exposições Mauro Roberto de Moraes, Avenida Amantino Rolim de Moura, s/n Itaí</t>
  </si>
  <si>
    <t>Secretaria de cultura e turismo da prefeitura de Itaí</t>
  </si>
  <si>
    <t>NAZARÉ PAULISTA</t>
  </si>
  <si>
    <t xml:space="preserve">Carnaval de Marchinhas </t>
  </si>
  <si>
    <t xml:space="preserve">O Carnaval de Nazaré Paulista é consagrado, sendo considerado na atualidade como o melhor carnaval de rua da região e destino de cada vez mais foliões e simpatizantes. O carnaval é realizado somente com marchinhas, que conta a rotina sertaneja de uma cidade interiorana, ora exemplificando estereótipos comportamentais, ora falando de personagens Nazareanos, com bonecões de personagens folclóricas, tudo de uma forma simples, irreverente e bem-humorada, com composição e melodias próprias à bordo de um trio elétrico adaptado para circular nas ruas estreitas e ladeiras da cidade, atraindo cada vez mais adeptos e turistas. Nazaré Paulista é reconhecida como a Capital das Marchinhas.
</t>
  </si>
  <si>
    <t xml:space="preserve">Praça Álvaro Guião, Recinto e Ruas Centrais  </t>
  </si>
  <si>
    <t xml:space="preserve">Prefeitura de Nazaré Paulista </t>
  </si>
  <si>
    <t>Festividades de final de ano</t>
  </si>
  <si>
    <t xml:space="preserve">As festividades de final de ano envolvem a decoração de Natal, apresentações artísticas como orquestra, bale, coral e shows de artistas locais durante todo o mês de dezembro.
A praça principal de Itaí fica ainda mais animada com a presença dos trailers de alimentação e fazem parte da feira da lua e que neste período de festa permanecem todo os mês na praça principal da Igreja da matriz.
</t>
  </si>
  <si>
    <t xml:space="preserve">praça da bandeira </t>
  </si>
  <si>
    <t>secretaria de cultura e turismo da Prefeitura de Itai</t>
  </si>
  <si>
    <t>Festa do Divino Espírito Santo</t>
  </si>
  <si>
    <t>A festa do Divino Espírito Santo em Nazaré Paulista é uma rica tradição que se mantém viva há mais de 300 anos, reunindo a fé e a cultura, impactando a comunidade local e regional. Ocorre no mês de junho e conta com a programação cultural e religiosa. Um dos momentos mais marcantes da festa é a chegada da paçoca, que acontece no primeiro final de semana das festividades. A paçoca é um doce típico da festa, feito com amendoim torrado, moído e misturado com açúcar e farinha de milho. O preparo da paçoca é feito de forma artesanal, utilizando um monjolo tradicional na zona rural de Nazaré. A paçoca chega à cidade em carro de boi, puxado por devotos do Divino Espírito Santo. Os cavaleiros, com suas bandeiras, acompanham a procissão, que sai do recinto de exposições e segue até a igreja matriz. Lá, o padre faz a benção da paçoca e a doação. A festa também é marcada por uma rica tradição, com apresentação grupos folclóricos como as congadas acompanhando a procissão e no final do cortejo é servido o tradicional “afogadão”, um prato típico da festa feito com água, batata e carne cozida, servido com arroz, feijão e farinha de milho, também doado aos visitantes e devotos. Essa tradição e essa cultura é o que marca a história de um povo, de fé, de tradição de amor ao Divino Espírito Santo”.</t>
  </si>
  <si>
    <t>Praça Alvaro Guião, Recinto, Praça Nossa Senhora de Nazaré e Praça Coronel Antônio Rodrigues dos Santos</t>
  </si>
  <si>
    <t xml:space="preserve">Prefeitura de Nazaré Paulista e Paróquia de Nossa Senhora de Nazaré </t>
  </si>
  <si>
    <t xml:space="preserve"> 11 4597-1526</t>
  </si>
  <si>
    <t xml:space="preserve">Saint Patrick's Day </t>
  </si>
  <si>
    <t>Descubra cervejas artesanais de cervejarias locais, desde IPAs, Sours, Stouts, e claro, o tradicional Chopp Verde!
Além da cerveja, delicie-se com opções gastronômicas, inspiradas na culinária irlandesa, apresentando delícias de Food-Trucks
Curta a vibe cervejeira ao ar livre com atrações musicais imperdíveis, tocando no coreto mais tradicional de Campinas, desde clássicos do Rock, Blues e até animadas músicas de Speed Folk &amp; Irish Music.</t>
  </si>
  <si>
    <t>Praça Carlos Gomes, Cambuí, Campinas - SP</t>
  </si>
  <si>
    <t>Polo Cervejeiro da RMC</t>
  </si>
  <si>
    <t>diretoria@polocervejeirormc.com.br</t>
  </si>
  <si>
    <t>Banheiro Acessível, Balcão de atendimento com altura reduzida</t>
  </si>
  <si>
    <t xml:space="preserve">Festa do Peão de Boiadeiro </t>
  </si>
  <si>
    <t xml:space="preserve">A Festa do Peão de Boiadeiro de Nazaré Paulista é considerada Patrimônio Cultural Imaterial Municipal, acontece desde 1989, tem uma grande importância no fortalecimento do turismo local. A festa é a mais aguardada pelas famílias Nazareanas e da região, é um meio de preservação da cultura e da história, valorizando a figura do homem do campo, e oportunizando a integração, sem deixar morrer suas raízes. A Festa conta com shows de artistas renomados, apresentações culturais, deliciosa gastronomia e muita diversão que atrai milhares turistas todos os anos. </t>
  </si>
  <si>
    <t xml:space="preserve">Recinto de Exposições João Ramos Neto </t>
  </si>
  <si>
    <t>https://rodeionazarepaulista.com.br</t>
  </si>
  <si>
    <t>11  4597-1526</t>
  </si>
  <si>
    <t xml:space="preserve">350 Anos de Nazaré </t>
  </si>
  <si>
    <t xml:space="preserve">Com grande alegria, fé e orgulho, Nazaré Paulista se prepara para viver um ano histórico.
Em 2026, a cidade de Nazaré Paulista e a Paróquia de Nossa Senhora de Nazaré celebram 350 anos de história, devoção e tradição, marcando mais de três séculos de fé que moldaram a identidade do nosso povo.
Ao longo de todo o ano, serão realizadas ações especiais, celebrações religiosas, eventos culturais e momentos de confraternização, envolvendo a comunidade, visitantes e devotos, em uma programação pensada para honrar o passado, viver o presente e projetar o futuro.
Será um tempo de gratidão, renovação da fé e união, cada atividade será um convite para reviver histórias, fortalecer laços e manter viva a herança espiritual e cultural que atravessou gerações.
Nazaré Paulista abre as portas e o coração para receber todos que desejam celebrar, agradecer e fazer parte deste marco histórico.
Que este jubileu de 350 anos seja vivido com alegria, esperança e muita fé!
Será uma grande festa onde irá se comemorar o aniversário de 350 anos de fundação de Nazaré Paulista. </t>
  </si>
  <si>
    <t xml:space="preserve">Praça Alvaro Guião, Nossa Senhora de Nazaré e Recinto devExposições </t>
  </si>
  <si>
    <t>Prefeitura de Nazaré Paulista e Paroquia de Nossa Senhora de Nazaré</t>
  </si>
  <si>
    <t>11 4597-1526</t>
  </si>
  <si>
    <t>ECAL -  ENCONTRO CULTURAL DE ARTES LIVRES</t>
  </si>
  <si>
    <t>UM EVENTO GRATUITO E PLURAL QUE CELEBRA DIVERSAS FORMAS DE ARTE: MÚSICA, TEATRO, CINEMA, LITERATURA, DANÇA E ARTESANATO</t>
  </si>
  <si>
    <t>CASA DE CULTURA</t>
  </si>
  <si>
    <t>PREFEITURA MUNICIPAL</t>
  </si>
  <si>
    <t>UNDOKAI</t>
  </si>
  <si>
    <t>UMA GINCANA ESPORTIVA FAMILIAR TRADICIONAL, COM ATIVIDADES PARA TODAS IDADES, CELEBRANDO A CULTURA JAPONESA E A INTEGRAÇÃO</t>
  </si>
  <si>
    <t>R. 26, Guaíra - SP, 14790-000</t>
  </si>
  <si>
    <t>ASSOCIAÇÃO CULTURAL ESPORTIVA NIPO-BRASILEIRA</t>
  </si>
  <si>
    <t>ORLÂNDIA</t>
  </si>
  <si>
    <t>Lagos do Rio Grande</t>
  </si>
  <si>
    <t xml:space="preserve">carna folia </t>
  </si>
  <si>
    <t xml:space="preserve">evento de carnaval </t>
  </si>
  <si>
    <t xml:space="preserve">praça dos imigrantes </t>
  </si>
  <si>
    <t>prefeitura</t>
  </si>
  <si>
    <t>3820-8000</t>
  </si>
  <si>
    <t>celebra orlândia</t>
  </si>
  <si>
    <t xml:space="preserve">evento gospel </t>
  </si>
  <si>
    <t xml:space="preserve">celebra orlandia </t>
  </si>
  <si>
    <t xml:space="preserve">prefeitura </t>
  </si>
  <si>
    <t xml:space="preserve">celebra orlândia </t>
  </si>
  <si>
    <t xml:space="preserve">feira do livro </t>
  </si>
  <si>
    <t xml:space="preserve">feira de livros </t>
  </si>
  <si>
    <t xml:space="preserve">feira do livro  oralndia </t>
  </si>
  <si>
    <t>Rampa, Outro:</t>
  </si>
  <si>
    <t xml:space="preserve">festa solidaria </t>
  </si>
  <si>
    <t xml:space="preserve">festa que conta com as instituições de da cidade </t>
  </si>
  <si>
    <t xml:space="preserve">festa da solidariedade </t>
  </si>
  <si>
    <t>TORNEIO DE JUDÔ TAKESHI UEMURA</t>
  </si>
  <si>
    <t>UM DOS MAIORES EVENTOS ESPORTIVOS DO INTERIOR PAULISTA. O GINÁSIO JOSÉ FIGUEIREDO VIROU PALCO PARA 1.277 ATLETAS DE 33 CIDADES, EM UMA COMPETIÇÃO QUE MISTURA ESPORTE DE ALTO NÍVEL COM SOLIDARIEDADE. DESTAQUE PARA A POLÍTICA DA PREFEITURA DE GUAÍRA, QUE PELO TERCEIRO ANO CONSECUTIVO, MANTEVE O TORNEIO COMO O ÚNICO GRANDE EVENTO GRATUITO DO JUDÔ PAULISTA, ARCANDO COM TODOS OS CUSTOS ORGANIZACIONAIS.</t>
  </si>
  <si>
    <t>GINÁSIO JOSÉ FIGUEIREDO</t>
  </si>
  <si>
    <t>CARNAGUAIRA - CARNAVAL POPULAR</t>
  </si>
  <si>
    <t>A REALIZAÇÃO DO EVENTO CARNAGUAIRA TEM UM IMPACTO SIGNIFICATIVO NO DESENVOLVIMENTO ECONÔMICO DO MUNICÍPIO. ALÉM DE PROPORCIONAR LAZER AOS MUNÍCIPES, ESSA DATA GERA UM AUMENTO DE RECEITAS PROVENIENTES DO TURISMO, IMPULSIONANDO A ECONOMIA LOCAL E BENEFICIANDO TODA A POPULAÇÃO. O COMÉRCIO É ESPECIALMENTE BENEFICIADO COM O AUMENTO DO VOLUME DE VENDAS DURANTE A REALIZAÇÃO DO EVENTO, FORTALECENDO-O E CONTRIBUINDO PARA A GERAÇÃO DE EMPREGOS.</t>
  </si>
  <si>
    <t xml:space="preserve">RUA 8, S/N </t>
  </si>
  <si>
    <t>ANIVERSÁRIO DA CIDADE E FESTA DO PEÃO</t>
  </si>
  <si>
    <t>O EVENTO ACONTECE NO RECINTO DE EXPOSIÇÕES, É UMA CELEBRAÇÃO DA CULTURA SERTANEJA, COM ATRAÇÕES PARA TODA A FAMÍLIA E OPÇÕES DE CAMAROTES.</t>
  </si>
  <si>
    <t>Parque de Exposição Ademir Jovanini Augusto</t>
  </si>
  <si>
    <t>PREFEITURA MUNICIPAL, ARENA EVENTOS</t>
  </si>
  <si>
    <t>SANTA CLARA D'OESTE</t>
  </si>
  <si>
    <t>Arrastapé no Asfalto - Festa Julina</t>
  </si>
  <si>
    <t>Uma festa junina fora de época, com muita música, apresentações artísticas e comidas típicas, resgatando as tradições da regionais e divertindo toda a família!</t>
  </si>
  <si>
    <t>Praça da Matriz, s/n</t>
  </si>
  <si>
    <t>Prefeitura Municipal de Santa Clara d´Oeste</t>
  </si>
  <si>
    <t>(17) 3663-8700</t>
  </si>
  <si>
    <t>APARECIDA</t>
  </si>
  <si>
    <t>Encontro Nacional de Companhias de Reis</t>
  </si>
  <si>
    <t>Evento de cunho turístico e cultural, recebemos Folias de todas as partes do Brasil.</t>
  </si>
  <si>
    <t>Praça Dr. Benedicto  Meirelles</t>
  </si>
  <si>
    <t>https://www.instagram.com/santosreisaparecida?igsh=Y2xoYXZqeXd1YzEw</t>
  </si>
  <si>
    <t>turismo@aparecida.sp.gov.br</t>
  </si>
  <si>
    <t>Rota dos Tropeiros - Cavalgada</t>
  </si>
  <si>
    <t xml:space="preserve">Em sua 11ª edição, esta festa resgata toda as tradições regionais. Uma festa em homenagem a Santa Clara de Assis, tem seu inicio com uma missa para abençoar os cavaleiros que partem em procissão pelas estradas e ruas da cidade entoando cânticos e trazendo alegria e fé a todos que acompanham. Após a procissão é servido um almoço típico para toda a população e turistas com a famosa costela de chão, muito show, dança e apresentações artísticas. </t>
  </si>
  <si>
    <t>Barracão de Eventos da Igreja Católica</t>
  </si>
  <si>
    <t>turismo@santaclaradoeste.sp.gov.br</t>
  </si>
  <si>
    <t>Revéillon - Virada do Ano</t>
  </si>
  <si>
    <t>Celebra a chegada de um novo ano com muita festa, show e queima de fogos.</t>
  </si>
  <si>
    <t>SÃO SEBASTIÃO DA GRAMA</t>
  </si>
  <si>
    <t xml:space="preserve">Festa de São Sebastião </t>
  </si>
  <si>
    <t>Festa do Padroeiro da cidade</t>
  </si>
  <si>
    <t>Praça Américo Turri</t>
  </si>
  <si>
    <t xml:space="preserve">Paróquia de São Sebastião </t>
  </si>
  <si>
    <t>saosebastiaodiocesesjbv@gmail.com</t>
  </si>
  <si>
    <t>Piso Tátil, Rampa, Portas Largas para PCR (Pessoa com cadeira de rodas)</t>
  </si>
  <si>
    <t>Chegada da Romaria de Itapecerica da Serra à Pirapora do Bom Jesus</t>
  </si>
  <si>
    <t>O Evento de Chegada da Romaria de Itapecerica da Serra à Pirapora do Bom Jesus, que em 2026 chegará à sua 65ª edição, é uma manifestação religiosa, cultural e tradicional de grande relevância para o município e para o Estado de São Paulo, consolidando-se como uma das mais antigas expressões de fé da região.
A romaria reúne milhares de fiéis que percorrem o trajeto entre Itapecerica da Serra e o Santuário do Senhor Bom Jesus de Pirapora, em um percurso marcado por devoção, penitência e agradecimento. A chegada dos romeiros ao município de Pirapora do Bom Jesus representa o ponto culminante da jornada, sendo celebrada com um evento oficial que simboliza o encerramento do percurso e a acolhida dos participantes.</t>
  </si>
  <si>
    <t>Av. Dona Anila, 1001 - Olaria, Itapecerica da Serra - SP</t>
  </si>
  <si>
    <t>Prefeitura Municipal de Itapecerica da Serra</t>
  </si>
  <si>
    <t>turismo@itapecerica.sp.gov.br</t>
  </si>
  <si>
    <t>Encenação da Paixão de Cristo</t>
  </si>
  <si>
    <t>A encenação da Paixão de Cristo acontece no espaço do Cristo Redentor, um dos principais cartões postais da cidade. Na Sexta Feira Santa, um grupo de teatro formado por mais de 60 atores voluntários faz a encenação sobre a crucificação de Jesus Cristo, em um espetáculo que reúne fé, reflexão e emoção.</t>
  </si>
  <si>
    <t>Cristo Redentor - São José do Rio Pardo</t>
  </si>
  <si>
    <t>https://vemprariopardo.sp.gov.br/</t>
  </si>
  <si>
    <t>Secretaria de Turismo e Cultura e Paróquia Cristo Redentor</t>
  </si>
  <si>
    <t>turismo@saojosedoriopardo.sp.gov.br</t>
  </si>
  <si>
    <t>SENABE - Seminário Nacional da Beterraba</t>
  </si>
  <si>
    <t>O SENABE é o primeiro evento sobre a cultura da beterraba no Brasil e visa difundir inovações, promover a produção, estimular o consumo, assim como destacar os potenciais da beterraba como matéria-prima e alimento essencial aos brasileiros. Em 2026, será a sua segunda edição.
A importância e o pioneirismo na cultura da beterraba, fazem de São José do Rio Pardo o local ideal para a realização do evento desta cultura no Brasil.</t>
  </si>
  <si>
    <t>Ginásio Municipal de Esportes e Área de Lazer Prof. Mario Robertson de Silos</t>
  </si>
  <si>
    <t>www.senabe.com.br</t>
  </si>
  <si>
    <t xml:space="preserve">Sindicato Rural de São José do Rio Pardo </t>
  </si>
  <si>
    <t>contato@senabe.com.br</t>
  </si>
  <si>
    <t>Encontro de Antigomobilismo Antigos da Rota</t>
  </si>
  <si>
    <t>O encontro acontece em São José do Rio Pardo, reunindo colecionadores e admiradores de carros que marcaram época no Brasil e no mundo, atraindo grande público para o local, onde também acontecem shows musicais, feira gastronômica, artesanato e antiguidades.</t>
  </si>
  <si>
    <t>Praça Barão do Rio Branco - Mercado Cultural</t>
  </si>
  <si>
    <t>htpps://vemprariopardo.sp.gov.br</t>
  </si>
  <si>
    <t>Associação Antigos da Rota 365</t>
  </si>
  <si>
    <t xml:space="preserve">Festa de São Benedito </t>
  </si>
  <si>
    <t>Uma Festa centenária em louvor a São Benedito, tradicionalmente conhecido como o Santo Cozinheiro. Na ocasião, também acontece o Encontro Nacional de Congadas e Moçambiques. A edição de 2026 será um marco na história da devoção a São Benedito em Aparecida e em todo o Brasil. Ao celebrarmos meio milênio desde seu nascimento, renovamos nossa fé, nossa missão evangelizadora e o compromisso com o povo de Deus, especialmente os mais pobres, como o próprio São Benedito viveu.</t>
  </si>
  <si>
    <t>Praça Dr. Benedicto Meirelles</t>
  </si>
  <si>
    <t>https://www.paroquiadeaparecida.com.br/festadesaobenedito</t>
  </si>
  <si>
    <t xml:space="preserve">Paróquia Nossa Senhora da Conceição Aparecida e São Benedito </t>
  </si>
  <si>
    <t xml:space="preserve"> nscaparecida@arqaparecida.org.br</t>
  </si>
  <si>
    <t xml:space="preserve">Corpus Christi </t>
  </si>
  <si>
    <t xml:space="preserve">A Festa de Corpus Christi é o único momento do ano em que o Cristo Eucarístico deixa a Igreja (templo) e circula entre os fiéis católicos pelas ruas; ademais anteriormente à mencionada Procissão é realizada uma Celebração em Praça Pública, com a presença além da comunidade local, um grande número de turistas. Na ocasião são confeccionados em média 15 tapetes, com pó de serragem tingida,  preenchendo todo o trajeto por onde passa Jesus Eucarístico. </t>
  </si>
  <si>
    <t>Decreto nº 70.273/2025</t>
  </si>
  <si>
    <t>Praça Dr. Benedicto Meirelles, Rua Monte Carmelo, Praça Nossa Senhora da Conceição Aparecida</t>
  </si>
  <si>
    <t xml:space="preserve">Prefeitura e Paróquias do Município </t>
  </si>
  <si>
    <t xml:space="preserve">Festa da Padroeira do Brasil - Nossa Senhora da Conceição Aparecida </t>
  </si>
  <si>
    <t xml:space="preserve">A Festa da Padroeira tradicionalmente se inicia no dia 03/10 e termina no dia 12/10 (dia festivo); reunindo durante todo o período milhares de turistas e fiéis; que veem movidos pela devoção a Nossa Senhora da Conceição Aparecida; amor e esperança em Seu Filho Jesus Cristo. Na ocasião é realizada a novena e tradicionais procissões e atrações. A devoção a Santa se deu com a aparição de Maria, através de uma imagem encontrada nas águas do Rio Paraíba do Sul, ocasionando diversos milagres, bem como o próprio surgimento do Município de Aparecida.  </t>
  </si>
  <si>
    <t>Lei nº 6.802/1980</t>
  </si>
  <si>
    <t xml:space="preserve">Av. Dr. Júlio Prestes, Santuário Nacional </t>
  </si>
  <si>
    <t>https://www.a12.com/santuario/festa-da-padroeira</t>
  </si>
  <si>
    <t xml:space="preserve">Santuário Nacional de Nossa Senhora da Conceição Aparecida </t>
  </si>
  <si>
    <t>pastoral@santuarionacional.com</t>
  </si>
  <si>
    <t>Piso Tátil, Rampa, Elevador, Braille, Banheiro Acessível, Balcão de atendimento com altura reduzida, Portas Largas para PCR (Pessoa com cadeira de rodas)</t>
  </si>
  <si>
    <t>BARRA DO TURVO</t>
  </si>
  <si>
    <t>Festa do Milho</t>
  </si>
  <si>
    <t>A Festa do Milho é uma festa criada pela família Bonrruque, a ideia de fazer disso um negócio surgiu depois de uma crise financeira. A produção cresceu tanto que a família criou várias maneiras de aproveitar o milho que sai da roça. São pratos doces, salgados e até sobremesas, o sucesso incentivou a família a promover uma festa todos os anos. . A família realiza o plantio das sementes e nos dias da festa oferece uma variedade de 60 pratos à base de milho ao público de aproximadamente 2.000 pessoas entre adultos e crianças que participam de gincanas, apresentação de calouros, teatro e muitas outras atividades durante o fim de semana. O pastelzinho de farinha de milho é o carro chefe da gastronomia e representa o município de Barra do Turvo em outros municípios além de participar do Revelando São Paulo.</t>
  </si>
  <si>
    <t xml:space="preserve">  Rancho Indaiá - Bº Barreiros - Barra do Turvo - SP</t>
  </si>
  <si>
    <t>Os Bonrruque</t>
  </si>
  <si>
    <t>@rancho_indaia19</t>
  </si>
  <si>
    <t>valfridesbonrruque@hotmail.com</t>
  </si>
  <si>
    <t>Aniversário de Barra do Turvo</t>
  </si>
  <si>
    <t xml:space="preserve">No aniversário da cidade tem desfile das escolas onde se conta a história do municipio,no decorrer do dia várias apresentações  e a noite para fechar a comemoração temos shows gratuitos para a população.  </t>
  </si>
  <si>
    <t>Av. Vinte e Um de Março-Barra do Turvo - CEP:-11.955-000 - SP</t>
  </si>
  <si>
    <t>https://barradoturvo.sp.gov.br/</t>
  </si>
  <si>
    <t>Prefeitura Municipal</t>
  </si>
  <si>
    <t>gabinete@barradoturvo.sp.gov.br</t>
  </si>
  <si>
    <t>Deficiência Fisica, Não possui</t>
  </si>
  <si>
    <t>Rampa, Não possui</t>
  </si>
  <si>
    <t>Festival de Voo Livre</t>
  </si>
  <si>
    <t>A Estância Turística de Barra do Turvo recebe anualmente o Festival de Voo Livre, reunindo pilotos e amantes da aventura em um cenário deslumbrante de montanhas e vales. O evento celebra a liberdade nos céus com apresentações, voos panorâmicos e atividades culturais, atraindo turistas e esportistas de diversas regiões. Além das competições e demonstrações, o festival promove integração com a natureza, gastronomia local e música, tornando-se um marco no calendário turístico da cidade.</t>
  </si>
  <si>
    <t xml:space="preserve">Sítio Sonho Meu (Chácara do Rael), situado no Km 28,5 da Rodovia SP552/230, bairro Cascalheira. </t>
  </si>
  <si>
    <t>Prefeitura Municipal de Barra do Turvo</t>
  </si>
  <si>
    <t>turismo@barradoturvo.sp.gov.br</t>
  </si>
  <si>
    <t xml:space="preserve">
Festa do Sagrado Coração de Jesus
</t>
  </si>
  <si>
    <t xml:space="preserve">A Estância Turística de Barra do Turvo celebra com devoção a tradicional Festa do Sagrado Coração de Jesus, reunindo fiéis e visitantes em momentos de fé, cultura e confraternização. O evento conta com missas, procissões, apresentações musicais e atividades comunitárias que fortalecem a espiritualidade e a união entre moradores e turistas. Além das manifestações religiosas, a festa valoriza a gastronomia típica e a hospitalidade local, tornando-se um marco no calendário turístico e religioso da cidade.
</t>
  </si>
  <si>
    <t>R Vereador Gabriel dos Santos, 121 - Centro - Barra do Turvo, SP - CEP: 11955-000</t>
  </si>
  <si>
    <t>Não informado</t>
  </si>
  <si>
    <t>parsagradocoracao-bt@hotmail.com</t>
  </si>
  <si>
    <t>PARAIBUNA</t>
  </si>
  <si>
    <t>Rios do Vale</t>
  </si>
  <si>
    <t>Campeonato de Pesca Esportiva - Circuito Paraibuna</t>
  </si>
  <si>
    <t>o Circuito Paulista de Pesca Esportiva (CPPE), foi criado com o objetivo de agradecer e reconhecer o apoio dado pelas cidades que apoiam a pesca esportiva, visando fomentar mais o turismo nos municípios que abraçaram a causa: Paraibuna, Natividade da Serra, Nazaré Paulista e, recentemente, a cidade de Santa Isabel, na Grande São Paulo. A ideia também do CPPE é mostrar ainda mais a força da pesca esportiva em nossa região.</t>
  </si>
  <si>
    <t>N/A</t>
  </si>
  <si>
    <t>Represa de Paraibuna</t>
  </si>
  <si>
    <t>https://www.instagram.com/campeonatodepescasp/</t>
  </si>
  <si>
    <t>00</t>
  </si>
  <si>
    <t>Circuito Paulista de Pesca Esportiva</t>
  </si>
  <si>
    <t>turismo@paraibuna.sp.gov.br</t>
  </si>
  <si>
    <t>Cicloturismo</t>
  </si>
  <si>
    <t>A Estância Turística de Barra do Turvo promove o Evento de Cicloturismo, reunindo ciclistas e amantes da natureza em um percurso que valoriza as belezas naturais da região. Com trilhas desafiadoras, paisagens exuberantes e integração comunitária, o evento incentiva o esporte, o turismo sustentável e a convivência saudável. Além do pedal, os participantes podem desfrutar da gastronomia local e de atividades culturais, tornando a experiência completa e inesquecível.</t>
  </si>
  <si>
    <t>varios percursos dentro do município</t>
  </si>
  <si>
    <t>CAVALARIA EM HOMENAGEM A SÃO SEBASTIÃO</t>
  </si>
  <si>
    <t>O Desfile dos Cavaleiros é tradição na cidade, e em janeiro é realizado em devoção à São Sebastião. Reúne cavaleiros de diversas cidades da região, inclusive participantes de outros  Estados.</t>
  </si>
  <si>
    <t>Praça Monsenhor Ernesto Almirio Arantes (Praça da Matriz)</t>
  </si>
  <si>
    <t>https://turismo.paraibuna.sp.gov.br/agenda</t>
  </si>
  <si>
    <t>Confraria Religiosa</t>
  </si>
  <si>
    <t>N/Possui</t>
  </si>
  <si>
    <t>Carnaval Milhofolia</t>
  </si>
  <si>
    <t>Tradição, solidariedade e muita alegria são os ingredientes que fazem do carnaval de Paraibuna um grande sucesso e uma atração para toda a família. A animação fica por conta dos blocos que levam a alegria do carnaval pelas ruas da cidade. O colorido dos bonecões enfeita a cidade e diverte as matinês numa brincadeira saudável.
Paralela à Folia, acontece a Pamonhada, que oferece deliciosos quitutes à base de milho, em prol do Lar Vicentino de Paraibuna.</t>
  </si>
  <si>
    <t>Praça Manoel Antonio de Carvalho (Praça do Mercado)</t>
  </si>
  <si>
    <t>Prefeitura Municipal da Estância Turística de Paraibuna</t>
  </si>
  <si>
    <t>www.paraibuna.sp.gov.br</t>
  </si>
  <si>
    <t>Maratona Aquática</t>
  </si>
  <si>
    <t>As águas da represa de Paraibuna se tornam o palco perfeito para um espetáculo de resistência, determinação e conexão com a natureza. O evento, que faz parte do Circuito Paulista de Maratonas Aquáticas, é o mais tradicional do estado de São Paulo e um dos mais longilíneos do Brasil, com mais de 40 anos de história. A competição é subordinada à Federação Aquática Paulista e reconhecido para a Bolsa Atleta, que é um dos maiores programas de patrocínio individual de atletas no mundo. O desafio nas águas paraibunenses mescla competição e contemplação da paisagem deslumbrante que caracteriza o município. Com percursos de 800 metros, 2 km e 4 km, que abrangem diferentes níveis de habilidade, desde os mais experientes até os estreantes, a maratona proporciona momentos únicos de superação nas águas límpidas da represa, que são consideradas de tipo 1, ou seja, não apresentam nenhum tipo de poluente</t>
  </si>
  <si>
    <t>https://maratonaaquatica.com.br/</t>
  </si>
  <si>
    <t>ISEP</t>
  </si>
  <si>
    <t>Festa do Lavrador</t>
  </si>
  <si>
    <t xml:space="preserve">A Estância Turística de Barra do Turvo celebra a tradicional Festa do Lavrador, um evento que homenageia os trabalhadores rurais e valoriza a cultura do campo. Com desfiles, apresentações musicais, danças típicas e gastronomia regional, a festa reúne moradores e visitantes em momentos de alegria e confraternização. Além de destacar a importância da agricultura para a cidade, o evento fortalece os laços comunitários e integra fé, tradição e turismo, tornando-se um marco no calendário cultural local.
</t>
  </si>
  <si>
    <t>R. Francisco O Filho, 238-370- Barra do Turvo -CEP: 11.955-000 - SP</t>
  </si>
  <si>
    <t>Velocross</t>
  </si>
  <si>
    <t xml:space="preserve">A Estância Turística de Barra do Turvo recebe o emocionante evento de Velocross, reunindo pilotos e apaixonados por velocidade em disputas cheias de adrenalina. Com trilhas desafiadoras e manobras radicais, a competição atrai público de diversas regiões, promovendo esporte, lazer e turismo. Além das corridas, o evento oferece gastronomia local e atividades culturais, tornando-se um grande espetáculo que valoriza a energia e a tradição esportiva da cidade.
</t>
  </si>
  <si>
    <t>Chácara do Israel Km 28,5 da Rodovia SP552/230, Bairro: Cascalheira</t>
  </si>
  <si>
    <t>MONTE ALTO</t>
  </si>
  <si>
    <t>Romaria ao Santuário de Nossa Senhora da Conceição Montesina</t>
  </si>
  <si>
    <t>A Romaria à Virgem Montesina é uma das mais belas expressões de fé, tradição e identidade cultural da cidade de Monte Alto/SP. Nascida da profunda devoção à Nossa Senhora da Conceição Montesina, essa peregrinação transformou-se ao longo do tempo em um dos principais símbolos do Turismo Religioso do município, sendo reconhecida hoje como tradicional, histórica e a maior da região.
Todos os anos, entre os dias 6 e 8 de setembro, milhares de fiéis e visitantes, vindos de diversas cidades, percorrem caminhos marcados pela espiritualidade, pela solidariedade e pela emoção, em direção ao Santuário Diocesano de Nossa Senhora da Conceição Montesina, localizado no Distrito de Aparecida de Monte Alto. O principal percurso, de aproximadamente 18 quilômetros, é vivenciado majoritariamente a pé, especialmente pelos romeiros que partem do centro de Monte Alto, em um verdadeiro ato de fé e superação.
Ao longo do trajeto, os peregrinos encontram uma calorosa rede de apoio, formada por voluntários e com o suporte do Poder Público, que oferece segurança, orientação e acolhimento. Os pontos de apoio são paradas essenciais, onde os romeiros recebem água, alimentação, cuidados básicos e, sobretudo, incentivo para seguir em frente.
Reconhecendo sua importância religiosa, cultural e turística, a peregrinação ao Santuário foi oficialmente declarada Patrimônio Cultural de Natureza Imaterial de Monte Alto, por meio da Lei Municipal nº 3.720, de 26 de agosto de 2021. Posteriormente, o apoio e a assistência aos romeiros foram regulamentados pela Lei Municipal nº 3.961/2023, consolidando a romaria como um evento estruturado, seguro e acolhedor.
Mais do que uma caminhada, a Romaria à Virgem Montesina é uma experiência de fé, encontro e pertencimento, que convida moradores e visitantes a vivenciarem Monte Alto com o coração aberto, em um percurso onde a espiritualidade se une à hospitalidade e à beleza do interior paulista.</t>
  </si>
  <si>
    <t>Praça José Motta, nº. 1, Distrito de Aparecida de Monte Alto</t>
  </si>
  <si>
    <t>https://montealto.sp.gov.br/site/guiadoromeiro/</t>
  </si>
  <si>
    <t xml:space="preserve">Poder Público, Santuário da Virgem Montesina e Sociedade Civil </t>
  </si>
  <si>
    <t>turismo@montealto.sp.gov.br</t>
  </si>
  <si>
    <t>Festival de Rafting</t>
  </si>
  <si>
    <t>A Estância Turística de Barra do Turvo realiza o Festival de Rafting, um evento que celebra a aventura e o contato com a natureza. Reunindo esportistas e visitantes, o festival oferece descidas emocionantes pelos rios Turvo e Pardo, em meio a paisagens exuberantes da Mata Atlântica. Além das competições e passeios, o público desfruta de atividades culturais, música e gastronomia típica, tornando o evento uma experiência única de esporte, lazer e turismo sustentável.</t>
  </si>
  <si>
    <t>Bairro Três Canais</t>
  </si>
  <si>
    <t>juniorraft@hotmail.com</t>
  </si>
  <si>
    <t>Jogos da Natureza</t>
  </si>
  <si>
    <t>A ideia é reunir as principais atividades de aventura que acontecem na cidade e realizar um grande encontro dos seus praticantes para mostrar ao mundo o que a nossa cidade tem. Ao longo do dia, as atividades acontecem e no fim do dia todos se encontram para festejar aquilo que a natureza nos oferece com muita música e diversão</t>
  </si>
  <si>
    <t>Nos principais atrativos da cidade</t>
  </si>
  <si>
    <t>ARAÇARIGUAMA</t>
  </si>
  <si>
    <t>Feira de Artesanato Rota Caipira</t>
  </si>
  <si>
    <t xml:space="preserve">Feira noturna que reúne artesãos e produtores rurais do município, de grande sucesso entre os consumidores com um trabalho bastante apreciado, realizada mensalmente na Praça Albertino de Castro Prestes - Centro. </t>
  </si>
  <si>
    <t>Praça Albertino de Castro Prestes - Centro.</t>
  </si>
  <si>
    <t>Sec de Cultura e Turismo e Rota Caipira de Araçariguama</t>
  </si>
  <si>
    <t>turismo@aracariguama.sp.gov.br</t>
  </si>
  <si>
    <t>Verão Araçá</t>
  </si>
  <si>
    <t>O Projeto Verão Araçá, oferece uma variedade de atividades esportivas, incluindo futevôlei, vôlei e futebol de areia para diferentes categorias (feminino e masculino, com idade mínima de 16 anos). O evento inclui também uma praça de alimentação.</t>
  </si>
  <si>
    <t>Parque da Mina</t>
  </si>
  <si>
    <t>Prefeitura Municipal de Araçariguama</t>
  </si>
  <si>
    <t>esportes@aracariguama.sp.gov.br</t>
  </si>
  <si>
    <t xml:space="preserve">) FESTIVAL GASTRONÔMICO JOÃO RURAL E FESTIVAL GASTRONÔMICO DO CAMBUCI </t>
  </si>
  <si>
    <t>O Festival Gastronômico do Cambuci, na Estância Turística de Paraibuna, compõe a Rota Gastronômica do Cambuci. O evento promove o cultivo e a comercialização do fruto de forma sustentável, destacando-se como uma importante alternativa de desenvolvimento para os municípios envolvidos.
Expositores de várias cidades que integram a Rota do Cambuci aproveitam para divulgar o fruto e mostrar a importância dele no mercado gastronômico, em âmbito regional e nacional. Durante o evento, moradores e visitantes podem conhecer o melhor do Cambuci e experimentarem diversos produtos feitos com o fruto, como: cocadas, rocamboles, mousses, biscoitos, bombons, entre outras delícias. A Ele soma-se o Festival Gastronômico João Rural que homenageia um dos maiores pesquisadores da Gastronomia Valeparaibana, no Festival são apresentados pratos constantes das pesquisas de João Rural, que refletem a alma do Chão Caipira.</t>
  </si>
  <si>
    <t>Praça Manoel Antonio de Carvalho</t>
  </si>
  <si>
    <t>Festividade e Celebrações em louvor a São José</t>
  </si>
  <si>
    <t>Realizada no bairro Jardim Brasil a festividade conta com programação religiosa com Procissão e Solene Missa no dia 19 de março. A festa também terá programação cultural com vários shows, parque de diversões e Praça de Alimentação.</t>
  </si>
  <si>
    <t>Rua Espirito Santo, sn - Jardim Brasil</t>
  </si>
  <si>
    <t>Paroquia Nossa Senhora da Penha</t>
  </si>
  <si>
    <t>paroquiadearacariguama@uol.com.br</t>
  </si>
  <si>
    <t>Trip Bike da Estância Turística de Paraibuna</t>
  </si>
  <si>
    <t>O Passeio Ciclístico é uma tradição no município e acontece em comemoração ao dia do trabalhador. O evento reúne pessoas de várias idades em busca de um momento de lazer e descontração. A cada ano, o passeio contempla um trajeto diferente, dando ao participante também a oportunidade de conhecer e desfrutar de diferentes belezas do município.</t>
  </si>
  <si>
    <t>Praça Monsenhor Ernesto Almirio Arantes</t>
  </si>
  <si>
    <t xml:space="preserve">Festa da Emancipação </t>
  </si>
  <si>
    <t>É celebrada a emancipação político-administrativa de Araçariguama, com uma série de eventos cívicos, culturais, sociais, esportivos e educacionais. As festividades são realizadas no mês de maio, com os tradicionais eventos na semana do dia 19, data oficial da comemoração.</t>
  </si>
  <si>
    <t>Praça Albertino de Castro Prestes - Centro</t>
  </si>
  <si>
    <t>cultura@aracariguama.sp.gov.br</t>
  </si>
  <si>
    <t>Aniversário da Estância Turística de Paraibuna</t>
  </si>
  <si>
    <t>Paraibuna realiza anualmente, uma grandiosa Festa para comemorar o seu aniversário. Organizada pela Prefeitura Municipal, as comemorações reúnem uma série de atrações, que movimentam a cidade.Para mostrar o melhor do município, acontece a FEITUR – Feira de Turismo “José Benedicto Vilhena”. Criada em 1997, a feira tem o objetivo de apresentar as atrações turísticas e culturais de Paraibuna. Moradores e Turistas podem saborear as iguarias gastronômicas típicas do município, como os quitutes do Café Caipira, as delícias do milho, o chocolate e muito mais. Durante o dia, o público ainda pode conferir a fabricação da rapadura, o processo de destilação da pinga, como é a torrefação do café e o preparo dos pratos tradicionais, além de conhecer um pouco dos costumes de antigamente e da cultura caipira. A Fazendinha do “Seu Zé Vilhena”  está entre os destaques da Feira  de Turismo de  Paraibuna. O evento disponibiliza  vários atrativos ao público, como: exposição de animais e passeios gratuitos em cavalo, touro e charrete, para a alegria das  crianças. Todas as noites há shows musicais na Praça do Mercado. Apresentações culturais e cívicas completam a programação.</t>
  </si>
  <si>
    <t>16.316/2016</t>
  </si>
  <si>
    <t>Encontro Nacional do Escort Clube</t>
  </si>
  <si>
    <t xml:space="preserve">O Encontro Nacional do Escort Clube é um evento anual organizado pelo Escort Clube do Brasil (EC) para entusiastas e proprietários de Ford Escort, reunindo diversos modelos (como XR3, Hobby, Ghia) para celebração, troca de experiências e exposições, grande evento de 2026 ocorrendo em Araçariguama, destacando o antigomobilismo e a história desse carro icônico. </t>
  </si>
  <si>
    <t>Praça Santos Dumont</t>
  </si>
  <si>
    <t>Escort Clube do Brasil</t>
  </si>
  <si>
    <t>PIRAPOZINHO</t>
  </si>
  <si>
    <t xml:space="preserve">35ª FEJUPI </t>
  </si>
  <si>
    <t xml:space="preserve">Fejupi, ou Festa Junina de Pirapozinho, é uma celebração tradicional que acontece na cidade de Pirapozinho, geralmente em junho. É um evento que reúne a comunidade para celebrar com   danças,   comidas típicas, brincadeiras e muita música. As festas juninas são conhecidas por suas tradições, como a mairo fogueira do brasil, e a Fejupi certamente traz um clima festivo e acolhedor para todos os participantes. De acordo com a Lei nº13.410, de 15 janeiro de 2009, Foi incluída no Calendário Turístico do Estado a Festa Junina de Pirapozinho – FEJUPI (Festa Junina de Pirapozinho) é um dos eventos juninos mais tradicionais e famosos do estado de São Paulo. Atualmente foi nomeada como  a "Capital Estadual da Fogueira" pelo PROJETO DE LEI Nº 692, DE 2025. Geralmente é realizada anualmente no município de Pirapozinho, localizado na região de  Presidente Prudente. A festa é conhecida por sua grandiosidade, atraindo milhares de visitantes de diversas cidades e estados. O evento reúne pessoas de todas as idades e perfis, fortalecendo os laços comunitários e promovendo a convivência social. Envolve a comunidade e entidades sociais do Município como: (APAE, ASILO, MINHA CASA, CASA da CRIANÇA e ADOLESCENTE e IGREJA SÃO JOÃO BATISTA, na organização de barracas de comida e artesanato. para poderem gerar renda para essas entidades.
Relevância Econômica: A FEJUPI gera um impacto econômico positivo para o município e a região, contribuindo para o desenvolvimento local. Sua relevância econômica inclui: 
Geração de Renda: O evento movimenta a economia local, gerando renda para comerciantes, produtores rurais, artesãos e prestadores de serviços.
As barracas de comida e artesanato, além dos shows e atrações, criam oportunidades de negócios para a comunidade. 
Atração de Investimentos: A FEJUPI pode atrair patrocínios de empresas locais e regionais, além de  investimentos em infraestrutura e turismo. O evento também pode ser uma vitrine para produtos e serviços da região, estimulando o comércio e a indústria local.
Empregos Temporários: A organização do evento gera empregos temporários em áreas como montagem de estruturas, segurança, limpeza e atendimento ao público.
Relevância Turística: A FEJUPI é um importante atrativo turístico para Pirapozinho e a região de  Presidente Prudente. Sua relevância turística inclui:
Atração de Visitantes: O evento atrai turistas de cidades vizinhas e até de outros estados,                    aumentando o fluxo de pessoas na região. O turismo gerado pela festa contribui para a divulgação   das tradições culturais de Pirapozinho.
Fortalecimento do Turismo Regional: A FEJUPI pode ser integrada a roteiros turísticos da região,  promovendo outros atrativos locais, como gastronomia, artesanato e belezas naturais.
</t>
  </si>
  <si>
    <t>Lei nº13.410, de 15 janeiro de 2009 e  PROJETO DE LEI Nº 692, DE 2025</t>
  </si>
  <si>
    <t>Parque do Povo de Pirapozinho - s/n</t>
  </si>
  <si>
    <t>https://www.instagram.com/fejupi.2025</t>
  </si>
  <si>
    <t>Prefeitura Municipal de Pirapozinho</t>
  </si>
  <si>
    <t>turismo@pirapozinho.sp.gov.br</t>
  </si>
  <si>
    <t>Corrida de Emancipação de Araçariguama</t>
  </si>
  <si>
    <t xml:space="preserve">Corrida de Emancipação de Araçariguama. A prova, de 7 km, com saída da Praça Albertino de Castro Prestes (Matriz). </t>
  </si>
  <si>
    <t>Praça Albertino de Castro Prestes - sn - Centro</t>
  </si>
  <si>
    <t>esporte@aracariguama.sp.gov.br</t>
  </si>
  <si>
    <t>Araçá Rock</t>
  </si>
  <si>
    <t>Festival musical realizado em comemoração ao dia do rock, com apresentações de bandas, praça de alimentação e encontro de moto clubes. O evento é realizado na Praça Santos Dumont (Avião).</t>
  </si>
  <si>
    <t>Tarjas Preta Moto Club</t>
  </si>
  <si>
    <t>zolhosclube88@gmail.com</t>
  </si>
  <si>
    <t>Cavalaria em Homenagem ao Padroeiro Santo Antônio</t>
  </si>
  <si>
    <t>Tradicional desfile de cavaleiros e amazonas, a Cavalaria de Santo Antônio acontece como parte da festividade de aniversário da Estância Turística de Paraibuna, homenageando seu padroeiro, Santo Antônio. O desfile dos cavaleiros como é conhecido, tem o objetivo de resgatar e preservar a história e cultura do município.</t>
  </si>
  <si>
    <t>Praça Monsenhor Almirio Arantes (Praça da Matriz)</t>
  </si>
  <si>
    <t>Associação Religiosa Local</t>
  </si>
  <si>
    <t>Festa de Nossa Senhora da Conceição Aparecida</t>
  </si>
  <si>
    <t xml:space="preserve">As festividades acontecem na Capela de Nossa Senhora da Conceição Aparecida no dia 07 e 08 de setembro onde é realizado a Missa Solene em Honra a Nossa Senhora da Conceição Aparecida. Com 166 anos de historia e tradição no município, as festividades mantem a Fé, Historia e Cultura Católica  </t>
  </si>
  <si>
    <t>Estada da Aparecidinha, km 8 – Aparecidinha.</t>
  </si>
  <si>
    <t>PIRACICABA</t>
  </si>
  <si>
    <t>Serra do Itaqueri</t>
  </si>
  <si>
    <t xml:space="preserve">Paixão de Cristo </t>
  </si>
  <si>
    <t>A Paixão de Cristo de Piracicaba é a mais tradicional encenação teatral da cidade e uma das maiores montagens cênicas do Brasil. O espetáculo acontece no Parque Engenho Central durante a Semana Santa, conta com apresentações noturnas e sessão especial na Sexta-feira Santa. Realizada pela Associação Cultural e Teatral Guarantã, em parceria com a Prefeitura Municipal de Piracicaba, a montagem reúne mais de 200 atores em cena e uma grande equipe técnica, oferecendo ao público uma experiência cultural, artística e religiosa de forte impacto emocional.</t>
  </si>
  <si>
    <t>Av. Maurice Allain, nº454 – Vila Rezende | Piracicaba/SP</t>
  </si>
  <si>
    <t>Associação Cultural e Teatral Guarantã</t>
  </si>
  <si>
    <t xml:space="preserve"> www.santocartao.com.br/paixao-de-cristo</t>
  </si>
  <si>
    <t>guaranta@guaranta.org.br</t>
  </si>
  <si>
    <t>Deficiência Fisica, Deficiência Visual, Deficiência Intelectual</t>
  </si>
  <si>
    <t>Festa de Nossa Senhora da Penha</t>
  </si>
  <si>
    <t>A centenária e grandiosa festa em honra a Nossa Senhora da Penha, Padroeira de Araçariguama, conta com programação religiosa e festiva tendo o seu principal momento, no dia 16 de setembro, a solenidade com procissão e santa missa na Praça Albertino de Castro Prestes. A festa conta com uma grandiosa praça de alimentação, parque de diversões, shows musicais diariamente.</t>
  </si>
  <si>
    <t>Praça Albertino de Castro Prestes, sn - Centro</t>
  </si>
  <si>
    <t>Pamonhada</t>
  </si>
  <si>
    <t>A tradicional folia carnavalesca na Estância Turística de Paraibuna alia a Folia Carnavalesca com uma de suas festas mais emblemáticas: a Pamonhada. O evento, que acontece há mais de 20 anos, tem como principal objetivo arrecadar fundos para o Lar Vicentino, instituição que presta assistência a idosos no município. O evento atrai um grande público, principalmente os 60+ que além de conhecer a cidade, contribuem para a melhoria de vida dos idosos assistidos pelo Lar Vicentino.</t>
  </si>
  <si>
    <t>Quadra de Esportes - Rua Coronel Marcelino - Centro</t>
  </si>
  <si>
    <t>Lar Vicentino de Paraibuna</t>
  </si>
  <si>
    <t>Espetáculo de Dança Casa de Cultura Cora Coralina</t>
  </si>
  <si>
    <t xml:space="preserve">Espetáculo de dança realizado pelas oficinas de dança da Casa da Cultura Cora Coralina (CCCC) desde o ano de 2008. As coreografias são realizadas por alunos com idade a partir de 04 anos nas modalidades: ballet clássico, jazz, dança contemporânea, danças urbanas e sapateado. </t>
  </si>
  <si>
    <t>Rua Espírito Santo - s/n, Jardim Brasil.</t>
  </si>
  <si>
    <t>Secretaria de Cultura e Turismo</t>
  </si>
  <si>
    <t>Espetáculo de Musica Casa de Cultura Cora Coralina</t>
  </si>
  <si>
    <t>Com uma seleção de hits interpretados pelos talentosíssimos artistas de música da Casa de Cultura Cora Coralina, o espetáculo proporciona uma jornada inesquecível pela história musical. O evento ocorre no Ginásio dos Campeões.</t>
  </si>
  <si>
    <t>Secretaria Municipal de Cultura e Turismo</t>
  </si>
  <si>
    <t>SÃO LUÍS DO PARAITINGA</t>
  </si>
  <si>
    <t>41º Festival Nhô Frade de Marchinhas</t>
  </si>
  <si>
    <t>O 41º Festival de Marchinhas de São Luiz do Paraitinga é uma realização da Prefeitura Municipal por meio de sua Secretaria de Turismo e Cultura.
O Festival de Marchinhas de São Luiz do Paraitinga passou a denominar-se oficialmente: Festival “Nhô Frade” de Marchinhas, em homenagem ao músico luizense Álvaro José Frade (in memoriam), conforme instituído pela Lei Municipal nº. 2.182, de 08 de março de 2022.
O QUE É – Concurso de composições musicais autorais aberto a população em geral. Oferecerá as composições selecionadas arranjos e acompanhamento de uma banda profissional.
PRÊMIOS – A Prefeitura Municipal de São Luiz do Paraitinga premiará as três melhores marchinhas escolhidas pelo júri técnico, a marchinha preferida do público, a(o) melhor intérprete e a melhor caracterização.</t>
  </si>
  <si>
    <t>Praça Oswaldo Cruz, Centro, Coreto Elpidio dos Santos</t>
  </si>
  <si>
    <t>https://saoluizdoparaitinga.sp.gov.br/41-festival-nho-frade-de-marchinhas-de-sao-luiz-do-paraitinga-sp</t>
  </si>
  <si>
    <t>Prefeitura Municipal da Estancia Turística de São Luiz do Paraitinga</t>
  </si>
  <si>
    <t>cultura@saoluizdoparaitinga.sp.gov.br</t>
  </si>
  <si>
    <t>Festa do Folclore</t>
  </si>
  <si>
    <t>Para comemorar o Dia Nacional do Folclore, a Fundação Cultural “Benedicto Siqueira e Silva”, com apoio da Prefeitura realiza a Festa do Folclore.
Com uma programação especial, que acontece durante vários dias, contempla palestras, apresentações de danças, música, exposições e barracas de comidas típicas. Grupos folclóricos de Paraibuna e região mostram sua arte e um pouco de sua cultura. Diversas atividades também são promovidas, com o intuito de despertar o interesse e levar as crianças a conhecerem mais sobre a cultura popular, como: brincadeiras tradicionais – peteca, pião, cantigas de roda, entre outras – e festival de danças folclóricas, envolvendo as escolas municipais.</t>
  </si>
  <si>
    <t>Fundação Cultural Benedicto Siqueira e Silva</t>
  </si>
  <si>
    <t>https://www.culturaparaibuna.org.br/</t>
  </si>
  <si>
    <t>LAGOINHA</t>
  </si>
  <si>
    <t xml:space="preserve">CARNAVAL DA FAMÍLIA LAGOINHA 2026 </t>
  </si>
  <si>
    <t>O Carnaval da Família em Lagoinha, no interior de São Paulo, é conhecido por ser uma das celebrações mais tradicionais e acolhedoras da região do Vale do Paraíba. Ao contrário das grandes metrópoles, o foco aqui é o resgate das tradições e o ambiente seguro para todas as idades.</t>
  </si>
  <si>
    <t>PRAÇA AUGUSTO RIBEIRO CENTRO DE LAGOINHA/SP</t>
  </si>
  <si>
    <t>https://www.lagoinha.sp.gov.br/</t>
  </si>
  <si>
    <t xml:space="preserve">PREFEITURA MUNICIPAL DE LAGOINHA </t>
  </si>
  <si>
    <t xml:space="preserve">cultura@lagoinha.sp.gov.br </t>
  </si>
  <si>
    <t>Mapa Tátil, Piso Tátil, Rampa, Banheiro Acessível</t>
  </si>
  <si>
    <t>Caminhada da Fé ao Bairro do Remedinho</t>
  </si>
  <si>
    <t>Como parte das comemorações da festa em homenagem à Nossa Senhora dos Remédios, que acontece no bairro rural do mesmo nome, todo ano fiéis se reúnem e saem juntos em caminhada rumo ao local da festa. Com saída às cinco horas da manhã do centro da cidade e com chegada prevista para às 9h da manhã, o percurso total da caminhada é de 18 km.
No local se encontra um dos atrativos turísticos mais bonitos da cidade, o mirante dos Remédios (Veja informações aqui).</t>
  </si>
  <si>
    <t>Mirante do Remédio</t>
  </si>
  <si>
    <t>Oktobeer Roça</t>
  </si>
  <si>
    <t>O Evento oferece muita música, praça de alimentação, artesanato e variados tipos de cerveja artesanal de qualidade feita por produtores do município. Destaque para covers oficiais de bandas renomadas do rock nacional e internacional.</t>
  </si>
  <si>
    <t>Praça Manoel Antonio de Carvalho _ Praça do Mercado</t>
  </si>
  <si>
    <t>A Festa das Nações de Piracicaba é o maior evento filantrópico, cultural e gastronômico da região e integra há mais de 40 anos o calendário turístico oficial do município. Realizada anualmente no Parque do Engenho Central, geralmente no mês de maio, a Festa reúne entidades beneficentes que representam diferentes países por meio da gastronomia típica, danças folclóricas e manifestações culturais. Toda a arrecadação é destinada às causas sociais das entidades participantes, tornando o evento uma celebração da diversidade cultural, da solidariedade e do compromisso social, além de atrair milhares de visitantes a cada edição.</t>
  </si>
  <si>
    <t>Sim.</t>
  </si>
  <si>
    <t>Av. Dr. Maurice Allain, 454 - Vila Rezende, Piracicaba - SP, 13405-123</t>
  </si>
  <si>
    <t>https://festadasnacoes.org.br/</t>
  </si>
  <si>
    <t>FENAPI (Associação Cultural Festa das Nações)</t>
  </si>
  <si>
    <t>diretoria@fenapi.org.br</t>
  </si>
  <si>
    <t>TUPI PAULISTA</t>
  </si>
  <si>
    <t>CELEBRE TUPI FAZ 85 ANOS</t>
  </si>
  <si>
    <t>Festa em comemoração ao aniversário da cidade. Serão dois dias de eventos com entrada franca e show de renome nacional. Também tem a participação de barracas de comidas típicas das entidades e clubes de serviços locais. O evento é realizado desde o ano de 2017. Atrai um grande público local e regional.</t>
  </si>
  <si>
    <t>Estádio Municipal Belmar Ramos</t>
  </si>
  <si>
    <t>Site oficial da Prefeitura Municipal - https://www.tupipaulista.sp.gov.br/</t>
  </si>
  <si>
    <t>Secretaria da Cultura através da Prefeitura Municipal</t>
  </si>
  <si>
    <t>Não há cobraça de ingressos</t>
  </si>
  <si>
    <t>ailtontp@hotmail.com</t>
  </si>
  <si>
    <t xml:space="preserve">DIA DA CONSCIÊNCIA NEGRA </t>
  </si>
  <si>
    <t>Comemoração do Dia Nacional da Consciência Negra, com atividades culturais de valorização da história da população negra de Paraibuna.</t>
  </si>
  <si>
    <t>177446/2023</t>
  </si>
  <si>
    <t>Praça Monsenhor Ernesto Almirio Arantes - Praça da Matriz</t>
  </si>
  <si>
    <t>Natal no Chão Caipira e Réveillon na Praça</t>
  </si>
  <si>
    <t>O Natal no Chão Caipira é marcado pela abertura oficial do Presépio, montado na praça da Matriz há vários anos e conta também com apresentações do grupo Folia de Reis de Paraibuna.
O Réveillon familiar encanta moradores e visitantes, em um ambiente animado e seguro.</t>
  </si>
  <si>
    <t>Festa do Divino</t>
  </si>
  <si>
    <t xml:space="preserve">A Festa do Divino Espírito Santo de Piracicaba é uma tradicional e centenária celebração religiosa e cultural, que ocorre 50 dias após a Páscoa (no Pentecostes) no Largo dos Pescadores, misturando fé, folclore, danças (Congada), cortejo fluvial (Encontro das Bandeiras), missas, comidas típicas e leilões, sendo um Patrimônio Cultural Imaterial da cidade que fortalece a identidade local com raízes desde 1826 e a Irmandade do Divino. </t>
  </si>
  <si>
    <t>Largo dos Pescadores, com a sede da Irmandade do Divino localizada na Rua Moraes Barros, 58, Centro</t>
  </si>
  <si>
    <t>turismo@piracicaba.sp.gov.br</t>
  </si>
  <si>
    <t>BORACÉIA</t>
  </si>
  <si>
    <t>4º Torneio de Pesca Esportiva</t>
  </si>
  <si>
    <t>Torneio de Pesca Eportiva no Complexo Turistico Parque do Tiete que fica as margens do Rio Tiête onde reunem pescadores de toda região para ingressarem em um torneio dentro do Rio Tiête tendo Premição com várias modalidades da pesca esportiva.</t>
  </si>
  <si>
    <t>Parque do Tiete - Boraceia-SP</t>
  </si>
  <si>
    <t>boraceia.sp.gov.br</t>
  </si>
  <si>
    <t>Prefeitura de Boraceia</t>
  </si>
  <si>
    <t>11 96538-7202</t>
  </si>
  <si>
    <t>TAIAÇU</t>
  </si>
  <si>
    <t>TRADICIONAL QUERMESSE EM LOUVOR A SÃO JOSÉ</t>
  </si>
  <si>
    <t>ACONTECE ANUALMENTE NA PRAÇA CENTRAL, A QUERMESSE EM LOUVOR AO PADROEIRO DA CIDADE, TENDO DE 7 A 8 DIAS, CONTENDO COMIDAS LOCAIS E TRADIOCINAIS, SHOWS E MUITA ATIVIDADE, SENDO NOVENA, MISSAS E PROCISSÃO.</t>
  </si>
  <si>
    <t>PRAÇA DA MATRIZ</t>
  </si>
  <si>
    <t>PAROQUIA SÃO JOSÉ</t>
  </si>
  <si>
    <t>cultura@taiacu.sp.gov.br</t>
  </si>
  <si>
    <t>Festa Polenta</t>
  </si>
  <si>
    <t>A Festa da Polenta de Santa Olímpia é um tradicional evento anual que celebra a cultura tirolesa em Piracicaba, reunindo gastronomia típica, música, danças folclóricas e costumes herdados dos imigrantes trentino-tiroleses. Organizada pela comunidade do bairro Santa Olímpia, a festa preserva as tradições locais por meio de pratos à base de polenta, apresentações culturais e um ambiente familiar que valoriza a história e a identidade do bairro.</t>
  </si>
  <si>
    <t>Rua Santa Olímpia, 140</t>
  </si>
  <si>
    <t>Os proprios moradores do Bairro junto com a Prefeitura de Piracicaba</t>
  </si>
  <si>
    <t xml:space="preserve">Festa do Vinho </t>
  </si>
  <si>
    <t>A Festa do Vinho de Santana é um evento tradicional de Piracicaba que celebra a cultura tirolesa e italiana com gastronomia típica, música, danças folclóricas e vinhos artesanais. Realizada anualmente no mês de junho, na Praça Bortolo Vitti, a festa tem entrada gratuita e é organizada pela Associação de Moradores de Santana em parceria com o Circolo Trentino di Piracicaba, reunindo tradição, cultura e convivência comunitária.</t>
  </si>
  <si>
    <t>Praça Bortolo Vitti, no Bairro Santana</t>
  </si>
  <si>
    <t>Evento organizado pelor moradores do bairro com o apoio da prefeitura</t>
  </si>
  <si>
    <t xml:space="preserve">Festa São João Tupi </t>
  </si>
  <si>
    <t>A Festa de São João de Tupi é uma das celebrações juninas mais tradicionais de Piracicaba, com quase 90 anos de história. Realizada no Distrito de Tupi, na Paróquia São José de Tupi, o evento tem como ponto alto o acendimento da fogueira gigante na noite de 23 de junho. A programação inclui missas, comidas típicas, barracas de quermesse e atrações musicais, atraindo milhares de visitantes, com entrada gratuita e organização da comunidade local.</t>
  </si>
  <si>
    <t>Rua São José, 163, Tupi, Piracicaba/S</t>
  </si>
  <si>
    <t>Paróquia São José de Tupi</t>
  </si>
  <si>
    <t>Festa Mandioca Artemis</t>
  </si>
  <si>
    <t>A Festa da Mandioca de Artemis é um evento tradicional de Piracicaba que celebra a cultura rural e a agricultura local por meio da gastronomia à base de mandioca, atrações musicais, artesanato e programação cultural. Realizada na antiga estação de trem da Praça João Alfredo, no Distrito de Artemis, a festa reúne a comunidade e visitantes em um ambiente familiar, valorizando produtos artesanais, agroecológicos e a identidade local.</t>
  </si>
  <si>
    <t>antiga estação de trem da Praça João Alfredo, na Rua Elvira Pereira Chinelato, no distrito rural de Artemis</t>
  </si>
  <si>
    <t>Uni-Artemis (Associação União para Desenvolvimento Sustentável do Distrito de Artemis), com o apoio da Prefeitura de Piracicaba</t>
  </si>
  <si>
    <t>SÃO BENTO DO SAPUCAÍ</t>
  </si>
  <si>
    <t>Mantiqueira Paulista</t>
  </si>
  <si>
    <t>Cortejo Carnavalesco do Bloco Zé Pereira 2026</t>
  </si>
  <si>
    <t>O Bloco Zé Pereira é uma manifestação cultural e carnavalesca centenária de São Bento do Sapucaí, marcada pelo desfile de bonecos gigantes e foliões pelas ruas do município. O nome e os bonecos homenageiam o fundador da cidade, Tenente José Pereira Alves — com personagens como Zé Pereira, Maria Pereira, Kiko, Mariinha, Tomé, Amélia, Zé Neguinho, Dieguito e Pablito formando a “família” dos bonecões.
Ele percorre as ruas de São Bento do Sapucaí por cerca de 32 dias antes do Carnaval, geralmente todas as noites, com saídas típicas entre as 19h e 22h</t>
  </si>
  <si>
    <t>São Bento do Sapucaí</t>
  </si>
  <si>
    <t>https://saobentodosapucai.sp.gov.br/ze-pereira/</t>
  </si>
  <si>
    <t>Secretaria de Turismo, Cultura e Desenvolvimento Econômico</t>
  </si>
  <si>
    <t>turismo@saobentodosapucai.sp.gov.br</t>
  </si>
  <si>
    <t>Festa Padroeiro Santo Antônio</t>
  </si>
  <si>
    <t>A Festa do Padroeiro Santo Antônio é uma tradicional celebração de Piracicaba realizada no mês de junho, com destaque para o dia 13, data dedicada ao santo. Promovida pela Catedral de Santo Antônio, a festa reúne programação religiosa, quermesse com comidas típicas, o tradicional bolo de Santo Antônio e apresentações musicais na Praça da Catedral, fortalecendo a fé, a cultura e a convivência comunitária.</t>
  </si>
  <si>
    <t>Rua Virgulino de Oliveira, 100, Centro, Piracicaba - SP</t>
  </si>
  <si>
    <t>Paróquia Santo Antônio – Sé Catedral</t>
  </si>
  <si>
    <t>comunicacao@diocesedepiracicaba.org.br</t>
  </si>
  <si>
    <t xml:space="preserve">Gastronomia e Arte </t>
  </si>
  <si>
    <t>O Festival Gastronomia &amp; Arte é um evento que une cultura, música e diversidade gastronômica em um dos principais pontos turísticos de Piracicaba, o Engenho Central. Com restaurantes, cervejarias artesanais, produtores locais, atrações musicais, oficinas artísticas e feira de artes, o festival oferece programação para toda a família, com entrada solidária e valorização da produção cultural e gastronômica do município.</t>
  </si>
  <si>
    <t xml:space="preserve"> Engenho Central, localizado na Avenida Dr. Maurice Allain, 454, Vila Rezende</t>
  </si>
  <si>
    <t>Prefeitura Municipal de Piracicaba, por meio da Secretaria Municipal da Ação Cultural (SEMAC) e da Secretaria de Turismo (Setur)</t>
  </si>
  <si>
    <t>Afropira</t>
  </si>
  <si>
    <t>O Afropira é um instituto e festival que promove e valoriza a cultura afro-brasileira em Piracicaba, fortalecendo a identidade, a ancestralidade e o afroempreendedorismo. Criado em 2013, o movimento realiza ações culturais ao longo do ano e tem como destaque o Festival Afropira, realizado anualmente, geralmente na Semana da Consciência Negra, reunindo música, dança, arte, oficinas e debates, com amplo reconhecimento e apoio público e privado.</t>
  </si>
  <si>
    <t>Engenho Central</t>
  </si>
  <si>
    <t>Instituto Afropira</t>
  </si>
  <si>
    <t>https://www.sympla.com.br/produtor/afropira</t>
  </si>
  <si>
    <t>Comida na Rua</t>
  </si>
  <si>
    <t>O Festival Gastronômico de Piracicaba – Comida na Rua é um evento que valoriza a diversidade culinária local, reunindo restaurantes, cervejarias artesanais, drinks, doces e programação musical ao ar livre. Realizado pela Prefeitura de Piracicaba, por meio da Secretaria Municipal de Turismo, o festival acontece na Praça José Bonifácio e oferece opções gastronômicas acessíveis, além de shows para todos os públicos, consolidando-se como um dos principais eventos gastronômicos da cidade.</t>
  </si>
  <si>
    <t>Praça José Bonifácio</t>
  </si>
  <si>
    <t>Prefeitura de Piracicaba, por meio da Secretaria Municipal de Turismo</t>
  </si>
  <si>
    <t>CAJAMAR</t>
  </si>
  <si>
    <t>Negócios e Cultura</t>
  </si>
  <si>
    <t xml:space="preserve">Corrida de São Sebastião </t>
  </si>
  <si>
    <t>A Corrida de São Sebastião de Cajamar é um evento esportivo realizado no mês de janeiro em homenagem a São Sebastião, padroeiro do município, e integra a programação comemorativa da cidade. A prova reúne corredores de Cajamar e da região em um percurso pelas ruas do município, incentivando a prática esportiva e a participação da população. Além da competição, o evento contribui para a preservação das tradições locais e costuma estar associado a ações solidárias, como a arrecadação de alimentos</t>
  </si>
  <si>
    <t>Ginásio Poliesportivo Lamartine de Paula Lima -  Av. Prof. Walter Ribas de Andrade, nº 300, Centro, Cajamar – SP, 07750-000.</t>
  </si>
  <si>
    <t xml:space="preserve">Prefeitura Municipal de Cajamar - Secretaria Municipal de Esportes e Lazer </t>
  </si>
  <si>
    <t>esportes@cajamar.sp.gov.br</t>
  </si>
  <si>
    <t>Carnaval de Itararé (Folia de Carnaval de Rua)</t>
  </si>
  <si>
    <t>O Carnaval de Itararé (SP) é uma das principais manifestações culturais e turísticas do município, caracterizado por ser um carnaval popular, gratuito e familiar. Realizado tradicionalmente na área central da cidade, reúne blocos carnavalescos, shows musicais, apresentações de samba e axé, além de matinês voltadas ao público infantil.
O evento atrai moradores e visitantes de cidades vizinhas, movimentando o comércio, a rede de alimentação e os serviços locais. Nos últimos anos, o carnaval tem se destacado pela organização pública, reforço na segurança e, em algumas edições, pela presença de atrações regionais e escolas de samba convidadas, o que amplia sua visibilidade no Sudoeste Paulista.
Além do aspecto festivo, o Carnaval de Itararé tem papel relevante na economia local e no calendário turístico, consolidando-se como o maior evento popular anual da cidade.</t>
  </si>
  <si>
    <t>Praça Francisco Alves Negrão (São Pedro) e entorno</t>
  </si>
  <si>
    <t>Prefeitura Municipal de Itarare</t>
  </si>
  <si>
    <t>turismo@itarare.sp.gov.br</t>
  </si>
  <si>
    <t>PIRAJU</t>
  </si>
  <si>
    <t>Aniversário do Municipio</t>
  </si>
  <si>
    <t>Evento em comemoração ao santo padroeiro do municipio, realizado na praça central, com Banda Show, praça de alimentação e artesanato.</t>
  </si>
  <si>
    <t>Praça Ataliba Leonel</t>
  </si>
  <si>
    <t>detur@estanciadepiraju.sp.gov.br</t>
  </si>
  <si>
    <t>Festa Junina Cruz das Almas</t>
  </si>
  <si>
    <t xml:space="preserve">A Festa Junina do Bairro Cruz das Almas é uma tradição anual, realizada na Praça Izabel de Moura Silva, com o propósito de celebrar santos católicos. Essa festa popular oferece muita animação, com comidas típicas, músicas ao vivo e danças tradicionais, tudo pensado para proporcionar lazer, diversão e momentos de confraternização para toda a comunidade e visitantes. </t>
  </si>
  <si>
    <t>Praça Izabel de Moura Silva, sn - Cruz das Almas</t>
  </si>
  <si>
    <t>Associação de Moradores do Bairro Cruz das Almas</t>
  </si>
  <si>
    <t>LINDÓIA</t>
  </si>
  <si>
    <t xml:space="preserve">CARNAVAL  </t>
  </si>
  <si>
    <t xml:space="preserve">CARNAVAL  LINDOIA 2026  - TERRA DAS ÁGUAS </t>
  </si>
  <si>
    <t>Avenida 31 de março</t>
  </si>
  <si>
    <t>lindoia.sp.gov.br</t>
  </si>
  <si>
    <t xml:space="preserve">Prefeitura de Lindoia </t>
  </si>
  <si>
    <t>turismo@lindoia.sp.gov.br</t>
  </si>
  <si>
    <t>Piraber</t>
  </si>
  <si>
    <t>Festival de Cerveja Artesanal acontece no Parque da Rua do Porto, com entrada gratuita. O evento reúne 16 cervejarias artesanais, drinkeria, praça de alimentação com diversos estabelecimentos gastronômicos da cidade, além de produtores rurais locais com o selo Selapir. Durante os três dias, o público poderá aproveitar uma programação musical variada, em um espaço amplo, ao ar livre, pensado para oferecer lazer, gastronomia e cultura tanto para moradores quanto para turistas.</t>
  </si>
  <si>
    <t>Parque João Hermann Neto (Parque da Rua do Porto)</t>
  </si>
  <si>
    <t xml:space="preserve">Prefeitura de Piracicaba, por meio da Secretaria Municipal de Desenvolvimento, Trabalho e Turismo (Semdettur). </t>
  </si>
  <si>
    <t xml:space="preserve">Pedala Pira </t>
  </si>
  <si>
    <t>Passeio ciclístico gratuito tendo12 km, passando por diversos pontos turísticos da cidade, e contará com atrações musicais, sorteios e food trucks. O evento é aberto a toda a família, une atividade física, turismo e ação social, e terá arrecadação de óleo para o Fundo Social de Solidariedade.</t>
  </si>
  <si>
    <t>Parque do Engenho Central: Avenida Dr. Maurice Allain, 454.</t>
  </si>
  <si>
    <t>Prefeitura de Piracicaba, através da Diretoria de Turismo (Semdettur)</t>
  </si>
  <si>
    <t xml:space="preserve"> Réveillon no Engenho Central, com entrada gratuita. O evento pensado para receber o público com estrutura organizada, praça de alimentação, acesso controlado e medidas de segurança, proporcionando um ambiente acolhedor e seguro para celebrar a chegada do Ano-Novo em um dos principais pontos turísticos da cidade.</t>
  </si>
  <si>
    <t>Prefeitura Municipal de Piracicaba, através da Secretaria de Cultura, com o apoio da Secretaria de Turismo</t>
  </si>
  <si>
    <t>PIEDADE</t>
  </si>
  <si>
    <t>Veredas da Mata Atlântica</t>
  </si>
  <si>
    <t>Festival Beneficente de Orquídeas</t>
  </si>
  <si>
    <t>Apresentação e ofertas de orquídeas e mudas</t>
  </si>
  <si>
    <t>Parque Ecológico Municipal "Collemar de Miranda Botto"</t>
  </si>
  <si>
    <t>Círculo Piedadesnse de Orquidófilos</t>
  </si>
  <si>
    <t>turismo@piedade.sp.gov.br</t>
  </si>
  <si>
    <t>Festival Junino de Piracicaba</t>
  </si>
  <si>
    <t>O Festival Junino de Piracicaba  com entrada gratuita, celebrando a cultura popular por meio da música, dança e gastronomia típica. Realizado pela Prefeitura, o evento é voltado para toda a família e conta com praça de alimentação, estrutura de acessibilidade, espaços temáticos, feira de artesanato e atividades que valorizam as tradições das festas de São João.</t>
  </si>
  <si>
    <t>Engenho Central, localizado na Avenida Doutor Maurice Allain, 454, Vila Rezende</t>
  </si>
  <si>
    <t>Secretaria Municipal de Cultura (Semac) em parceria com o Centro de Tradições Nordestinas (CTN)</t>
  </si>
  <si>
    <t xml:space="preserve">Festival Nordestino </t>
  </si>
  <si>
    <t>O Encontro Nordestino de Piracicaba acontece no Engenho Central, com entrada gratuita, celebrando a cultura e a gastronomia nordestina. Realizado pelo CTN em parceria com a Prefeitura de Piracicaba, o festival reúne culinária típica, manifestações culturais e ações de inclusão, como o Espaço Acolhedor para pessoas com TEA, fortalecendo o turismo local e valorizando as tradições do Nordeste em um dos principais espaços culturais da cidade.</t>
  </si>
  <si>
    <t xml:space="preserve"> CTN (Centro de Tradições Nordestinas de Piracicaba), em parceria com a Prefeitura de Piracicaba, por meio da Secretaria Municipal de Turismo e da Secretaria Municipal de Cultura.</t>
  </si>
  <si>
    <t>11ª Festa do Milho</t>
  </si>
  <si>
    <t>Apresentação e divulgação de produtos originados do milho de Piedade</t>
  </si>
  <si>
    <t>Pátio do Divino</t>
  </si>
  <si>
    <t>Basílica Menor Nsa. Sra. da Piedade</t>
  </si>
  <si>
    <t>Festival Curau</t>
  </si>
  <si>
    <t>O Festival Curau acontece no Engenho Central, com programação gratuita. O evento propõe o encontro entre cultura popular e expressões contemporâneas, reunindo música, vivências culturais e feira criativa e gastronômica. Realizado pelo Instituto Curau, com apoio da Prefeitura de Piracicaba, o festival valoriza as tradições, promove diversidade artística e fortalece a identidade cultural do território às margens do rio Piracicaba.</t>
  </si>
  <si>
    <t>Avenida Dr. Maurice Allain, 454</t>
  </si>
  <si>
    <t>Instituto Curau</t>
  </si>
  <si>
    <t>festivalcurau@gmail.com</t>
  </si>
  <si>
    <t>Folia na Praça</t>
  </si>
  <si>
    <t>Shows com bandas carnavalescas, desfile das escolas de samba, praça de alimentação, feria de artesanato.</t>
  </si>
  <si>
    <t>Prefeitura da Estancia Turistica de Piraju</t>
  </si>
  <si>
    <t>Encantos de Natal</t>
  </si>
  <si>
    <t>Encantos de Natal marca o início das celebrações natalinas em Piracicaba no Engenho Central e na passarela Pênsil. Com entrada gratuita, o evento reúne decoração temática iluminada, espetáculos culturais e atividades voltadas para toda a família, criando um ambiente de convivência, afeto e encantamento. A programação segue até o fim do mês, fortalecendo o clima natalino em um dos espaços mais simbólicos da cidade.</t>
  </si>
  <si>
    <t>Engenho Central (avenida Dr. Maurice Allain, 454)</t>
  </si>
  <si>
    <t>Prefeitura Municipal, através das secretarias de Turismo e Cultura</t>
  </si>
  <si>
    <t>SÃO PAULO</t>
  </si>
  <si>
    <t>Capital</t>
  </si>
  <si>
    <t>FESTIVAL APAS SHOW 2026</t>
  </si>
  <si>
    <t>Reconhecida como o maior evento de alimentos e bebidas das Américas e o maior festival supermercadista do mundo, a APAS SHOW 2026 reúne em São Paulo os principais líderes, indústrias, varejistas e especialistas do setor para quatro dias de negócios, networking e conhecimento.
Mais do que uma feira, a APAS SHOW é um ecossistema completo de inovação, onde tendências, tecnologias e experiências de consumo se encontram para transformar o mercado.
Marcas apresentam lançamentos, profissionais trocam conhecimento e parcerias estratégicas são construídas para fortalecer toda a cadeia produtiva do varejo alimentar.
O Congresso APAS SHOW 2026 contará com especialistas nacionais e internacionais, que trarão conteúdos exclusivos sobre transformação digital, comportamento do consumidor, sustentabilidade, gestão e liderança no varejo moderno.
Além da feira de negócios e congresso, o festival conta com painéis, experiências e programação institucional, incluindo a tradicional Solenidade de Abertura com autoridades dos Poderes da República.</t>
  </si>
  <si>
    <t>Rua José Bernardo Pinto, 333 – Vila Guilherme – São Paulo/SP</t>
  </si>
  <si>
    <t>https://apasshow.com/</t>
  </si>
  <si>
    <t>Associação Paulista de Supermercados – APAS</t>
  </si>
  <si>
    <t>https://apas.easyexpo.com.br/apasshow/26/credenciamento?idioma=PT</t>
  </si>
  <si>
    <t>apas@apas.com.br</t>
  </si>
  <si>
    <t>Atendimento em Línguas de Sinais, Rampa, Elevador, Braille, Banheiro Acessível, Portas Largas para PCR (Pessoa com cadeira de rodas), Outro:</t>
  </si>
  <si>
    <t>Festa Popular</t>
  </si>
  <si>
    <t>Praça da Rodoviária</t>
  </si>
  <si>
    <t>Prefeitura Municipal de Piedade</t>
  </si>
  <si>
    <t>GUARATINGUETÁ</t>
  </si>
  <si>
    <t>Carnaval 2026 Guaratinguetá</t>
  </si>
  <si>
    <t>O Carnaval 2026 em Guaratinguetá promete muita animação com eventos para toda a família, a cidade se prepara para receber foliões de todas as idades com uma programação especial;
"Festival de Marchinhas" "Samba e Seresta" "Banda Mole" "Blocos de embalo"
 " Carna Centro" "Desfiles das Escolas de Samba"
Confira a programação:
8° Festival de Marchinhas 2026
O Festival tem como objetivo fortalecer e divulgar a tradição das marchinhas de carnaval e incentivar a criatividade dos compositores.
Local: Praça Conselheiro Rodrigues Alves
19h | 16 de janeiro ( Sexta -Feira ) - Primeira eliminatória
17h | 17 de janeiro ( Sábado ) - Segunda eliminatória
17h | 18 de janeiro (Domingo) - Final
Samba &amp; Seresta 
19h | 23 de Janeiro ( Sexta - Feira )
19h | 24 de Janeiro ( Sábado )
Local: Praça Conselheiro Rodrigues Alves
Banda Mole - 14 de Fevereiro (Sábado)
17h | Local da concentração: Rua Doutor Martiniano (em frente ao Mercado Municipal)
Blocos de Embalo –  15 de Fevereiro  (Domingo)
Local: Avenida Presidente Vargas
17h | Bloco da Lata
20h | Bloco Pitbull x Poodle
21h | Bloco Balako Bako
22h | Bloco do Quintal do Nandão
23h | Bloco Enverga + Não Quebra
00h | Bloco Me Viu Mentiu
Blocos de Embalo –  16 de Fevereiro (Segunda-feira)
Local: Avenida Presidente Vargas
17h | Bloco Lelé da Cuíca
20h | Bloco Afoxé
21h | Bloco Imperador do Samba
22h | Bloco Coringão do Vale
23h | Bloco Fafá Folia
Desfiles das Escolas de Samba - 17 de Fevereiro ( Terça-Feira)
 20h | Local: Avenida Presidente Vargas
Ordem dos desfiles:
1 - Beira Rio da Nova Guará
2 - Acadêmicos do Campo do Galvão
3 - Bonecos Cobiçados
4 - Mocidade Alegre do Pedregulho
5 - Unidos da Tamandaré (ou Tamandaré)
6 - Embaixada do Morro 
Carnacentro
Para quem quer curtir a folia no centro da cidade!
14 de Fevereiro das 10h as 13h ( Sábado )
15 de Fevereiro das 10h as 13h ( Domingo)
16 de Fevereiro das 10h as 13h ( Segunda )
Local: Praça Conselheiro Rodrigues Alves</t>
  </si>
  <si>
    <t>Centro de Guaratinguetá e Avenida do Carnaval</t>
  </si>
  <si>
    <t>https://guaratingueta.sp.gov.br/</t>
  </si>
  <si>
    <t>Prefeitura Municipal de Guaratinguetá e OESG</t>
  </si>
  <si>
    <t>turismo@guaratingueta.sp.gov.br</t>
  </si>
  <si>
    <t>SANTO ANDRÉ</t>
  </si>
  <si>
    <t>ABCTur - Roteiro da Natureza e da Indústria</t>
  </si>
  <si>
    <t>Feira da Fraternidade</t>
  </si>
  <si>
    <t>Feira beneficente realizada em parceria da prefeitura com entidades filantrópicas, realizada no estacionamento do Paço Municipal como parte das celebrações do aniversário da cidade (8 de abril) - O cardápio das barracas é inspirado na culinária de diversos países como Alemanha, Argentina, Brasil, China, Coréia do Sul, Espanha, Estados Unidos, França, Israel, Itália, Japão, Mongólia, Suíça, Uruguai, além de comida árabe, entre outros. O estacionamento do Paço Municipal é equipado com banheiros, fraldário, posto médico,
espaço kids, espaço pet e tenda coberta com capacidade para 1,2 mil pessoas. A programação costuma incluir shows de artistas nacionais e regionais, apresentações de DJs.</t>
  </si>
  <si>
    <t>Praça IV Centenário, 01, Centro - Paço Municipal de Santo André</t>
  </si>
  <si>
    <t>www.santoandre473anos.com.br</t>
  </si>
  <si>
    <t>Prefeitura de Santo André/ Secretaria de Cerimonial, Lazer e Gestão de Eventos</t>
  </si>
  <si>
    <t xml:space="preserve">turismo@santoandre.sp.gov.br </t>
  </si>
  <si>
    <t xml:space="preserve">Festival Sabores da Cidade </t>
  </si>
  <si>
    <t>O festival funciona como um circuito gastronômico, onde os restaurantes, bares, lanchonetes e sorveterias participantes oferecem descontos especiais em seus próprios estabelecimentos. O evento tem como objetivo valorizar a gastronomia da região, impulsionar a economia local e gerar empregos e renda
A edição de 2025 contou com 206 estabelecimentos participantes.</t>
  </si>
  <si>
    <t>Nos estabelecimentos participantes na cidade de Santo André</t>
  </si>
  <si>
    <t>acesse.santoandre.br/FestivalSabores</t>
  </si>
  <si>
    <t>Prefeitura de Santo André em parceria com restaurantes cadastrados, empresas patrocinadoras, sindicatos e associações ligadas ao Trade do turismo.</t>
  </si>
  <si>
    <t>Arraial Solidário</t>
  </si>
  <si>
    <t>É uma festa junina beneficiente anual no Paço Municipal que une solidariedade, cultura e diversão, com shows de artistas renomados, barracas de comidas típicas, brincadeiras (pescaria, touro mecânico), bingo beneficente e atividades infantis, sendo um evento colaborativo entre poder público e sociedade para ajudar quem precisa na cidade. A entrada é doação de alimentos ou agasalho Toda a arrecadação é encaminhada ao Banco de Alimentos do Fundo Social de Solidariedade, que conta com entidades assistenciais parceiras e mensalmente auxilia milhares de pessoas em situação de vulnerabilidade em Santo André</t>
  </si>
  <si>
    <t xml:space="preserve">Praça IV Centenário, 01, Centro - Paço Municipal de Santo André </t>
  </si>
  <si>
    <t>www.arraialsolidariosantoandre.com.br</t>
  </si>
  <si>
    <t>Prefeitura de Santo André / Secretaria de Cerimonial, Lazer e Gestão de Eventos</t>
  </si>
  <si>
    <t>turismo@santoandre.sp.gov.br</t>
  </si>
  <si>
    <t>20º Colha e Pague do Kaki Fuyu</t>
  </si>
  <si>
    <t>O turista tem a oportunidade de colher o produto que desejar adquirir</t>
  </si>
  <si>
    <t>Sítio da Família Sakaguiti</t>
  </si>
  <si>
    <t>Sítio da Família Sakaguti</t>
  </si>
  <si>
    <t>FESTA TANABATA MATSURI</t>
  </si>
  <si>
    <t>Tanabata Matsuri, ou simplesmente Tanabata, é uma comemoração japonesa, derivada da tradição chinesa QiXi, que ocorre na sétima noite do sétimo mês do ano, é realizada pela Sociedade Cultural ABC Bunka de Santo André.</t>
  </si>
  <si>
    <t>Rua Santo André, 661, Vila Assunção</t>
  </si>
  <si>
    <t>https://bunkasantoandre.com.br/</t>
  </si>
  <si>
    <t>Sociedade Cultural ABC Bunka de Santo André.</t>
  </si>
  <si>
    <t>contato@bunkasantoandre.com.br</t>
  </si>
  <si>
    <t>Sertanejo Sinfônico</t>
  </si>
  <si>
    <t>Execução de música raiz</t>
  </si>
  <si>
    <t>Parque Ecológico Municipal "Colemar de Miranda Botto"</t>
  </si>
  <si>
    <t>NOVO HORIZONTE</t>
  </si>
  <si>
    <t>Águas, Sabores e Saberes</t>
  </si>
  <si>
    <t>57ª Festa do Peão de Rodeio de Novo Horizonte</t>
  </si>
  <si>
    <t>O Rodeio de Novo Horizonte é uma das festas mais tradicionais do interior paulista, celebrado como uma grande Festa do Peão que combina a emoção das montarias em touros e cavalos com a música sertaneja, entretenimento e cultura caipira. Realizado anualmente no Recinto de Exposições “Ulysses Guimarães”, o evento reúne competidores de alto nível, peões e peoas de diferentes regiões, além de um público apaixonado que vibra com cada prova e disputa durante vários dias de programação. Essa festa, que atravessa gerações desde 1967, se tornou um verdadeiro ponto de encontro cultural, celebrando a tradição do campo, a coragem dos participantes e o espírito festivo do interior de São Paulo.</t>
  </si>
  <si>
    <t xml:space="preserve"> Lei nº 13.366, de 15/01/2009 </t>
  </si>
  <si>
    <t>Rua Paulo Kojoroski, nº 180 - Bairro Estiva (Recinto de Exposições Dr. Ulysses Guimarães)</t>
  </si>
  <si>
    <t>Prefeitura Municipal de Novo Horizonte</t>
  </si>
  <si>
    <t>turismo@novohorizonte.sp.gov.br</t>
  </si>
  <si>
    <t>6º Sonho de Natal Iluminado</t>
  </si>
  <si>
    <t>O Natal Iluminado de Novo Horizonte é uma festa natalina que transforma a cidade em um cenário encantador, repleto de decorações e luzes temáticas, apresentações culturais, música, atrações para crianças e momentos de convivência em família, sempre com o clima mágico típico da época. O evento costuma incluir a chegada do Papai Noel, espetáculos com companhias artísticas, brinquedos e atrações gratuitas que encantam moradores e visitantes, celebrando o espírito de Natal com alegria e tradição no coração da cidade.</t>
  </si>
  <si>
    <t>Praça Dr. Euclydes Cardoso Castilho, s/n - Centro.</t>
  </si>
  <si>
    <t>Atendimento em Línguas de Sinais, Banheiro Acessível</t>
  </si>
  <si>
    <t>Réveillon 2027</t>
  </si>
  <si>
    <t>O Réveillon de Novo Horizonte é a celebração do Ano Novo na cidade, marcada por um clima de confraternização com a comunidade e visitantes, geralmente realizada na noite de 31 de dezembro com programação festiva, que pode incluir música ao vivo, onde na última edição foi realizado na Lagoa Municipal, juntamente com a tradicional contagem regressiva com fogo de artifício ao atingir a meia-noite, celebrando a chegada de um novo ciclo com alegria e otimismo. Essa festa segue o espírito brasileiro de recepção do novo ano, que mistura encontros entre amigos e familiares, música e boas vibrações para o ano que começa.</t>
  </si>
  <si>
    <t>Rua José Alves de Oliveira, s/n - Jardim Itapuã (Parque Ecológico Walter de Biasi Filho).</t>
  </si>
  <si>
    <t>Prefeitura de Novo Horizonte</t>
  </si>
  <si>
    <t>2º Juninão de Novo Horizonte</t>
  </si>
  <si>
    <t>A Festa Junina de Novo Horizonte encontra-se em sua 2ª edição e, já em 2025, registrou grande adesão do público local e de toda a região, consolidando-se como um evento promissor no calendário cultural do município. Diante do sucesso alcançado e da receptividade do público, a expectativa para 2026 é de um evento ainda maior, com ampliação da programação e previsão de público superior, fortalecendo-se como uma importante celebração das tradições juninas e de integração regional. Trata-se de um evento popular que celebra as tradições culturais do interior, reunindo a comunidade em um ambiente familiar e acolhedor, marcado por decoração típica, músicas tradicionais, danças como a quadrilha, além de uma variada praça de alimentação com comidas típicas.</t>
  </si>
  <si>
    <t>Praça 09 de Julho, s/n - Centro.</t>
  </si>
  <si>
    <t>4º NH FOLIA</t>
  </si>
  <si>
    <t>O NH Folia é o Carnaval de Novo Horizonte, consolidado como um evento popular que reúne moradores e visitantes em uma programação festiva, marcada por música, alegria e integração social. Realizado em espaço público, o evento conta com atrações musicais, estrutura organizada e ambiente familiar, promovendo lazer, valorização cultural e movimentação turística, fortalecendo o calendário de eventos do município.</t>
  </si>
  <si>
    <t>turismo@novohorizonte.spg.gov.br</t>
  </si>
  <si>
    <t>CAIEIRAS</t>
  </si>
  <si>
    <t>Bloco do Renatão</t>
  </si>
  <si>
    <t>O Bloco do Renatão é um tradicional bloco de carnaval de rua que acontece anualmente na cidade de Caieiras (SP), reunindo foliões de várias idades para celebrar o Carnaval com música, alegria e tradição. 
Ele foi criado em 2010 como homenagem ao músico Renato Massinelli (“Seu Renato”), figura querida na comunidade local, e ao longo dos anos se consolidou como uma das festas populares mais importantes do calendário carnavalesco da cidade. 
O evento é marcado por um desfile animado pelas ruas, com marchinhas e repertório instrumental que resgata a essência do carnaval de rua tradicional, além de ser acessível e familiar. 
Em edições recentes, o bloco também incorpora ações sociais, como a troca de abadás por alimentos não perecíveis, beneficiando famílias e instituições locais. 
Fala Regional
Resumindo, o Bloco do Renatão é uma festa popular que combina folia, memória cultural e solidariedade, celebrando a cultura carnavalesca e fortalecendo os vínculos na comunidade de Caieiras. Tem inicio na rua 14 de Dezembro e termina na Av. dos Estudantes, onde ficam tocando marchinhas, enquanto os foliões podem aproveitam a feira gastronômica montada no local também.</t>
  </si>
  <si>
    <t>Av. dos estudantes, Caieiras, SP</t>
  </si>
  <si>
    <t>https://www.instagram.com/blocodorenatao/</t>
  </si>
  <si>
    <t>cultura.turismo@caieiras.sp.gov.br</t>
  </si>
  <si>
    <t>O evento mobiliza expositores de diversas cidades do estado</t>
  </si>
  <si>
    <t>Lei 17.783 de 02/10/2023</t>
  </si>
  <si>
    <t>Praça da Matriz</t>
  </si>
  <si>
    <t>Ronco Automóvel Clube</t>
  </si>
  <si>
    <t>Festa de São Pedro de Itararé</t>
  </si>
  <si>
    <t>A Festa de São Pedro de Itararé é um evento tradicional e muito querido pela comunidade, promovido pela Prefeitura Municipal em parceria com a Paróquia Nossa Senhora da Conceição e outras entidades locais. Ela faz parte das celebrações juninas em homenagem ao santo padroeiro São Pedro, ocorrendo geralmente na segunda quinzena de junho, com programação que pode se estender até o fim do mês.</t>
  </si>
  <si>
    <t>Praça Francisco Alves Negrão (Praça São Pedro) — centro de Itararé/SP</t>
  </si>
  <si>
    <t>Prefeitura Municipal em parceria com a Paróquia Nossa Senhora da Conceição e outras entidades locais.</t>
  </si>
  <si>
    <t>Festa do Milho Verde de Itararé</t>
  </si>
  <si>
    <t>A Festa do Milho Verde é um evento tradicional de Itararé, organizado pela Associação de Moradores da Vila Santa Terezinha, no mês de maio, com barracas de comidas típicas à base de milho e atrações culturais e musicais. A entrada costuma ser franca e a festa integra o calendário oficial do município.</t>
  </si>
  <si>
    <t>Rua Cristiano Marques Bonilha, 141 – Vila Santa Terezinha, Itararé – SP</t>
  </si>
  <si>
    <t>Associação de Moradores da Vila Santa Terezinha com apoio da prefeitura de itararé</t>
  </si>
  <si>
    <t>Natal Solidário</t>
  </si>
  <si>
    <t xml:space="preserve">O Natal Solidário de Santo André é uma iniciativa que visa promover a solidariedade e o espírito natalino na cidade. Além de muitas atrações artísticas, tradicional apresentação da Orquestra Sinfônica de Santo André, atividades de lazer e a Feira do Natal Solidário, com
temas ligados ao Natal, o evento também conta com arrecadação de alimentos e brinquedos para serem doados. Atrações musicais de ritmos variados nos dias da feira, e
especial chegada do Papai Noel. Praça de alimentação e fábrica do Papai Noel no espelho d’água do Paço Municipal; Vila de Natal e a Casa do Papai Noel; túnel de luzes em frente ao Parque Central e outras vias enfeitadas.   </t>
  </si>
  <si>
    <t>https://www.santoandrenatalsolidario.com.br</t>
  </si>
  <si>
    <t>Festival de Flores de Santo André</t>
  </si>
  <si>
    <t>O evento tradicional reúne expositores de orquídeas e flores de Santo André e várias cidades que vendem os seus produtos durante o evento. Realizado em parceria com a Sociedade Orquidófila de Santo André (SOSA).  Entrada Gratuita</t>
  </si>
  <si>
    <t>Parque Prefeito Celso Daniel, Avenida Dom Pedro II, 940, Bairro Jardim, Santo André.</t>
  </si>
  <si>
    <t xml:space="preserve">Secretaria de cultura em parceria com a Sociedade Orquidófila de Santo André </t>
  </si>
  <si>
    <t>Culturaz@santoandre.sp.gov.br</t>
  </si>
  <si>
    <t>186º Aniversário da Cidade</t>
  </si>
  <si>
    <t>Aniversário da fundação da cidade de Piedade</t>
  </si>
  <si>
    <t>CARNAVAL DE PARANAPIACABA</t>
  </si>
  <si>
    <t>O carnaval na Vila de Paranapiacaba preserva a tradição das antigas marchinhas e blocos de rua, têm quatro dias de folia. É um evento tradicional do ABC Paulista que oferece uma experiência de folia única, com várias atrações como Blocos e apresentações de banda carnavalesca com a beleza natural e a arquitetura histórica da vila ferroviária.</t>
  </si>
  <si>
    <t>Vila de Paranapiacaba - Santo André</t>
  </si>
  <si>
    <t>www3.santoandre.sp.gov.br/turismosantoandre/</t>
  </si>
  <si>
    <t>Subprefeitura de Paranapiacaba e Parque Andreense em parceria com Trade de Turismo de Paranapiacaba</t>
  </si>
  <si>
    <t>Rock no Parque</t>
  </si>
  <si>
    <t>Show de Rock</t>
  </si>
  <si>
    <t>Parque Ecológico Municipal "Collemar de Miranda Botto</t>
  </si>
  <si>
    <t xml:space="preserve">Festival de Cambuci </t>
  </si>
  <si>
    <t>Festival gastronômico que tem como base o fruto do cambuci, típico da Mata Atlântica, oferece a feira de produtos com cambuci no antigo mercado, oficinas de gastronomia, receitas à base de cambuci, além de várias atrações culturais e musicais. Todos os finais de semana de Abril e feriados.</t>
  </si>
  <si>
    <t>Vila de Paranapiacaba - Santo André especialmente no  Antigo Mercado – Av. Campos Salles, 462, Parte Baixa – Paranapiacaba – Santo André, SP</t>
  </si>
  <si>
    <t>Subprefeitura de Paranapiacaba e Parque Andreense em parceria com Associação Caminhos do Cambuci</t>
  </si>
  <si>
    <t>CONVENÇÃO DE MAGOS E BRUXAS DE PARANAPIACABA</t>
  </si>
  <si>
    <t xml:space="preserve">Evento aberto a todas as manifestações culturais e esotéricas, que ocorre na vila histórica de Paranapiacaba, reunindo muitos de fãs de magia, espiritualidade e ocultismo para um fim de semana de atividades como feiras místicas, palestras, rituais, danças, meditações e performances artísticas, com o objetivo de desmistificar a bruxaria e celebrar a ancestralidade, a natureza e a diversidade cultural. </t>
  </si>
  <si>
    <t>https://www.convencaodebruxas.com.br/</t>
  </si>
  <si>
    <t>Casa de Bruxa - Universidade Livre holística</t>
  </si>
  <si>
    <t>www.convencaodebruxas.com.br</t>
  </si>
  <si>
    <t>gori@casadebruxa.com.br</t>
  </si>
  <si>
    <t>Festival de Inverno de Paranapiacaba</t>
  </si>
  <si>
    <t>O Festival transforma a vila histórica em um grande palco de arte, cultura e gastronomia nos fins de semana de julho com Música, mostras de filmes, performances teatrais,
exposições que a aquecem o inverno na Vila de Paranapiacaba, num evento que ocupa todos os espaços e mostra a riqueza do patrimônio histórico e ambiental.</t>
  </si>
  <si>
    <t xml:space="preserve">Vila de Paranapiacaba - Santo André </t>
  </si>
  <si>
    <t>www3.santoandre.sp.gov.br/fip/</t>
  </si>
  <si>
    <t xml:space="preserve">Subprefeitura de Paranapiacaba e Parque Andreense em parceria com outras secretarias </t>
  </si>
  <si>
    <t>FESTIVAL DE FOTOGRAFIA DE PARANAPIACABA</t>
  </si>
  <si>
    <t>O Festival de Fotografia de Paranapiacaba (FFP) é pautado nas questões relacionadas à educação, direitos humanos e ao meio ambiente, usando a fotografia como ferramenta da alfabetização visual e se aproximando de outros assuntos relevantes para a sociedade, como a sustentabilidade, a memória e o patrimônio.</t>
  </si>
  <si>
    <t>https://www.ffparanapiacaba.com.br/</t>
  </si>
  <si>
    <t>Equipe Festival de Fotografia com direção de João Kulcsár</t>
  </si>
  <si>
    <t>ffparanapiacaba@gmail.com</t>
  </si>
  <si>
    <t>7ª Exposição Nacional de Orquídeas</t>
  </si>
  <si>
    <t>Exposição e vendas de produtos originados de Piedade</t>
  </si>
  <si>
    <t>Ginásio Municipal de Esportes</t>
  </si>
  <si>
    <t>36ª Festa do Lavrador e do Motorista de Piedade</t>
  </si>
  <si>
    <t>Evento de tratorada e exposição de produtos</t>
  </si>
  <si>
    <t>Saída da Rua Benjamin Silveira de Godoy, 200</t>
  </si>
  <si>
    <t>Festa da Batata de Itararé</t>
  </si>
  <si>
    <t>A Festa da Batata de Itararé (SP) é um evento de grande porte, voltado para a valorização da produção agrícola local, com destaque especial para a batata, um dos produtos mais tradicionais da região. Realizada em parceria entre a Prefeitura e associações de produtores, a festa reúne produtores rurais, comerciantes, artistas locais e visitantes, promovendo a integração entre agricultura, cultura e turismo. O evento tem como objetivos principais divulgar a produção local, incentivar a economia rural, fortalecer a agricultura familiar e promover o turismo regional. Além da exposição de produtos agrícolas, a festa oferece barracas de comidas típicas e pratos à base de batata, apresentações culturais, shows musicais e atividades educativas voltadas à produção rural. A edição de 2026 está programada para os dias 24, 25 e 26 de janeiro, geralmente com três dias de atividades concentradas no fim de semana, no Centro de Eventos de Itararé. Com sua combinação de gastronomia, cultura e lazer, a Festa da Batata se consolida como um dos principais eventos turísticos da cidade, atraindo público regional e promovendo a tradição agrícola local.</t>
  </si>
  <si>
    <t>Centro de Eventos de Itararé</t>
  </si>
  <si>
    <t>https://itarare.sp.gov.br/</t>
  </si>
  <si>
    <t>Prefeitura e associações de produtores</t>
  </si>
  <si>
    <t>164ª Festa da Padroeira</t>
  </si>
  <si>
    <t>Festa Religiosa</t>
  </si>
  <si>
    <t>Paróquia N. S. de Piedade</t>
  </si>
  <si>
    <t>52ª Aniversário de História Bon Odori</t>
  </si>
  <si>
    <t>Tradicional festa japonesa</t>
  </si>
  <si>
    <t>Ginásio Municipal de esportes</t>
  </si>
  <si>
    <t>KAIKAN - Associação Cultural e Esportiva de Piedade</t>
  </si>
  <si>
    <t>Festa do Peão de Itararé (FAPI)</t>
  </si>
  <si>
    <t>A Festa do Peão de Itararé é um dos principais eventos turísticos e culturais do município, realizada tradicionalmente no mês de agosto, em comemoração ao aniversário da cidade. O evento reúne rodeio profissional, provas equestres, shows musicais e atrações culturais, valorizando a cultura sertaneja e as tradições rurais da região. Realizada em recinto próprio, a festa atrai milhares de visitantes de Itararé e de cidades vizinhas, movimentando a economia local e fortalecendo o turismo regional.</t>
  </si>
  <si>
    <t>Associação de Rodeio do Sudoeste Paulista (ARSP) com apoio da Prefeitura Municipal de Itararé</t>
  </si>
  <si>
    <t>Semana da Consciência Negra</t>
  </si>
  <si>
    <t>Apresentação cultural</t>
  </si>
  <si>
    <t>CCD - Centro Cultural de Piedade</t>
  </si>
  <si>
    <t>Festival do Morango</t>
  </si>
  <si>
    <t>Apresentação do produto in natura e de diversas formas de processamento</t>
  </si>
  <si>
    <t>Sítio Jupati</t>
  </si>
  <si>
    <t>turismmo@piedade.sp.gov.br</t>
  </si>
  <si>
    <t>Desfile de Aniversário de Itararé – 28 de Agosto</t>
  </si>
  <si>
    <t>O Desfile de Aniversário de Itararé, realizado em 28 de agosto, é um evento cívico tradicional que celebra o aniversário do município. Reúne escolas, bandas marciais, entidades comunitárias e autoridades, atraindo moradores e visitantes da região. O desfile acontece no centro da cidade, promovendo cultura, história e identidade local, fortalecendo o turismo e o engajamento da comunidade.</t>
  </si>
  <si>
    <t>Rua São Pedro</t>
  </si>
  <si>
    <t>Prefeitura Municipal de Itararé</t>
  </si>
  <si>
    <t>Halloween de Paranapiacaba</t>
  </si>
  <si>
    <t>Evento que mistura a temática do Dia das Bruxas com muita música, gastronomia e diversão, na parte baixa da vila ferroviária. Entre as atrações estão a Casa do Terror, área kids, feira de artesanato e tenda de maquiagem temática.</t>
  </si>
  <si>
    <t xml:space="preserve">Subprefeitura de Paranapiacaba e Parque Andreense </t>
  </si>
  <si>
    <t>Comemoração do 9 de Julho – Revolução Constitucionalista de 1932</t>
  </si>
  <si>
    <t>A Comemoração do 9 de Julho em Itararé é um evento cívico e cultural que celebra a Revolução Constitucionalista de 1932. Realizado no Parque Ecológico da Barreira, local que foi palco de batalhas durante a Revolução, o evento reúne escolas, bandas marciais, entidades comunitárias e autoridades, promovendo desfile cívico, exposições históricas e atividades culturais. A programação fortalece a identidade local, incentiva o engajamento da comunidade e atrai visitantes da região, valorizando a história e cultura paulista.</t>
  </si>
  <si>
    <t>Rodovia Francisco Alves Negrão (SP‑258), nº 386 – Vila Jurandir, Itararé – SP, 18460‑000, Brasil</t>
  </si>
  <si>
    <t>Festival da Alcachofra</t>
  </si>
  <si>
    <t>Apresentação do produto in natura e diversas formas de processamento</t>
  </si>
  <si>
    <t>ACIP - Associação Comercial e Industrial de Piedade</t>
  </si>
  <si>
    <t>Festividades Natalinas</t>
  </si>
  <si>
    <t>Diversas apresentações e espetáculos natalinos</t>
  </si>
  <si>
    <t>Tropeada de Itararé</t>
  </si>
  <si>
    <t>A Tropeada Paulista Itararé–Sorocaba é um evento cultural e histórico que revive a tradição dos tropeiros que, entre os séculos XVIII e XIX, transportavam mercadorias a cavalo e com muares entre o sul do Brasil e a feira de Sorocaba (SP), percurso importante para o desenvolvimento regional. Partindo do Centro de Eventos de Itararé, a comitiva de centenas de cavaleiros segue por estradas rurais por cerca de 250 a 360 km, passando por cidades como Itaberá, Itapeva, Taquarivaí, Buri e Itapetininga até chegar a Sorocaba, onde o grupo participa de atividades e homenagens ligadas à cultura tropeira e à Semana do Tropeiro. O evento conta com bênção dos tropeiros antes da partida, encontros e recepções nos municípios pelo caminho e celebra a história, gastronomia e tradições do tropeirismo, atraindo participantes e visitantes de diversas regiões do país.</t>
  </si>
  <si>
    <t>Centro de Evento de itararé</t>
  </si>
  <si>
    <t>Prefeitura Municipal de Itararé – Coordenadoria de Cultura e Secretaria de Turismo, em parceria com a Associação dos Tropeiros e o Caminho Paulista das Tropas</t>
  </si>
  <si>
    <t>Corrida da Revolução – Itararé</t>
  </si>
  <si>
    <t>A Corrida da Revolução é uma prova pedestre de cerca de 6 km realizada no Parque Ecológico da Barreira, em Itararé (SP), na divisa com o Paraná, de modo que o percurso atravessa dois estados. Integrando as comemorações do Dia 9 de Julho, o evento reúne corredores de diferentes idades e cidades da região, celebrando a história da Revolução Constitucionalista de 1932 enquanto promove saúde, integração comunitária e valorização do patrimônio histórico local.</t>
  </si>
  <si>
    <t>Parque Ecologico da Barreira - Itararé</t>
  </si>
  <si>
    <t>Onsport (empresa organizadora de eventos esportivos), com apoio da Prefeitura Municipal de Itararé</t>
  </si>
  <si>
    <t>https://www.onsport.com.br</t>
  </si>
  <si>
    <t>Marcha para Jesus</t>
  </si>
  <si>
    <t>A Marcha para Jesus de Itararé é um evento religioso de grande participação popular, que reúne fiéis de diversas denominações evangélicas em uma caminhada pelas principais vias da cidade, com momentos de louvor, oração e apresentações musicais. Realizada anualmente, a Marcha atrai participantes de Itararé e da região, promovendo integração social, manifestação de fé e movimentação turística no município.</t>
  </si>
  <si>
    <t>Praça Coronel Jordão / Praça Francisco Alves Negrão – Centro, Itararé (SP)</t>
  </si>
  <si>
    <t xml:space="preserve">Associação dos Ministros Evangélicos de Itararé (AMEI) com apoio da Prefeitura </t>
  </si>
  <si>
    <t>turismo@itararé.sp.gov.br</t>
  </si>
  <si>
    <t>PRATÂNIA</t>
  </si>
  <si>
    <t xml:space="preserve">Festa do Padroeiro </t>
  </si>
  <si>
    <t xml:space="preserve">A Festa do Senhor Bom Jesus da Prata, padroeiro do município de Pratânia, acontece no primeiro fim de semana do mês de agosto, tendo seu ápice no dia 6, data em que a Igreja Católica, em seu calendário litúrgico, celebra a Solenidade da Transfiguração do Senhor, e é decretado o Feriado Municipal.
O evento também é conhecido como a tradicional Festa da Prata, pois, além da programação religiosa com missas especiais e procissão solene, uma extensa programação recreativa, que atrai milhares de pessoas durante os dias da festa, oferecendo diversas atrações como: feira gastronômica, feira de artesanato, show de prêmios, apresentações musicais, parque de diversão e o desfile cívico militar.
Diferentemente de outros municípios, que realizam seus desfiles cívicos em alusão à data do aniversário de emancipação político administrativa, Pratânia promove o evento para honrar seu Padroeiro, o Senhor Bom Jesus.
Em tempos idos, o lendário desfile cívico militar se tornou uma das principais atrações dentro da programação recreativa da Festa, pois, antes mesmo de Pratânia se tornar município, os cidadãos do Distrito da Prata já fortaleciam os laços de cidadania e respeito à história local, uma vez que, foi a devoção e a construção da primeira capela dedicada ao Senhor Bom Jesus que marcou definitivamente a fixação do homem na antiga Vila da Prata.
</t>
  </si>
  <si>
    <t>Praça Juca Vieira</t>
  </si>
  <si>
    <t>Paróquia Senhor Bom Jesus e Santa Marcelina</t>
  </si>
  <si>
    <t>turismo@pratania.sp.gov.br</t>
  </si>
  <si>
    <t>44ª Festa dos Povos</t>
  </si>
  <si>
    <t>A Paróquia Santa Teresa de Jesus no Itaim Bibi realiza sempre no terceiro final de semana do mês de outubro a Festa dos Povos, em homenagem à padroeira Santa teresa de  Jesus. Esse ano teremos a 44ª edição nos dias 17 e 18.
O evento, que faz parte do calendário oficial de festas da cidade de São Paulo ocorre na rua Clodomiro Amazonas, 50 –Itaim Bibi com entrada gratuita.
A festa tem como objetivo a convidar moradores do bairro ou não, de todas as
idades e receber todos com um belo sorriso e o exercício do amor.Ambos são ingredientes indispensáveis na elaboração dos deliciosos pratos típicos de diversos países e estados do Brasil.
No cardápio da festa estão comidas: mineira, paulista, baiana, gaúcha, portuguesa, americana, alemã, espanhola, havaiana, italiana, francesa, barraca das bebidas, bingo, brincadeiras, shows e muito mais. 
Toda equipe participante da festa é voluntária e toda a renda será revertida para as obras assistenciais da Paróquia. São elas: Farmácia São Camilo (remédios para pessoas necessitadas), Projeto Isidoro Bakanja (alimentação para moradores de rua), Projeto Laços Fortes (cestas básicas mensal e socialização de pessoas carentes), Casa de Acolhida Santa Teresinha em Mogi das Cruzes (recuperação para dependentes químicos) e o Projeto Missão Belém.</t>
  </si>
  <si>
    <t>Rua Clodomiro Amazonas,50</t>
  </si>
  <si>
    <t>@festapovositaim</t>
  </si>
  <si>
    <t>Paróquia Santa Teresa de Jesus</t>
  </si>
  <si>
    <t>festadospovosstj@gmail.com</t>
  </si>
  <si>
    <t>Banheiro Acessível, Portas Largas para PCR (Pessoa com cadeira de rodas), Outro:</t>
  </si>
  <si>
    <t>SANTA CRUZ DAS PALMEIRAS</t>
  </si>
  <si>
    <t>Carnaval "aqui tem borogodó"</t>
  </si>
  <si>
    <t>Aqui tem Borogodó" é o tema e o nome da campanha do Carnaval de Santa Cruz das Palmeiras. A frase se refere à programação de festa, desfiles de escolas de samba (Confraria do Samba, Unidos da Máfia) e blocos, trios elétricos, marchinhas e muita diversão, com eventos no Centro de Lazer e na Avenida 15 de Novembro, visando o melhor carnaval da região</t>
  </si>
  <si>
    <t>Localizado na Praça da Matriz</t>
  </si>
  <si>
    <t>Prefeitura Municipal de Santa Cruz Palmeiras</t>
  </si>
  <si>
    <t>turismo@scpalmeiras.sp.gov.br</t>
  </si>
  <si>
    <t>40ª Cavalgada</t>
  </si>
  <si>
    <t>A 40ª Cavalgada de Mira Estrela é um evento tradicional que reúne comitivas sertanejeiras do município, da região e até de outros estados, celebrando a cultura, a união e as raízes do homem do campo. Realizada geralmente no domingo que antecede o Mira Estrela Rodeio Show (Festa do Peão de Mira Estrela), a cavalgada marca oficialmente a abertura das festividades, promovendo integração, tradição e valorização do sertanejo, mantendo viva uma das manifestações culturais mais importantes do município.</t>
  </si>
  <si>
    <t>Recinto Napoleão Moura - Mira Estrela - SP</t>
  </si>
  <si>
    <t>Prefeitura Municipal de Mira Estrela</t>
  </si>
  <si>
    <t>turismo@miraestrela.sp.gov.br</t>
  </si>
  <si>
    <t>Mira Estrela Rodeio Show - 38ª Edição</t>
  </si>
  <si>
    <t>A 38ª edição do Mira Estrela Rodeio Show tem como finalidade a realização de tradicionais montarias em cavalos e touros, sendo um grande evento sertanejo e cultural. Realizado ao longo de três dias, o evento reúne competidores, comitivas e grande público, além de receber shows artísticos com diversos artistas, o que o torna o evento mais esperado do ano no município. Mais do que as montarias, o rodeio promove cultura, lazer e entretenimento, fortalece a identidade cultural local, valoriza as tradições do sertanejo e movimenta a economia do município e da região.</t>
  </si>
  <si>
    <t>turismo@miraestrela.sp.org.br</t>
  </si>
  <si>
    <t>Julinão</t>
  </si>
  <si>
    <t>O JULINÃO é um evento tradicional realizado no mês de julho, com duração de dois dias, celebrando a cultura das festas julinas e promovendo lazer, integração e entretenimento para toda a comunidade. A programação conta com diversas apresentações culturais, praça de alimentação típica, barracas com brincadeiras julinas, além da distribuição gratuita de pipoca e leite com achocolatado. Para encerrar a festa, o evento ainda oferece show artístico no último dia, fortalecendo as tradições populares e proporcionando momentos de confraternização para famílias e visitantes.</t>
  </si>
  <si>
    <t>Praça Cândido Brasil Estrela</t>
  </si>
  <si>
    <t>2º Jet Camping</t>
  </si>
  <si>
    <t>O 2º Jet Camping é um evento com o intuito de promover um encontro de jet ski (motos aquáticas), reunindo participantes e turistas que vêm prestigiar e vivenciar momentos de lazer e aventura. Realizado na Prainha de Mira Estrela, às margens do Rio Grande, o evento proporciona passeios e atividades com motos aquáticas, incentivando o turismo, a integração entre os participantes e a valorização dos atrativos naturais do município, além de movimentar a economia local e fortalecer Mira Estrela como destino turístico regional.</t>
  </si>
  <si>
    <t>Praia Fluvial de Mira Estrela</t>
  </si>
  <si>
    <t>PLATINA</t>
  </si>
  <si>
    <t>25ª Festa Junina de Platina</t>
  </si>
  <si>
    <t>É evento mais mais de 10 tipos de comidas típicas, totalmente distribuídas gratuitamente a população e turistas, além das apresentações das escolas municipais, show e muita cultura.</t>
  </si>
  <si>
    <t>Praça da Matriz Nossa Senhora do Carmo</t>
  </si>
  <si>
    <t>Prefeitura Municipal de Platina</t>
  </si>
  <si>
    <t>cultura@platina.sp.gov.br secretaria@platina.sp.gov.br</t>
  </si>
  <si>
    <t>Yume Matsuri - Comemoração do Aniversário de São Paulo</t>
  </si>
  <si>
    <t>Comemoração do Aniversário de São Paulo com apresentações de escolas de danças tradicionais multiculturais!</t>
  </si>
  <si>
    <t>Avenida Paulista, 900</t>
  </si>
  <si>
    <t>Yume Matsuri</t>
  </si>
  <si>
    <t>yume.matsuri25@gmail.com</t>
  </si>
  <si>
    <t>CAMPOS DO JORDÃO</t>
  </si>
  <si>
    <t>Prostate Run</t>
  </si>
  <si>
    <t>Prostate Run é um evento de conscientização para prevenção do câncer de Próstata. Corrida de 8km, caminhada de 3 km e caminhada para pessoas com deficiência de 3km. Esse evento está no calendário da cidade de Campos do Jordão, estamos na 7ª edição esse ano e é realizado sempre no último domingo do mês de novembro</t>
  </si>
  <si>
    <t>Parque Capivari em Campos do Jordão</t>
  </si>
  <si>
    <t>Prostate Run (instagram)</t>
  </si>
  <si>
    <t>Rotary Club de Campos do Jordão</t>
  </si>
  <si>
    <t>aulicinocosta@uol.com.br</t>
  </si>
  <si>
    <t>Atendimento em Línguas de Sinais, Banheiro Acessível, Outro:</t>
  </si>
  <si>
    <t>PONGAÍ</t>
  </si>
  <si>
    <t>Coração do Tietê</t>
  </si>
  <si>
    <t xml:space="preserve">Quermesse em Louvor a São José </t>
  </si>
  <si>
    <t xml:space="preserve">A quermesse em louvor a São José é uma celebração popular e religiosa em nossa região. Ela acontecer em nosso município no mês de março, período em que a Igreja celebra o dia de São José (19 de março), santo conhecido como padroeiro das famílias, dos trabalhadores e da Igreja.
Essa quermesse une fé, cultura e convivência comunitária. Do ponto de vista religioso, é um momento de agradecimento e devoção, com missas, novenas, procissões e orações. Já no aspecto cultural e social, a festa é marcada por um clima alegre e acolhedor, fortalecendo os laços entre os fiéis.
Entre as atrações mais comuns estão as barracas de comidas típicas, além de brincadeiras tradicionais, sorteios, bingo e apresentações musicais com artistas famosos e da região. Tudo é geralmente organizado com a colaboração voluntária dos membros da paróquia ou comunidade.
 Mais do que uma festa, ela representa um momento de união, partilha e vivência da fé, mantendo vivas as tradições religiosas passadas de geração em geração.
</t>
  </si>
  <si>
    <t>Praça Matriz (Rua. Dr. Luis Pagani)</t>
  </si>
  <si>
    <t>https://www.pongai.sp.gov.br/</t>
  </si>
  <si>
    <t xml:space="preserve">Paroquia São José e Prefeitura municipal </t>
  </si>
  <si>
    <t>14 3591-8770</t>
  </si>
  <si>
    <t>MãeFest</t>
  </si>
  <si>
    <t>O MãeFest teve início em 2018, uma noite para comemorar o Dia das Mães com show gratuito para toda a população e praça de alimentação. Para 2025, a atração da noite será Fafá de Belém, além de músicos locais.</t>
  </si>
  <si>
    <t>Recinto de Exposições José Rosso</t>
  </si>
  <si>
    <t>Secretaria de Turismo de Santa Cruz do Rio Pardo</t>
  </si>
  <si>
    <t>Festival Sertanejo</t>
  </si>
  <si>
    <t>Como uma extensão das comemorações da Semana Zilo e Zalo, foi idealizado o Festival Sertanejo, que, com a Secretaria de Turismo como organizadora, teve sua primeira edição no ano de 2019. Em 2026, o festival retoma forças e trará como atração principal a dupla Gian e Giovane, além de cantores locais.</t>
  </si>
  <si>
    <t>Recinto José Rosso</t>
  </si>
  <si>
    <t>Rodeio Show de Pongaí</t>
  </si>
  <si>
    <t xml:space="preserve">A Festa de Rodeio é um dos eventos popular e tradicional em nossa região. Ela combina competições de rodeio com música sertaneja, gastronomia típica, exposições agropecuárias e uma grande celebração da cultura sertaneja e do estilo de vida rural que é nosso maior público na região.  
É uma festa cultural que celebram a vida no campo, a música sertaneja e tradições interioranas. Elas atraem famílias, turistas e apaixonados por montaria e pela vida rural, com programação diversificada, festas à noite, atividades para crianças e forte presença da gastronomia típica.
</t>
  </si>
  <si>
    <t xml:space="preserve">Av. Saudade - Recinto de Exposição </t>
  </si>
  <si>
    <t xml:space="preserve">Prefeitura Municipal e Comissão organizadora </t>
  </si>
  <si>
    <t>thalitamariani84@gmail.com</t>
  </si>
  <si>
    <t>Marcha pra Jesus</t>
  </si>
  <si>
    <t>A Marcha pra Jesus de Santa Cruz do Rio Pardo é um grande ato de fé, louvor e união, que reúne fiéis de diversas igrejas e denominações cristãs em uma manifestação pública de adoração e comunhão pelas ruas da cidade.
O evento é organizado pela Comissão de Pastores e Secretaria de Turismo, fortalecendo o turismo religioso e promovendo valores de fé, paz e fraternidade.
Em 2026, a Marcha pra Jesus acontece no dia 5 de setembro, com show gospel de Felipe Rodrigues.</t>
  </si>
  <si>
    <t>Praça Deputado Leônidas Camarinha</t>
  </si>
  <si>
    <t>XXVII Encenação da Paixão de Cristo</t>
  </si>
  <si>
    <t>A Encenação da Paixão, Morte e Ressurreição de Jesus Cristo chega à sua 27ª edição, celebrando história, fé e emoção em Santa Cruz do Rio Pardo, com um espetáculo marcante que relembra os últimos passos de Jesus, da cruz à ressurreição, emocionando o público; a apresentação acontece na Sexta-feira Santa, 3 de abril, às 20h30, no Recinto José Rosso.</t>
  </si>
  <si>
    <t>Secretaria de Turismo e Comissão Organizadora</t>
  </si>
  <si>
    <t>Encontro de Carros Antigos - Old Car Santa Cruz</t>
  </si>
  <si>
    <t>Realizado no Recinto de Exposições José Rosso, em que centenas de relíquias automotivas ficam expostas para que os visitantes possam apreciar. São carros, pick-ups e motos com valores altíssimos por serem raros e pertencerem a colecionadores. Participam expositores de outros estados. O evento atrai público de toda a região e é frequentado por admiradores, que vêm prestigiar e se encantar com as relíquias expostas.</t>
  </si>
  <si>
    <t>Old Car e Secretaria de Turismo</t>
  </si>
  <si>
    <t>Deficiência Auditiva</t>
  </si>
  <si>
    <t>ROSANA</t>
  </si>
  <si>
    <t>Rosana Folia 2026</t>
  </si>
  <si>
    <t xml:space="preserve">Rosana é considerado MIT – Município de Interesse Turístico e faz parte da Região Turística RT Pontal Paulista, e está categorizada com a nota “C”: município com oferta turística complementar, no Mapa do Turismo Brasileiro.
"Rosana Folia" é o nome dado às festividades de carnaval realizadas no município de Rosana, no estado de São Paulo, Brasil.
Geralmente, o evento acontece no Balneário Municipal, às margens do Rio Paraná, e costuma contar com shows, bandas, e atividades como zumba, passeios de Jet Ski e de barcos.
É um evento tradicional que atrai turistas e moradores da região.
O "Rosana Folia" é o evento de carnaval da cidade de Rosana, São Paulo, e costuma ser um dos maiores da região, buscando atrair turistas para a cidade, que é um Município de Interesse Turístico (MIT).
Com base nas edições anteriores e nas informações atuais, aqui estão alguns detalhes gerais sobre o evento:
Características Principais
Período: O evento acontece durante o feriado de Carnaval (geralmente em fevereiro ou março).
Local: O palco principal da folia é o Balneário Municipal de Rosana, às margens do Rio Paraná.
Atrações: A programação costuma ser variada, com foco em:
Shows Musicais: Bandas de axé, samba, e grupos regionais.
Palco ou Trio Elétrico: É um diferencial, levando a folia para a avenida e para o balneário.
Matinês: Programação especial para as crianças.
Estrutura: As edições contaram com:
Praça de Alimentação.
Sanitários químicos.
Segurança reforçada (policiais, seguranças contratados, bombeiros e brigadistas).
Público: O evento é conhecido por ser de grande porte, com expectativa de receber milhares de pessoas por dia, sendo muitos deles turistas.
Programação:
Além dos shows noturnos, as festividades frequentemente incluem eventos diurnos ligados ao turismo e à natureza local, aproveitando o Rio Paraná:
Atividades Aquáticas: Passeios de Jet Ski, passeios de Jet Ski e de barcos.
Fitness: Aulas abertas de Zumba.
O Réveillon é o maior evento sediado dentro do município, gerando impactos positivos para o turismo de toda a região, é um período de alta temporada onde temos elevado número de visitantes advindo de toda parte do país, segundo a última pesquisa de demanda entrevistamos visitantes do estado de Ceará e Rondônia. Conta também com visitantes de vários estados brasileiros, como Matogrosso do Sul e Paraná. 
Tornou-se parte cultural do município a realização de grandes eventos para o Réveillon, com shows artísticos, fogos de artifícios e uma praça de alimentação repleta de diversidades alimentícias.
A cada ano amplia-se o número de visitantes neste período do ano em nosso município, e o apoio para a realização deste evento é fundamental para o desenvolvimento do turismo local com a geração de renda, empregos e visibilidade turística regional, visto que os visitantes que vem de outros estados, frequentemente visita as cidades vizinhas. Temos a expectativa de que haja nos dias que antecedem e nos dias do evento cerca de 40 mil visitantes circulando dentro do município
</t>
  </si>
  <si>
    <t>Local: Balneário Municipal –   Municipio de Rosana</t>
  </si>
  <si>
    <t>Prefeitura Municipal de Rosana</t>
  </si>
  <si>
    <t>turismo@rosana.sp.gov.br</t>
  </si>
  <si>
    <t>29º PRIMAROSA 2026</t>
  </si>
  <si>
    <t xml:space="preserve">Rosana é considerado MIT – Município de Interesse Turístico e faz parte da Região Turística RT Pontal Paulista, e está categorizada com a nota “C”: município com oferta turística complementar, no Mapa do Turismo Brasileiro.
A 1ª realização do evento foi em 1995, batizada com o nome PRIMAROSA – Feira da indústria e Comércio de Primavera e Rosana, em homenagem as cidades de Primavera e Rosana. Com o passar das edições, a festa foi ganhando força e admiradores, constituindo em um dos maiores eventos que ocorrem dentro do município, recebendo um grande número de visitantes oriundos de diversas regiões do nosso estado, como também do Paraná e Mato Grosso do Sul.
Ampliou-se o número de expositores tanto do município como de fora dele, com diversificação de produtos para serem comercializados, fazendo com que a feira ganhasse fama em toda região. A realização da festa aquece a economia local gerando vários empregos temporários e proporcionando alegria e diversão aos participantes com amplas áreas de alimentação, parques de diversão e shows aos vivos.
</t>
  </si>
  <si>
    <t>Local: Feira Livre Isaac Amaral Alves -Distrito de Primavera –          Município de Rosana</t>
  </si>
  <si>
    <t>Atendimento em Línguas de Sinais, Rampa, Banheiro Acessível, Balcão de atendimento com altura reduzida, Portas Largas para PCR (Pessoa com cadeira de rodas)</t>
  </si>
  <si>
    <t>ARARAS</t>
  </si>
  <si>
    <t>Cortejo Águas de Oxalá</t>
  </si>
  <si>
    <t>Águas de Oxalá" em Araras (SP) é um tradicional Cortejo e cerimônia de matriz africana que celebra a paz, purificação e o novo ano, envolvendo a lavagem das escadarias da Capela Santa Cruz, com concentração na Casa da Memória, e reforçando a luta contra o racismo religioso, ocorrendo tradicionalmente no último domingo do mês de janeiro.</t>
  </si>
  <si>
    <t>Lei 16.562 de 31 de outubro de 2017</t>
  </si>
  <si>
    <t>Saída Casa da Memória - Final do Cortejo Igreja Santa Cruz</t>
  </si>
  <si>
    <t>não tem</t>
  </si>
  <si>
    <t>Comunidade de Terreiro Ylê Axé Yansã/ Secretaria Municipal de Turismo e Secretaria Municipal de Cultura</t>
  </si>
  <si>
    <t>evento aberto</t>
  </si>
  <si>
    <t>coordenadoria.turismo@araras.sp.gov.br</t>
  </si>
  <si>
    <t>Expresso Turístico CPTM</t>
  </si>
  <si>
    <t>Turismo ferroviário com destinos para as cidades de Mogi das Cruzes, Jundiaí e Vila de Paranapiacaba</t>
  </si>
  <si>
    <t>Estação Luz</t>
  </si>
  <si>
    <t>https://www.cptm.sp.gov.br/cptm/sua-viagem/expresso-turistico</t>
  </si>
  <si>
    <t>CPTM</t>
  </si>
  <si>
    <t>expressoturístico@cptm.sp.gov.br</t>
  </si>
  <si>
    <t>BENTO DE ABREU</t>
  </si>
  <si>
    <t xml:space="preserve">Copa Interior Futebol de Base Bento de Abreu </t>
  </si>
  <si>
    <t>1º Copa do Interior Futebol de Base</t>
  </si>
  <si>
    <t>Estádio Municipal Manoel Azevedo Salvador</t>
  </si>
  <si>
    <t>www.instagram.com/copainteriorfuteboldebase</t>
  </si>
  <si>
    <t>Prefeitura Municipal de Bento de Abreu</t>
  </si>
  <si>
    <t>esporte@bentodeabreu.sp.gov.br</t>
  </si>
  <si>
    <t>VERA CRUZ</t>
  </si>
  <si>
    <t xml:space="preserve">Aniversário da Cidade </t>
  </si>
  <si>
    <t>A festa é marcada por uma programação diversificada que envolve esporte, cultura, música e participação comunitária. Nos 90 anos da cidade, por exemplo, a festa contou com torneios esportivos, reinauguração de espaços públicos, feira de produtores locais, encontro de motos e carros antigos, shows gratuitos com artistas regionais, também cantores renomados e inclusão social, como intérpretes de libras.</t>
  </si>
  <si>
    <t>Praça Monteiro Lobato</t>
  </si>
  <si>
    <t xml:space="preserve">Prefeitura Municipal de Vera Cruz </t>
  </si>
  <si>
    <t>turismo@veracruz.sp.gov.br</t>
  </si>
  <si>
    <t>Atendimento em Línguas de Sinais, Rampa, Banheiro Acessível</t>
  </si>
  <si>
    <t xml:space="preserve">Carnaval de Rua </t>
  </si>
  <si>
    <t xml:space="preserve">É uma celebração animada e bem organizada do segmento cultural que acontece na Praça Monteiro Lobato, reunindo milhares de foliões em um ambiente seguro e festivo. Em 2025, o evento contou com estrutura completa, incluindo palco coberto, praça de alimentação, e presença de agentes de segurança — alguns fantasiados — para garantir a tranquilidade do público. A programação incluiu shows variados, como o grupo Pradella, Danilo &amp; Davi, a Ala Show da Escola de Samba Grenon, Banda A Baladeira, Kymania e Heitor &amp; Murilo, consolidando o Carnaval de Vera Cruz como uma festa inclusiva, cultural e familiar, prestigiados pela comunidade e turistas. </t>
  </si>
  <si>
    <t xml:space="preserve">Praça Monteiro Lobato </t>
  </si>
  <si>
    <t xml:space="preserve">turismo@veracruz.sp.gov.br </t>
  </si>
  <si>
    <t xml:space="preserve">Vera Cruz Rodeio Festival </t>
  </si>
  <si>
    <t>O Vera Cruz Rodeio Festival, que acontece no recinto, vem se consolidando como um dos principais atrativos turísticos do interior paulista, movimentando a cidade com uma programação que une tradição, cultura e entretenimento de qualidade. Realizado em estrutura coberta e com entrada solidária, o evento atrai milhares de visitantes e impulsiona o turismo local, beneficiando hotéis, restaurantes e o comércio em geral. Além das emocionantes montarias em touros e provas como a dos três tambores, o festival se destaca pelos shows de artistas renomados como João Bosco &amp; Vinícius, Daniel, Edson &amp; Hudson, Thaeme &amp; Thiago, Guilherme &amp; Benuto e Bruna Viola, proporcionando ao público uma experiência única que celebra as raízes sertanejas e valoriza a cultura regional.</t>
  </si>
  <si>
    <t xml:space="preserve">Recinto da antiga FEPASA </t>
  </si>
  <si>
    <t>Cospus Christi</t>
  </si>
  <si>
    <t>É uma das celebrações religiosas mais tradicionais da região, realizada desde 1937. Todos os anos, a comunidade se mobiliza para confeccionar extensos e coloridos tapetes artesanais pelas ruas do centro, utilizando serragem, areia, cal, café e outros materiais. A montagem começa ao amanhecer e os tapetes ficam prontos para visitação até o fim da manhã. Às 15h, acontece a Missa Solene no Santuário Sagrado Coração de Jesus, seguida de uma procissão com o Santíssimo Sacramento pelas ruas decoradas, encerrando com a bênção final. O evento é marcado pela fé, criatividade e união da comunidade, atraindo centenas de visitantes e fortalecendo o turismo religioso e cultural da cidade.</t>
  </si>
  <si>
    <t>Avenida Monsenhor Florentino Santamaria, 280</t>
  </si>
  <si>
    <t>Igreja Sagrado Coração de Jesus</t>
  </si>
  <si>
    <t>sscjesus@terra.com.br</t>
  </si>
  <si>
    <t xml:space="preserve">Arraiá Para Todos </t>
  </si>
  <si>
    <t>É uma tradicional festa julina, com entrada gratuita e atrações para todas as idades. Em 2025, o evento aconteceu nos dias 11 e 12 de julho e contou com shows de artistas como Luiz Gustavo &amp; Fernando, Ana Laura e Marcos Paulo &amp; Candé. A festa ofereceu comidas típicas, espaço com playground para crianças e um clima acolhedor. O Arraiá se destaca por unir cultura popular e diversão e em um ambiente seguro e familiar</t>
  </si>
  <si>
    <t xml:space="preserve">Desfile Cívico Militar </t>
  </si>
  <si>
    <t>É um evento tradicional que celebra o civismo, a história e a identidade do município, geralmente realizado nas comemorações do Dia da Independência do Brasil. Reúne escolas, bandas, fanfarras, entidades e a comunidade em geral, promovendo valores como patriotismo, união e participação social, além de fortalecer o sentimento de pertencimento e orgulho local.</t>
  </si>
  <si>
    <t xml:space="preserve">Festa Jóias de Vera Cruz - Festival do Café </t>
  </si>
  <si>
    <t>A festa é realizada anualmente, um evento cultural gratuito que celebra a tradição cafeeira local, promovendo lazer, arte e integração comunitária. Com programação diversificada, o festival reúne apresentações musicais de artistas regionais como Joyce Mara, Ney Paulo e Lucas &amp; Viana, além de contar com feira gastronômica com produtos derivados do café, como geleias, molhos e acompanhamentos. Exposições de artesanato, homenagens a cafeicultores e atrações como grupos de dança. O evento valoriza a identidade local, impulsiona a economia, fortalece o turismo e cria um espaço inclusivo e festivo para toda a população.</t>
  </si>
  <si>
    <t>7/6/0006</t>
  </si>
  <si>
    <t>POTIM</t>
  </si>
  <si>
    <t xml:space="preserve">Carnaval Antecipado Potim Folia </t>
  </si>
  <si>
    <t>O Carnaval Antecipado Potim Folia,  configura-se como um evento cultural, turístico e econômico de relevância estratégica para o Município de Potim, consolidando-se como uma ação planejada de fomento ao turismo, valorização cultural e dinamização da economia local.
A opção pela realização do carnaval de forma antecipada decorre de planejamento técnico e estratégico, considerando o contexto regional do Vale do Paraíba, onde diversos municípios tradicionalmente realizam festividades carnavalescas simultaneamente, disputando público, investimentos e fluxo turístico. Ao antecipar o evento, o Município de Potim evita conflitos de agenda com cidades vizinhas que possuem o carnaval como produto turístico consolidado, permitindo maior visibilidade regional, ampliação do público visitante e fortalecimento da identidade do evento no calendário oficial de eventos do município.
Essa antecipação possibilita ainda uma melhor organização logística e operacional, garantindo maior eficiência na mobilização de serviços públicos essenciais, como segurança, saúde, limpeza urbana, trânsito e fiscalização, além de permitir uma atuação integrada e preventiva dos órgãos competentes, assegurando a ordem pública e a segurança dos participantes.
Do ponto de vista econômico, o Carnaval Antecipado gera impactos positivos diretos e indiretos, promovendo o aquecimento do comércio local, do setor de alimentação, ambulantes, prestadores de serviços, profissionais da cultura, artistas, técnicos e trabalhadores temporários, contribuindo para a geração de renda e fortalecimento da economia municipal.
Sob o aspecto cultural e social, o evento valoriza as manifestações populares, promove o acesso democrático ao lazer e à cultura, fortalece o sentimento de pertencimento da população e contribui para a ocupação positiva dos espaços públicos, alinhando-se às políticas públicas de cultura, turismo e desenvolvimento social do município.
Ressalta-se, ainda, que a realização do Carnaval Antecipado Potim Folia  está em consonância com as diretrizes de planejamento turístico municipal, integrando-se às estratégias de promoção do município como destino turístico emergente, especialmente no contexto de sua recente consolidação no cenário regional, contribuindo para a construção de uma agenda permanente de eventos.
Diante do exposto, conclui-se que o Carnaval Antecipado Potim Folia  representa um evento de suma importância para o Município de Potim, não apenas como manifestação cultural, mas como instrumento efetivo de desenvolvimento econômico, turístico e social, justificando plenamente sua realização, organização e investimento por parte da Administração Pública Municipal</t>
  </si>
  <si>
    <t>Parque Francisco de Assis Galvão</t>
  </si>
  <si>
    <t>https://www.potim.sp.gov.br</t>
  </si>
  <si>
    <t>Aniversário de Emancipação politica de Potim (Aniversário do Município)</t>
  </si>
  <si>
    <t>O Aniversário do Município de Potim é uma das celebrações cívicas mais representativas do calendário anual da cidade, comemorando a emancipação político-administrativa do município, que ocorre tradicionalmente no dia 19 de maio. A data simboliza a história, a identidade e o desenvolvimento da comunidade potinense, marcando mais um ano de conquistas, desafios superados e fortalecimento das políticas públicas voltadas à qualidade de vida da população.
Ao longo dos últimos anos, as festividades de aniversário têm se consolidado como uma grande festa popular, com programação diversificada e voltada para todas as faixas etárias, movimentando a cidade e consolidando o município como polo de eventos e atividades culturais no Vale do Paraíba. Em edições recentes, a festa tem sido organizada pela Prefeitura Municipal de Potim, com apoio das secretarias municipais competentes e parcerias institucionais, envolvendo espaços públicos especialmente o Parque Francisco de Assis Galvão e entornos
As comemorações geralmente ocorrem durante vários dias próximos à data oficial e incluem:
Shows musicais com artistas regionais e atrações diversas, proporcionando entretenimento gratuito ou com acesso popular.
Praça de alimentação e parque de diversões, que garantem lazer e interação social entre munícipes e visitantes.
Atividades esportivas e culturais, como passeios ciclísticos temáticos, encontros comunitários e apresentações artísticas, promovendo saúde e cultura para o público local.
Programação comunitária e institucional, como celebrações religiosas, cultos em ação de graças e momentos de reflexão pelo progresso da cidade, fortalecendo os laços comunitários.
A festa de aniversário de Potim representa muito mais do que um simples evento de entretenimento: é uma oportunidade de fortalecer o sentimento de pertencimento e identidade do povo potinense, valorizar a cultura local, aproximar a administração pública da população e dinamizar a economia informal e formal da cidade. A diversidade de atrações e a acessibilidade do evento refletem o compromisso da gestão municipal em proporcionar um ambiente de celebração, integração social e promoção dos talentos regionais, além de reforçar a imagem de Potim como uma cidade vibrante e acolhedora.</t>
  </si>
  <si>
    <t>Parque Francisco de Assis Galvão e entornos</t>
  </si>
  <si>
    <t>Prefeitura Municipal de Potim</t>
  </si>
  <si>
    <t>https://www.potim.sp.gov.br/</t>
  </si>
  <si>
    <t>Festa do Padroeiro Senhor Bom Jesus de Potim</t>
  </si>
  <si>
    <t>Festa do Padroeiro Senhor Bom Jesus de Potim é uma das manifestações religiosas e culturais mais tradicionais e significativas do calendário anual do Município de Potim (SP). Realizada todos os anos no mês de agosto, com destaque para o dia 06 de agosto – Dia do Padroeiro, a festa celebra a devoção centenária ao Senhor Bom Jesus, imagem trazida de Portugal e que simboliza a fé da comunidade potinense desde o século XVIII.
O evento tem início geralmente no final de julho e se estende até o segundo domingo de agosto, promovendo uma programação que integra celebrações religiosas, momentos de confraternização e atividades sociais e culturais.
Programação Religiosa
A programação espiritual é o coração da Festa e inclui:
Novena diária e Oração do Terço, celebradas na Matriz Senhor Bom Jesus, fortalecendo a fé e a tradição devocional dos fiéis.
Missa Solene no Dia do Padroeiro, com a presença de autoridades e grande participação popular.
Procissão pelas ruas da cidade, um dos momentos mais aguardados, que simboliza o testemunho público de fé e reúne fiéis de todas as idades.
Essas celebrações são marcadas pela participação ativa da comunidade paroquial e visitantes, reforçando os laços de devoção e espiritualidade.
Atividades Culturais e Comunitárias
Além do aspecto religioso, a festa também se configura como um grande encontro comunitário. Dentre as atividades sociais que costumam integrar o evento destacam-se:
Gincana Escolar do Padroeiro, que envolve crianças e jovens das escolas municipais em jogos e atividades recreativas, promovendo integração e valores de cooperação.
Show de Prêmios e apresentações culturais com música ao vivo e barracas típicas na Praça da Matriz, proporcionando momentos de convivência e lazer.
Barracas gastronômicas, com comidas e bebidas diversas, que transformam o entorno da igreja em ponto de encontro e animação, contribuindo para a movimentação econômica local.
No dia do padroeiro, após a Missa Solene da manhã, é tradicional a realização do Almoço do Padroeiro, seguido por atrações musicais, reunindo famílias e visitantes em clima festivo e acolhedor.
Importância Religiosa, Cultural e Social
A Festa do Senhor Bom Jesus de Potim é mais do que um evento: é expressão viva da identidade religiosa da população, memória afetiva de várias gerações e um momento de reafirmação dos valores de fé, solidariedade e comunhão comunitária.
Além disso, a festividade movimenta o centro da cidade e dinamiza o comércio local, fortalecendo a economia e promovendo o turismo religioso na região. A tradição centenária em torno da imagem do Senhor Bom Jesus e sua importância histórica para a cidade conferem à festa um caráter que ultrapassa a dimensão litúrgica, transformando-a em uma referência cultural e social no município.</t>
  </si>
  <si>
    <t xml:space="preserve">Praça Miguel Correa dos Ouros </t>
  </si>
  <si>
    <t>Prefeitura municipal / Paroquia Senhor Bom Jesus de Potim</t>
  </si>
  <si>
    <t xml:space="preserve">Prefeitura/ Paroquia </t>
  </si>
  <si>
    <t>Caminhada dos Emancipadores (Comemoração do Aniversário da Emancipação da Cidade)</t>
  </si>
  <si>
    <t>A Prefeitura da Estância Balneária de Praia Grande realiza, no dia 19 de janeiro de 2026, a 8ª Caminhada dos Emancipadores, em comemoração aos 59 anos de emancipação político-administrativa do Município. Com o tema “Brasilidades”, o evento celebra a diversidade cultural e a identidade nacional, reunindo moradores e visitantes em uma grande manifestação de cidadania, saúde e pertencimento.
A caminhada mantém o trajeto tradicional de 3 km, consolidado nas edições anteriores.
Para mais informações acompanhe nossas redes: @palaciodasartespg / @prefpraiagrande / turismo.praiagrande.sp.gov.br
(Evento sujeito a alterações)</t>
  </si>
  <si>
    <t>Praça dos Emancipadores – Boqueirão</t>
  </si>
  <si>
    <t>https://www.sympla.com.br/evento/8-edicao-da-caminhada-dos-emancipadores-de-praia-grande/3268663?referrer=www2.praiagrande.sp.gov.br&amp;referrer=www2.praiagrande.sp.gov.br</t>
  </si>
  <si>
    <t>Prefeitura de Praia Grande através da Secretaria de Esportes de Praia Grande</t>
  </si>
  <si>
    <t>seeleventos@praiagrande.sp.gov.br</t>
  </si>
  <si>
    <t>Natal Luz de Potim</t>
  </si>
  <si>
    <t>O Natal Luz de Potim é uma celebração de fim de ano organizada pelo Município de Potim que se consolidou como uma festa popular, familiar e cultural de grande significado para a comunidade local e para visitantes da região. A edição de 2025 registrou uma programação diversificada que iluminou a cidade e promoveu confraternização, lazer e expressões artísticas na praça principal – Praça do Raspadão, transformando o espaço urbano em um ambiente mágico e envolvente durante todo o mês de dezembro.
O evento foi realizado entre os dias 13 e 31 de dezembro, com enfeites e decoração natalina especial em pontos estratégicos da cidade, criando um cenário visual festivo que celebrou o espírito natalino e atraiu famílias, moradores e turistas.
Programação Cultural e de Entretenimento
O Natal Luz de Potim trouxe uma programação diversificada voltada para todas as idades, integrando arte, música, tradição e alegria coletiva:
Decoração natalina iluminada na praça principal, com iluminação temática e elementos que evocam o clima de esperança e fraternidade da época festiva.
Chegada do Papai Noel, momento altamente aguardado pelas crianças e famílias, marcado por emoção e participação popular, simbolizando a concretização dos desejos e o início oficial das celebrações natalinas.
Shows musicais e apresentações culturais, reunindo artistas locais em apresentações musicais que celebram a música e a união entre as diferentes gerações.
Peças teatrais e apresentações de coral, que resgatam canções e histórias típicas da época de Natal, gerando um ambiente de cultura e entretenimento comunitário.
Programação especial na virada do ano, com show para celebrar a chegada de 2026, promovendo confraternização e lazer para toda a população.
Impacto Social e Comunitário
O Natal Luz de Potim não se limita à decoração festiva: trata-se de um momento de fortalecimento dos laços comunitários e promoção de convivência familiar. As atividades são planejadas para acolher moradores de todas as idades, incentivando a participação popular e a integração entre as famílias, além de valorizar os talentos culturais locais.
Dinâmica de Convivência e Atração Turística
O evento impulsiona também a economia local, atraindo público de cidades vizinhas e estimulando o comércio, os serviços de alimentação, o turismo regional e o lazer urbano. Os espaços públicos ganham vida com movimentos culturais, estabelecendo a cidade como um destino atrativo na temporada natalina.
Em resumo, o Natal Luz de Potim representa muito mais do que uma simples decoração de fim de ano: ele é uma expressão de alegria, fé, cultura e união, que convida a população a celebrar a esperança, a solidariedade e os vínculos comunitários, promovendo momentos memoráveis de confraternização e animação no município.</t>
  </si>
  <si>
    <t>Romaria do Apostolado da Oração</t>
  </si>
  <si>
    <t>Tradicional evento religioso que ocorre anualmente, sempre no terceiro domingo de setembro, reunindo milhares de fiéis de diversas cidades no Santuário Sagrado Coração de Jesus. Criada em 1939 e retomada com força total a partir de 1984, a romaria celebra a fé e a devoção ao Sagrado Coração de Jesus com uma intensa programação que inclui acolhida aos romeiros, café comunitário, procissão com reza do terço, missa solene presidida pelo bispo diocesano, momentos de louvor, adoração ao Santíssimo Sacramento e envio missionário. A comunidade local se mobiliza para oferecer infraestrutura, alimentação e hospitalidade aos participantes, fortalecendo o espírito de união e solidariedade. O evento recebe caravanas de mais de 40 municípios, demonstrando sua importância regional e a força da espiritualidade popular</t>
  </si>
  <si>
    <t xml:space="preserve">Igreja Sagrado Coração de Jesus </t>
  </si>
  <si>
    <t xml:space="preserve">
Samba na Praça - Encontro Afro</t>
  </si>
  <si>
    <t>É um evento cultural e solidário que combina música ao vivo com uma importante ação social em apoio à causa animal. Realizado no feriado da Consciência Negra, incentivando o público a contribuir com doações de ração para cães e gatos, destinadas ao Projeto Resgate Pet, iniciativa local dedicada ao acolhimento, tratamento e proteção de animais em situação de abandono. A programação foi pensada para toda a família e trouxe apresentações de grupos de samba e pagode, celebrando a cultura, a musicalidade e as raízes afro-brasileiras. Além dos shows, o evento ofereceu uma estrutura completa com área infantil, praça de alimentação e espaços de convivência que reforçaram o clima acolhedor e comunitário.</t>
  </si>
  <si>
    <t xml:space="preserve">Marcha Para Jesus - Ele é o Rei </t>
  </si>
  <si>
    <t>É um evento cristão anual instituído por lei municipal desde 2021, que reúne centenas de fiéis de diversas igrejas em um ato público de fé, louvor e oração pelas ruas da cidade. Os participantes percorrem vias centrais como a Av Sete de Setembro e Rua 15 de Novembro, acompanhados por bandas de música gospel e líderes religiosos. O encerramento acontece na Praça Monteiro Lobato, com cultos, pregações e shows gratuitos de artistas renomados, como a cantora Soraya Moraes em 2024</t>
  </si>
  <si>
    <t>CATANDUVA</t>
  </si>
  <si>
    <t>1ª Feira Turística do Interior</t>
  </si>
  <si>
    <t>Uma feira turística cheia de comidas e com 5 regiões utristicas com 40 cidades participando, mostrando as empresas de cidade</t>
  </si>
  <si>
    <t>rua rio de janeiro, 100</t>
  </si>
  <si>
    <t>Coordenadoria de Turismo</t>
  </si>
  <si>
    <t>Festa do Boi falô</t>
  </si>
  <si>
    <t>A história do Boi Falô, surgiu em 1888 na Fazenda Santa Genebra, de propriedade do Barão Geraldo de Rezende. É considerada a maior celebração popular religiosa do Distrito de Barão Geraldo, ocorrendo na Sexta-Feira Santa. A festividade envolve lenda, tradição e fé; conta com apresentações musicais de violeiros, cortejos e uma grande macarronada distribuída à população.</t>
  </si>
  <si>
    <t>Praça do Côco - Distrito de Barão Geraldo, Campinas</t>
  </si>
  <si>
    <t>Sociedade civil, apoio Secretaria de Cultura</t>
  </si>
  <si>
    <t>coordenadoria.eventos@campinas.sp.gov.br</t>
  </si>
  <si>
    <t>Balcão de atendimento com altura reduzida</t>
  </si>
  <si>
    <t>ARARAQUARA</t>
  </si>
  <si>
    <t>43° ENCENAÇÃODA PAIXÃO MORTE E RESSURREIÇÃO DE JESUS CRISTO.</t>
  </si>
  <si>
    <t xml:space="preserve">Evento tradicional que acontece na cidade de Araraquara que conta a vida pública de Jesus relembrando os principais fatos da sexta feira da Paixão com Entrada Gratuita com 1kilo não perecível que será destinada a instituições e famílias em situação de vulnerabilidade social. </t>
  </si>
  <si>
    <t xml:space="preserve">ESTADIO DO BOTÂNICO. </t>
  </si>
  <si>
    <t>"Associação Comunitária, Educativa, Cultural e Religiosa E.N.S.A. Encenação Nossa Senhora Aparecida"</t>
  </si>
  <si>
    <t>ensaproducoes@gmail.com</t>
  </si>
  <si>
    <t>Deficiência Visual, Não possui</t>
  </si>
  <si>
    <t>Concurso de Gastronomia PANC</t>
  </si>
  <si>
    <t xml:space="preserve">Encontro regional de difusão de conhecimentos ancestrais e novos, através da gastronomia baseada em plantas alimentícias não convencionais </t>
  </si>
  <si>
    <t xml:space="preserve">Vale da Graça </t>
  </si>
  <si>
    <t>Www.valedagraca.com</t>
  </si>
  <si>
    <t>andreyoshimoto0202@gmail.com</t>
  </si>
  <si>
    <t>Deficiência Visual</t>
  </si>
  <si>
    <t>Mapa Tátil, Rampa, Balcão de atendimento com altura reduzida</t>
  </si>
  <si>
    <t>GARÇA</t>
  </si>
  <si>
    <t>Festa da Padroeira Nossa Senhora de Lourdes</t>
  </si>
  <si>
    <t>A Paróquia Santuário Nossa Senhora de Lourdes convida toda a comunidade para participar da celebração em homenagem à sua padroeira. O evento será marcado por momentos de fé, devoção e confraternização, em um ambiente acolhedor e familiar, típico das tradicionais festas de praça. A programação foi preparada com carinho para reunir fiéis e visitantes, fortalecendo a vivência comunitária e a devoção a Nossa Senhora de Lourdes.</t>
  </si>
  <si>
    <t>Praça Frei Aurélio de Falco, 21</t>
  </si>
  <si>
    <t>https://www.facebook.com/SantuarioNossaSenhoraDeLourdes</t>
  </si>
  <si>
    <t xml:space="preserve">Paróquia Santuário Nossa Senhora de Lourdes </t>
  </si>
  <si>
    <t>santuariogarca@gmail.com</t>
  </si>
  <si>
    <t>1º Corre Delas Studio 176</t>
  </si>
  <si>
    <t>O 1º Corre Delas é um evento de corrida em comemoração ao Dia da Mulher, criado para valorizar a força, a determinação e a presença feminina no esporte e na vida. Mais do que uma prova, é um momento de encontro, superação e celebração, reunindo mulheres de todas as idades em um ambiente de incentivo, respeito e união. Uma iniciativa que promove saúde, bem-estar e protagonismo feminino, marcando um novo passo para o esporte feminino no município.</t>
  </si>
  <si>
    <t>Gramado da Concha Acústica Maestro Geraldo Omédio Moysés</t>
  </si>
  <si>
    <t>https://www.instagram.com/studio176_/</t>
  </si>
  <si>
    <t>Studio 176</t>
  </si>
  <si>
    <t>dias.marcos905@gmail.com</t>
  </si>
  <si>
    <t>1º Festival Regional de Taikô</t>
  </si>
  <si>
    <t>Teatro Municipal Sala Miguel Mônico</t>
  </si>
  <si>
    <t>garca.sp.gov.br</t>
  </si>
  <si>
    <t>Secretaria de Desenvolvimento Econômico e Turismo</t>
  </si>
  <si>
    <t>turismo@garca.sp.gov.br</t>
  </si>
  <si>
    <t>8º Moto Rock Festival</t>
  </si>
  <si>
    <t>8º Moto Rock Festival chega para reunir motociclistas, amantes do rock e o público em geral em um evento que já faz parte do calendário da cidade. Com muita música, confraternização e espírito de liberdade, o festival celebra a cultura biker e o bom e velho rock’n’roll, mantendo viva uma tradição construída ao longo dos anos. Um encontro marcado por amizade, respeito e paixão por motores e guitarras.</t>
  </si>
  <si>
    <t>https://www.instagram.com/garcamotorock/</t>
  </si>
  <si>
    <t>Equipe Foco de Garça</t>
  </si>
  <si>
    <t>@equipefocogarca</t>
  </si>
  <si>
    <t>3º Caveiras Running</t>
  </si>
  <si>
    <t>O 3º Caveiras Running é um evento de corrida que reúne atletas e entusiastas do esporte em um clima de superação, resistência e espírito coletivo. Consolidado no calendário esportivo, o evento incentiva a prática da atividade física, promove saúde e integração entre participantes, mantendo a identidade forte e marcante que já é característica da Caveiras Running. Uma prova aberta a diferentes níveis de corredores, pensada para quem gosta de desafio e movimento.</t>
  </si>
  <si>
    <t>Complexo Turístico Lago Artificial Profº J.K. Williams e ruas da cidade</t>
  </si>
  <si>
    <t>https://www.instagram.com/equipe_caveiras/</t>
  </si>
  <si>
    <t>Equipe Caveiras</t>
  </si>
  <si>
    <t>tairini_santana@hotmail.com</t>
  </si>
  <si>
    <t>Fitec - Feira de Tecnologia e Informação</t>
  </si>
  <si>
    <t>A FITEC – Feira de Tecnologia e Inovação é um evento realizado em parceria com a FATEC e a ACIG, com o objetivo de promover inovação, conhecimento e troca de experiências. A feira reúne estudantes, profissionais, empresários e a comunidade para apresentar soluções tecnológicas, tendências de mercado e iniciativas que fortalecem o desenvolvimento regional. Um espaço de aprendizado, conexões e visão de futuro, alinhando educação, empreendedorismo e tecnologia.</t>
  </si>
  <si>
    <t>Grêmio Teatral Leopoldo Fróes</t>
  </si>
  <si>
    <t>https://fitecgarca.com.br/</t>
  </si>
  <si>
    <t>Fatec e Acig</t>
  </si>
  <si>
    <t>contato@fitecgarca.com.br</t>
  </si>
  <si>
    <t>23kIGT</t>
  </si>
  <si>
    <t>A IGT23K é a maior corrida de montanha do Brasil.
Desde 2014 mais de 30 mil corredores já viveram essa incrível experiência.</t>
  </si>
  <si>
    <t>Av Benedito Rodrigues de Freitas 330</t>
  </si>
  <si>
    <t>https://zbrevents.com.br/igt23k/</t>
  </si>
  <si>
    <t>zbrevents</t>
  </si>
  <si>
    <t>zbrevents.com.br/igt23k</t>
  </si>
  <si>
    <t>12º Encontro de Aeromodelismo</t>
  </si>
  <si>
    <t>O Encontro de Aeromodelismo reúne praticantes e admiradores da modalidade em um evento que celebra técnica, precisão e paixão pelo voo. Aberto ao público, o encontro promove integração entre aeromodelistas, troca de experiências e a valorização do aeromodelismo como atividade esportiva, educativa e recreativa. Um momento para apreciar modelos, manobras e o fascínio de ver o céu ganhar vida.</t>
  </si>
  <si>
    <t>Aeródromo Municipal Álvaro Scutari</t>
  </si>
  <si>
    <t>https://uga.com.br/</t>
  </si>
  <si>
    <t>União Garcense de Aeromodelismo</t>
  </si>
  <si>
    <t>uga.com.br</t>
  </si>
  <si>
    <t>contato@uga.com.br</t>
  </si>
  <si>
    <t>Expo Garça</t>
  </si>
  <si>
    <t>A Expo Garça – Feira Agropecuária e Industrial de Garça, realizada juntamente com o rodeio, é um dos maiores eventos do município, reunindo o campo, a indústria e o entretenimento em uma grande celebração. A feira valoriza a força do agronegócio, o trabalho industrial e o desenvolvimento econômico local, ao mesmo tempo em que oferece ao público atrações culturais, shows e as tradicionais competições de rodeio. Um evento que mantém viva a tradição, movimenta a economia e fortalece a identidade de Garça.</t>
  </si>
  <si>
    <t>Parque Ecológico Jayme Nogueira Miranda</t>
  </si>
  <si>
    <t>turismo@garca.sp.gov.br; desenvolve@garca.sp.gov.br</t>
  </si>
  <si>
    <t>5º Arraiá do Adrianita</t>
  </si>
  <si>
    <t>O Arraiá do Adrianita é uma festa junina tradicional que celebra a cultura popular brasileira em um ambiente familiar e acolhedor. Com comidas típicas, música, dança e muita animação, o evento promove o encontro da comunidade e mantém vivas as tradições juninas, valorizando a alegria simples das festas de antigamente. Um momento de confraternização, diversão e resgate cultural para todas as idades.</t>
  </si>
  <si>
    <t>https://www.instagram.com/arraiadoadrianita/</t>
  </si>
  <si>
    <t>Associação de Moradores do Jardim Adrianita</t>
  </si>
  <si>
    <t>@arraiadoadrianita</t>
  </si>
  <si>
    <t>2º Garcaipira</t>
  </si>
  <si>
    <t>O Garcaipira é a tradicional festa junina de Garça, que reúne cultura, música e gastronomia típica em um grande encontro da comunidade. Com apresentações, comidas tradicionais e o clima alegre de quermesse, o evento valoriza as raízes populares e mantém viva uma das celebrações mais queridas da cidade. Além disso, o Garcipira tem caráter beneficente, sendo voltado para auxiliar as entidades do município, unindo diversão, solidariedade e compromisso social.</t>
  </si>
  <si>
    <t>Gramado da Concha Acústica Geraldo Omédio Moysés</t>
  </si>
  <si>
    <t>https://www.instagram.com/garcaipira/</t>
  </si>
  <si>
    <t>Prefeitura de Garça</t>
  </si>
  <si>
    <t>Quermesse Paróquia São Pedro</t>
  </si>
  <si>
    <t>A Quermesse da Paróquia de São Pedro é um evento tradicional que reúne fé, convivência e solidariedade em um ambiente familiar e acolhedor. Com comidas típicas, música e momentos de confraternização, a quermesse fortalece os laços da comunidade paroquial e mantém vivas as tradições populares ligadas à vida da Igreja. Um encontro aberto a todos, marcado pela alegria simples e pelo espírito de união.</t>
  </si>
  <si>
    <t>Igreja Matriz de São Pedro</t>
  </si>
  <si>
    <t>https://www.facebook.com/pspgarca</t>
  </si>
  <si>
    <t>Paróquia de São Pedro</t>
  </si>
  <si>
    <t xml:space="preserve"> pspedrogarca@hotmail.com</t>
  </si>
  <si>
    <t>5º Pedal Kids</t>
  </si>
  <si>
    <t>O 5º Pedal Kids é um evento de ciclismo infantil realizado durante as férias escolares do mês de julho, com o objetivo de incentivar hábitos saudáveis, a prática de exercícios físicos e a convivência familiar. A iniciativa reúne crianças e seus pais ou responsáveis para a realização de um percurso ciclístico, promovendo lazer, bem-estar e integração social. Durante o evento, os participantes são recepcionados com um café da manhã e, ao final do percurso, é oferecida uma alimentação com frutas, lanches, sucos e refrigerantes, garantindo energia e cuidado com todos os envolvidos. O Pedal Kids reforça a importância do esporte desde a infância, aliando saúde, diversão e momentos em família.</t>
  </si>
  <si>
    <t>Ao redor de Mira Estrela</t>
  </si>
  <si>
    <t>Secretaria Municipal de Esportes de Mira Estrela</t>
  </si>
  <si>
    <t>5º Mira Estrela Fishing</t>
  </si>
  <si>
    <t>O Mira Estrela Fishing é um campeonato de pesca esportiva realizado na Prainha de Mira Estrela, reunindo diversos participantes e entusiastas da pesca esportiva. O evento tem como objetivo promover o lazer, o turismo e a valorização dos recursos naturais do município, incentivando a prática esportiva de forma responsável e sustentável. A competição conta com premiações para os participantes, reconhecendo o desempenho e a participação no campeonato. Para encerrar o evento, é realizado um show artístico, proporcionando entretenimento e integração entre atletas, moradores e visitantes, fortalecendo o calendário de eventos e o turismo local.</t>
  </si>
  <si>
    <t>Festa Junina da Rua Florêncio</t>
  </si>
  <si>
    <t>A Festa Junina da Rua Florêncio é um evento tradicional realizado anualmente no mês de junho, na Rua José Florêncio Vicente, no município de Mira Estrela, organizado pelo grupo Caipiras em Ação, com o apoio da Prefeitura Municipal de Mira Estrela. A festividade já se consolidou como uma tradição daquela rua, preservando e valorizando a cultura popular e as manifestações típicas do período junino. O evento conta com apresentações de danças tradicionais, realização de bingo e distribuição gratuita de pipoca, bolo, leite com achocolatado e quentão ao público presente. Para encerrar a programação, são realizados shows artísticos, promovendo lazer, integração social e entretenimento para toda a comunidade.</t>
  </si>
  <si>
    <t>Rua José Florêncio Vicente - Mira EStrela - SP</t>
  </si>
  <si>
    <t>Caipiras em Ação e Prefeitura Municipal de Mira Estrela</t>
  </si>
  <si>
    <t>TURISMO@MIRAESTRELA.SP.GOV.BR</t>
  </si>
  <si>
    <t>Baile do Hawai</t>
  </si>
  <si>
    <t>O Baile do Havaí é um evento tradicional realizado no mês de setembro, durante a primavera, promovendo uma noite de lazer, descontração e integração social. A festa se destaca pela ambientação com decorações temáticas, uso de frutas e flores, criando um clima tropical e acolhedor para o público. O evento conta ainda com atrações artísticas, incluindo shows de bandas e apresentações de DJ’s, garantindo animação e entretenimento aos participantes, fortalecendo o calendário cultural e festivo do município.</t>
  </si>
  <si>
    <t>Area de Lazer</t>
  </si>
  <si>
    <t>Prefeitura municipal de Mira Estrela</t>
  </si>
  <si>
    <t>3ª Cavalgada das Boiaderas</t>
  </si>
  <si>
    <t>A Cavalgada das Boiadeiras é um evento realizado no mês de outubro, em alusão à campanha Outubro Rosa, com o objetivo de promover a conscientização sobre a importância da prevenção e do diagnóstico precoce do câncer de mama. Além de valorizar a tradição cultural e o lazer, o evento possui um forte caráter social e solidário. A programação inclui a realização da cavalgada e almoço no local, sendo o ingresso solidário por meio da doação de alimentos não perecíveis, que são posteriormente destinados a entidades assistenciais da região, ampliando o alcance das ações de solidariedade e apoio social.</t>
  </si>
  <si>
    <t>Recinto Napoleão Moura</t>
  </si>
  <si>
    <t>39ª Festa da Cerejeira</t>
  </si>
  <si>
    <t>A Festa da Cerejeira é um dos eventos mais tradicionais de Garça, organizada pelo Nikkei Clube de Garça, e celebra a cultura japonesa e o florescer das cerejeiras, símbolo de renovação, respeito e união. O evento valoriza a herança cultural da comunidade nikkei, preservada com dedicação ao longo das gerações, e oferece ao público apresentações culturais, gastronomia típica e momentos de integração. Uma celebração que fortalece os laços culturais, promove o intercâmbio entre comunidades e reafirma a identidade histórica do município.</t>
  </si>
  <si>
    <t>Complexo Turístico do Lago Artificial Profº J.K. Williams</t>
  </si>
  <si>
    <t>instagram.com/festadacerejeira/</t>
  </si>
  <si>
    <t>Associação Cultural e Esportiva Nikkey Clube de Garça</t>
  </si>
  <si>
    <t>nikkeyclubedegarca@gmail.com</t>
  </si>
  <si>
    <t xml:space="preserve">A FESPAL (Festa de Santa Cruz das Palmeiras) </t>
  </si>
  <si>
    <t>A FESPAL (Festa de Santa Cruz das Palmeiras) de 2025 foi um grande evento que marcou o retorno da festa após 7 anos e esse ano de 2026 estara acontecendo novamente. Com entrada solidária (1kg de alimento ou produto de limpeza) nos primeiros dias e entrada gratuita no último, celebrando o aniversário da cidade</t>
  </si>
  <si>
    <t xml:space="preserve">Parque do Trabalhador </t>
  </si>
  <si>
    <t>Prefeitura Municipal de Santa Cruz das Palmeiras</t>
  </si>
  <si>
    <t>cultura@scpalmeiras.sp.gov.br</t>
  </si>
  <si>
    <t xml:space="preserve"> "Arraiá do Julião"</t>
  </si>
  <si>
    <t xml:space="preserve">O "Arraiá do Julião" é a tradicional festa junina (ou julina) de Santa Cruz das Palmeiras, SP, que acontece em julho com muita comida típica, música (pizeiro, forró), danças e atividades culturais, reunindo a comunidade na Praça da Matriz para celebrar a cultura popular e beneficente com entidades locais, sendo um evento marcante na cidade. 
É uma festa junina/julina que celebra a tradição com o nome do mês, realizada em Santa Cruz das Palmeiras, SP, geralmente em julho.
O nome "Arraiá" é uma forma popular de "arraial", que significa uma festa popular com danças e comidas típicas. </t>
  </si>
  <si>
    <t>Igreja Matriz</t>
  </si>
  <si>
    <t>Evolve Festival Internacional de Danças</t>
  </si>
  <si>
    <t>O Evolve Festival de Danças acontece no Teatro Municipal de Garça e reúne artistas, dançarinos e admiradores da dança em uma grande celebração cultural. O evento conta com apresentações diversificadas, reunindo centenas de dançarinos de diferentes regiões do Estado de São Paulo, abrangendo todas as modalidades, do balé clássico às danças urbanas.
Com entrada solidária mediante a doação de alimento não perecível, o festival também cumpre um importante papel social, destinando os donativos a instituições do município. Além disso, o evento funciona como seletiva para o Evolve Festival Internacional de Dança, promovendo intercâmbio cultural e oportunidades de crescimento artístico. Uma iniciativa que fortalece a cultura local e valoriza a dança como forma de expressão.</t>
  </si>
  <si>
    <t>Av. Rafael Paes de Barros, 522</t>
  </si>
  <si>
    <t>https://www.evolvefestival.com.br/</t>
  </si>
  <si>
    <t xml:space="preserve"> Evolve Produções,  Prefeitura Municipal de Garça</t>
  </si>
  <si>
    <t>@evolvefestivais</t>
  </si>
  <si>
    <t>Bon Odori</t>
  </si>
  <si>
    <t>O Bon Odori celebra a cultura japonesa por meio da dança, da música e da convivência comunitária. Tradicionalmente realizada como forma de homenagem e gratidão, a festa reúne apresentações culturais, gastronomia típica e momentos de integração, fortalecendo os laços da comunidade Nikkei e promovendo o intercâmbio cultural com o público em geral. Um evento que preserva costumes, valoriza a memória dos antepassados e mantém viva uma tradição transmitida de geração em geração.</t>
  </si>
  <si>
    <t>Rua Tiradentes, 716</t>
  </si>
  <si>
    <t>@kaikan_garca</t>
  </si>
  <si>
    <t>Associação Cultura e Esportiva Nikkey de Garça</t>
  </si>
  <si>
    <t>CUNHA</t>
  </si>
  <si>
    <t>Verão na Montanha 2026</t>
  </si>
  <si>
    <t>O "Verão na Montanha" é um festival cultural e turístico realizado na Estância Climática de Cunha, de 23 de janeiro a 01 de fevereiro de 2026. O evento oferece programação gratuita na Praça da Matriz, reunindo apresentações musicais, blocos tradicionais e gastronomia, posicionando a cidade como principal destino de verão na região serrana.</t>
  </si>
  <si>
    <t>Praça Cônego Siqueira - Centro</t>
  </si>
  <si>
    <t>Secretaria Municipal de Turismo e Cultura</t>
  </si>
  <si>
    <t>comunicacao2@cunha.sp.gov.br</t>
  </si>
  <si>
    <t>IV Passeio Ciclístico em Comemoração ao Dia de Combate à Poluição</t>
  </si>
  <si>
    <t>O Passeio Ciclístico em Comemoração ao Dia de Combate à Poluição é uma ação de conscientização que une esporte, sustentabilidade e participação comunitária. O evento incentiva o uso da bicicleta como meio de transporte sustentável, promovendo hábitos saudáveis e reforçando a importância da preservação ambiental. Aberto à comunidade, o passeio estimula a reflexão sobre práticas responsáveis e o cuidado com o meio ambiente, fortalecendo o compromisso coletivo com um futuro mais limpo e equilibrado.</t>
  </si>
  <si>
    <t>Secretaria de Agricultura e Meio Ambiente e Secretaria de Desenvolvimento Econômico e Turismo</t>
  </si>
  <si>
    <t>sama@garca.sp.gov.br</t>
  </si>
  <si>
    <t>25ª Festa Franciscana</t>
  </si>
  <si>
    <t>A Festa Franciscana da Paróquia Santuário Nossa Senhora de Lourdes de Garça é uma tradicional quermesse que une fé, convivência e solidariedade. O evento conta com show de prêmios, o já conhecido pudim do frei e comidas típicas de quermesse, como o tradicional frango assado, além de outras opções preparadas com carinho pela comunidade. Uma celebração marcada pela alegria simples, pelo espírito franciscano e pelo encontro das famílias, mantendo vivas as tradições da paróquia.</t>
  </si>
  <si>
    <t>Praça Frei Aurélio Di Falco, 21, Garça, SP</t>
  </si>
  <si>
    <t>Paróquia Santuário Nossa Senhora de Lourdes</t>
  </si>
  <si>
    <t xml:space="preserve"> santuariogarca@gmail.com</t>
  </si>
  <si>
    <t>Desfile Cívico de 7 de Setembro</t>
  </si>
  <si>
    <t>O Desfile Cívico de 7 de Setembro é uma celebração da Independência do Brasil e dos valores cívicos que marcam a história do país. O evento reúne escolas, entidades, instituições e a comunidade em geral em um momento de homenagem à pátria, reforçando o sentimento de pertencimento, cidadania e respeito aos símbolos nacionais. Uma tradição que preserva a memória histórica e fortalece a identidade cívica do município.</t>
  </si>
  <si>
    <t>Lago Artificial Profº J.K. Williams</t>
  </si>
  <si>
    <t>gabinete@garca.sp.gov.br</t>
  </si>
  <si>
    <t>6º Piramba JetFlex</t>
  </si>
  <si>
    <t>O 6º Desafio Piramba Jet Flex é um evento esportivo que reúne atletas e entusiastas em uma competição marcada por superação, resistência e espírito esportivo. Consolidado no calendário esportivo, o desafio promove a prática esportiva, incentiva hábitos saudáveis e fortalece a integração entre participantes e público. Um evento que valoriza o esporte, o desafio pessoal e a convivência comunitária.</t>
  </si>
  <si>
    <t xml:space="preserve">Complexo Turístico do Lago Artificial J.K. Williams </t>
  </si>
  <si>
    <t>https://pirambamtb.com/</t>
  </si>
  <si>
    <t>Equipe Piramba MTB</t>
  </si>
  <si>
    <t>@pirambamtb</t>
  </si>
  <si>
    <t>2ª Be 7 Run</t>
  </si>
  <si>
    <t>A 2ª Be 7 Run é um evento de corrida que promove esporte, saúde e integração entre atletas e a comunidade. A iniciativa incentiva a prática da atividade física e o espírito de superação, reunindo corredores de diferentes níveis em um ambiente organizado e participativo. Um evento que valoriza o esporte como ferramenta de bem-estar e convivência.</t>
  </si>
  <si>
    <t>https://www.instagram.com/be7even_</t>
  </si>
  <si>
    <t>Equipe Be Seven</t>
  </si>
  <si>
    <t>be7even@outlook.com</t>
  </si>
  <si>
    <t xml:space="preserve">Quermesse Comunidade Nossa Senhora Aparecida de Jafa </t>
  </si>
  <si>
    <t>A Quermesse da Comunidade Nossa Senhora Aparecida, realizada no distrito de Jafa, é um evento tradicional que reúne fé, convivência e solidariedade. Com comidas típicas, música e momentos de confraternização, a quermesse fortalece os laços comunitários e mantém vivas as tradições religiosas e culturais da comunidade local. Um encontro familiar, aberto a todos, marcado pela simplicidade, pela alegria e pelo espírito de união.</t>
  </si>
  <si>
    <t>Praça da Igreja em Jafa</t>
  </si>
  <si>
    <t>https://www.facebook.com/nossasenhoraaparecidajafa</t>
  </si>
  <si>
    <t>Tecnocafe - Tecnologia Cafeeira</t>
  </si>
  <si>
    <t>A Tecnocafé – Feira de Tecnologia Cafeeira é um evento voltado à apresentação de inovações, soluções e tendências aplicadas à cadeia produtiva do café. A feira reúne produtores, técnicos, empresas e especialistas do setor, promovendo troca de conhecimento, acesso a novas tecnologias e fortalecimento do agronegócio cafeeiro. Uma iniciativa que valoriza a tradição do café aliada à modernização e ao desenvolvimento sustentável do setor.</t>
  </si>
  <si>
    <t>Complexo Turístico Lago Artificial Profº J.K. Williams</t>
  </si>
  <si>
    <t>tecnocafe.com.br</t>
  </si>
  <si>
    <t>Congarça</t>
  </si>
  <si>
    <t>@tecnocafegarca</t>
  </si>
  <si>
    <t>Pedala Lions</t>
  </si>
  <si>
    <t>A Pelada Lions é um evento esportivo e de confraternização promovido pelo Lions Club, reunindo participantes em um clima de amizade, integração e espírito solidário. A iniciativa incentiva a prática esportiva, o lazer e o fortalecimento dos laços comunitários, refletindo os valores de serviço e união que norteiam a atuação do Lions Club. Um encontro simples, participativo e aberto à comunidade, onde o esporte se torna instrumento de convivência e solidariedade.</t>
  </si>
  <si>
    <t xml:space="preserve">Gramado da Concha Acústica Maestro Geraldo Omédio Moysés </t>
  </si>
  <si>
    <t>Lions Clube de Garça</t>
  </si>
  <si>
    <t>@lionsclubegarca</t>
  </si>
  <si>
    <t>O Natal Encantado é um evento que celebra o espírito natalino, promovendo momentos de alegria, união e confraternização entre famílias e a comunidade. Com decoração temática, atrações culturais e atividades voltadas para todas as idades, o evento valoriza os sentimentos de solidariedade, esperança e renovação, mantendo viva a tradição do Natal como tempo de encontro e celebração.</t>
  </si>
  <si>
    <t>Ruas centrais e Paço municipal</t>
  </si>
  <si>
    <t>Prefeitura Municipal e Associação Comercial</t>
  </si>
  <si>
    <t>DRACENA</t>
  </si>
  <si>
    <t>Arraiá Dracena (Festa Junina)</t>
  </si>
  <si>
    <t xml:space="preserve">É um evento popular e familiar que celebra as tradições caipiras brasileiras com decoração típica de festa junina, bandeirinhas coloridas e barracas de entidades variadas. Durante as duas noites há apresentações musicais ao vivo (música caipira e sertanejo raiz), a tradicional quadrilha caipira, além de barracas de comidas e bebidas típicas, praça de alimentação, exposições de artesanato local, entre outros. </t>
  </si>
  <si>
    <t>Av. José Bonifácio / Esquina com a Rua Vendramin</t>
  </si>
  <si>
    <t>turismo@dracena.sp.gov.br</t>
  </si>
  <si>
    <t>CAPIVARI</t>
  </si>
  <si>
    <t>Desfiles de Escola de samba, bloquinhos e Carnaval na praça</t>
  </si>
  <si>
    <t>Rua XV de Novembro e Praca Central</t>
  </si>
  <si>
    <t>turismocapivari@gmail.com</t>
  </si>
  <si>
    <t>Atendimento em Línguas de Sinais, Rampa, Banheiro Acessível, Outro:</t>
  </si>
  <si>
    <t>Ela Pode Ela Faz</t>
  </si>
  <si>
    <t>Coquetel com Palestra no dia das Mulheres para Mulher empreendedora</t>
  </si>
  <si>
    <t>R. Bento Dias, 294 - Centro, Capivari</t>
  </si>
  <si>
    <t>Prefeitura Capivari</t>
  </si>
  <si>
    <t>diretor.turismo@capivari.sp.gov.br</t>
  </si>
  <si>
    <t>Atendimento em Línguas de Sinais, Elevador</t>
  </si>
  <si>
    <t>Alto da Pascoa</t>
  </si>
  <si>
    <t>Teatro com a Paixão de Cristo na praça central</t>
  </si>
  <si>
    <t>Praça Central - R. Reg. Feijó, 251-267 - Centro, Capivari</t>
  </si>
  <si>
    <t>diretor.turismo@capivari.sp.gob.br</t>
  </si>
  <si>
    <t>Festa de Sao João</t>
  </si>
  <si>
    <t>Festa nual tradicional da Igreja São João Batista, que celebra o padroeiro com muita fé, música, danças típicas, comidas juninas como o famoso Bolinho de Frango, e a emocionante Fogueira de São João no dia 23 de junho.</t>
  </si>
  <si>
    <t>R. Reg. Feijó, 170 - Centro, Capivari - SP</t>
  </si>
  <si>
    <t>Paróquia São João Batista Capivari/SP</t>
  </si>
  <si>
    <t xml:space="preserve">sjbatistacapivari@gmail.com </t>
  </si>
  <si>
    <t>POÁ</t>
  </si>
  <si>
    <t>Nascentes do Tietê</t>
  </si>
  <si>
    <t>Orquídea Fest</t>
  </si>
  <si>
    <t>Exposição e venda de Orquídeas, feira de artesanato, atrações musicais, praça de alimentação com vendas de alimentos diversos, feira de indústria e comercio, espaços instagramáveis e muito mais.</t>
  </si>
  <si>
    <t>Lei 4.526/2025</t>
  </si>
  <si>
    <t xml:space="preserve">Praça de Eventos Lucília Gomes Felippe - Av. Antônio Massa, 150- Centro, Poá   </t>
  </si>
  <si>
    <t>www.poaorquideafest.com.br</t>
  </si>
  <si>
    <t xml:space="preserve">Prefeitura da Histância Hidromineral de Poá e Secretaria Municipal de Cultura </t>
  </si>
  <si>
    <t>www.poaorquideafest.com.br (para ingressos solidários gratuitos e para compra de camarote e área vip)</t>
  </si>
  <si>
    <t>turismo@poa.gov.br e  cultura@poa.gov.br</t>
  </si>
  <si>
    <t xml:space="preserve">Feira Sabor e Arte de Garça </t>
  </si>
  <si>
    <t xml:space="preserve">Feira que envolve gastronomia e artesanato com apresentação de músicos locais </t>
  </si>
  <si>
    <t>Praça Rui Barbosa centro Garça</t>
  </si>
  <si>
    <t>@saboreartegarca</t>
  </si>
  <si>
    <t xml:space="preserve">Feira Sabor e Arte </t>
  </si>
  <si>
    <t>spspldiretora@yahoo.com.br</t>
  </si>
  <si>
    <t>Prêmio Promessa Gospel</t>
  </si>
  <si>
    <t xml:space="preserve">O Prêmio Promessa Gospel é uma premiação brasileira dedicada à música gospel e aos artistas cristãos, criada para valorizar, reconhecer e celebrar talentos do cenário da música cristã — especialmente aqueles que atuam com propósito, fé e impacto espiritual através de suas obras.  ￼
⭐ O que é o Prêmio Promessa Gospel
	•	É um evento anual de premiação musical focado no meio gospel, com categorias que destacam diferentes tipos de artistas e projetos dentro da música cristã.  ￼
	•	A cerimônia reúne cantores, compositores e representantes de ministérios para comemorar e reconhecer os destaques do ano.  ￼
	•	A edição de 2025 foi realizada no dia 8 de abril de 2025, com grande público, participação de artistas consagrados e votação popular em algumas categorias.  ￼
🎤 Como funciona
	•	Artistas e projetos são indicados em diferentes categorias (como “Cantor Talento”, “Cantora Revelação”, categorias infantis e outras).  ￼
	•	Em algumas edições, parte das premiações envolveu votação popular, com milhões de votos entre os competidores.  ￼
	•	Os vencedores recebem reconhecimento durante a cerimônia, que também pode contar com apresentações ao vivo, momentos de adoração e homenagens especiais.  ￼
🏆Importância e impacto
	•	O prêmio tem se consolidado como um dos principais eventos do segmento gospel no Brasil, dando visibilidade a artistas independentes e novos talentos.  ￼
	•	Ele não só celebra a música, mas também inspira fé e comunidade, reunindo público e artistas num clima de adoração e celebração.  </t>
  </si>
  <si>
    <t xml:space="preserve">Não </t>
  </si>
  <si>
    <t>Espaço Balboa - São Paulo</t>
  </si>
  <si>
    <t>www.premiopromessagospel.com</t>
  </si>
  <si>
    <t>Amarildo Tavares Produções</t>
  </si>
  <si>
    <t>amarildotvc@gmail.com</t>
  </si>
  <si>
    <t>SÃO PEDRO</t>
  </si>
  <si>
    <t>Festividades de Aniversário da Cidade</t>
  </si>
  <si>
    <t>Em comemoração ao aniversário da cidade de São Pedro, celebrado em 22 de fevereiro de 2026, a Prefeitura Municipal realizará uma programação especial entre os dias 20 e 22 de fevereiro de 2026, com atividades culturais, artísticas e de lazer voltadas à população e aos visitantes.
O ponto alto das festividades será o show especial da dupla Mayck &amp; Lyan, programado para o dia 22/02/2026, como atração principal das comemorações. O evento tem como objetivo valorizar a cultura, promover o entretenimento, fortalecer o sentimento de pertencimento da comunidade e fomentar o turismo e a economia local.
As festividades foram planejadas para oferecer opções de lazer para todas as idades, contribuindo para a integração social, a ocupação dos espaços públicos e a valorização da identidade cultural do município, consolidando-se como um momento de celebração, convivência e desenvolvimento para São Pedro.</t>
  </si>
  <si>
    <t>Praça Central da Cidade</t>
  </si>
  <si>
    <t>Prefeitura Municipal de São Pedro</t>
  </si>
  <si>
    <t>turismo@saopedro.sp.gov.br</t>
  </si>
  <si>
    <t>Rampa, Banheiro Acessível, Outro:</t>
  </si>
  <si>
    <t>MIRACATU</t>
  </si>
  <si>
    <t xml:space="preserve">MIRA COM CRISTO </t>
  </si>
  <si>
    <t>Este ano acontece a 6ª edição do “MIRA COM CRISTO”, um dos maiores encontros gospel do Vale do Ribeira e da Baixada Santista, consolidado como uma importante tradição na cidade de Miracatu/SP. Criado com o propósito de promover a fé cristã, fortalecer a união entre os ministérios locais e estimular o crescimento espiritual da comunidade, o evento reúne milhares de fiéis em momentos marcantes de adoração, louvor, ministração da Palavra e oração.
Ao longo de suas edições, o Mira com Cristo já recebeu grandes nomes do cenário gospel nacional, como Tom Carfi, Fernandinho, Aline Barros, Gabriel Guedes, Cassiane, Camila Barros, Midian Lima e Gabriela Rocha, ampliando sua relevância religiosa e cultural na região.
Além do impacto religioso e cultural, o evento também movimenta a economia local por meio das tendas gastronômicas organizadas pela própria igreja. Anualmente, cerca de 20 ministérios participam, oferecendo uma ampla variedade de opções de alimentação, que vão desde comidas típicas da região até lanches e pratos tradicionais.</t>
  </si>
  <si>
    <t>Recinto ao lado da Câmara Municipal de Miracatu, localizado na Av. Washington Luís, 200 - Centro, Miracatu - SP, 11850-000</t>
  </si>
  <si>
    <t>https://www.instagram.com/prefeituramiracatu/</t>
  </si>
  <si>
    <t>Departamento Municipal de Cultura - Prefeitura de Miracatu</t>
  </si>
  <si>
    <t>Entrada gratuita</t>
  </si>
  <si>
    <t>cultura@miracatu.sp.gov.br</t>
  </si>
  <si>
    <t>LINS</t>
  </si>
  <si>
    <t>Festa do Padroeiro</t>
  </si>
  <si>
    <t>É uma festa tradicional na cidade em comemoração ao padroeiro do município, Santo Antônio, o santo casamenteiro. O evento conta com uma variada programação que inclui quermesse todos os finais de semana com barracas de comida e brincadeiras típicas, shows musicais, encontro de quadrilhas juninas, apresentações musicais, feira de artesanato, trezena em louvor a Santo Antônio, missa no dia dos namorados, missa com benção dos pães e procissão.</t>
  </si>
  <si>
    <t>Rua XV de Novembro, em frente à Catedral de Santo Antônio</t>
  </si>
  <si>
    <t>Paróquia de Santo Antônio de Lins</t>
  </si>
  <si>
    <t>turismo@lins.sp.gov.br</t>
  </si>
  <si>
    <t>Lins Rodeio Fest</t>
  </si>
  <si>
    <t>Evento tradicional da cidade que busca fomentar a economia local por meio da exposição de produtos e serviços de todos os setores produzidos e oferecidos em Lins e região.  A programação do evento é composta por leilões de animais, exposições de raças bovinas e equinas, pequenos animais, exposição de produtos e empresas, workshop empresarial e motivacional, palestras técnicas nas áreas de interesse do evento, feiras tecnológica e comercial, shows de artistas com nomes nacionais e regionais.</t>
  </si>
  <si>
    <t>Realizado no Recinto de Exposições do Sindicato Rural de Lins</t>
  </si>
  <si>
    <t>Prefeitura de Lins</t>
  </si>
  <si>
    <t>Festa de Tsambika</t>
  </si>
  <si>
    <t xml:space="preserve">A festa está ligada à Igreja Ortodoxa Grega de Lins (construída por imigrantes gregos) e é em homenagem à padroeira Panaghya Tsambika. Tradicional evento de celebração da fé, a festa conta com celebrações religiosas, quermesse, apresentações culturais e a esperada gastronomia típica. </t>
  </si>
  <si>
    <t>Rua Campos Sales, 980, nos arredores da Igreja dos Gregos</t>
  </si>
  <si>
    <t>Igreja dos Gregos</t>
  </si>
  <si>
    <t>MOTUCA</t>
  </si>
  <si>
    <t>Centro Paulista</t>
  </si>
  <si>
    <t>Festa de São Sebastião e Aniversário da Cidade 36 anos</t>
  </si>
  <si>
    <t>Motuca Fest 36 anos. Motuca vai ferver.💃🕺  
Preparamos uma programação especial para comemorar o aniversário da nossa cidade com muita alegria, esporte, fé, tradição e diversão para toda a família! Confira o cronograma completo e venha participar 👇
📅 16/01 – Sexta-feira
🕖 22h – DJ Hortão 
📅 17/01 – Sábado
🕚 23h – Sami Rico e DJ Fábio Lopes
📅 18/01 – Domingo
🕖 7h – Corrida
🕔 17h – Banda Marcial de Boa esperança do Sul 
🕚 23h – Banda Beat Samba Music e Dj Cassão 
📅 19/01 – Segunda-feira
🕙 22h – Banda Zenith e Dj Cláudio Nunes 
📅 20/01 – Terça-feira
🕐 13h às 19h – Celebração solene com o tradicional bolo gigante, mega parque inflável, cinema e DJ
✨ Venha comemorar os 36 anos de Motuca com a gente!
Uma festa feita para a nossa cidade e para quem ama Motuca 💚
Além do show principal, a programação conta com esporte, fé e atrações para toda a família durante todos os dias do evento. 
#MotucaFest #36AnosDeMotuca #SamiRico #ShowAoVivo</t>
  </si>
  <si>
    <t>Praça da igraja Matriz, no centro da cidade.</t>
  </si>
  <si>
    <t xml:space="preserve">Facebook da prefeitura Municipal de Motuca </t>
  </si>
  <si>
    <t xml:space="preserve">Igreja Matriz e Prefeitura Municipal </t>
  </si>
  <si>
    <t>Semana da Cultura Japonesa</t>
  </si>
  <si>
    <t>Evento cultural com o objetivo de divulgar a cultura e tradições dos japoneses, realizado pela Prefeitura de Lins, Blue Tree Park Lins e ABCEL (Associação Beneficente Cultural e Esportiva de Lins). Várias são as atrações desta semana, como jantares temáticos, worshop de etiqueta japonesa, oficinas de origami, artes marciais, radio taisso, show de mágica, shows artísticos, concurso de cosplay, concurso da Miss Nikkey, exposição de artes, oficina de culinária japonesa, Bon Odori, Zeladoria do Planeta, entre outros.</t>
  </si>
  <si>
    <t>Hotel Blue Tree Park Lins e Abcel</t>
  </si>
  <si>
    <t>Prefeitura de Lins e Hotel Blue Tree</t>
  </si>
  <si>
    <t>BURITAMA</t>
  </si>
  <si>
    <t>Tietê Vivo</t>
  </si>
  <si>
    <t>1º Festival de Verão de Buritama</t>
  </si>
  <si>
    <t>O 1º Festival de Verão de Buritama é um evento turístico e cultural que integra a programação de verão do município, promovendo lazer, entretenimento e valorização do destino. Realizado no Parque Turístico João Simão Garcia, o festival conta com atrações musicais e estrutura voltada ao público familiar, contribuindo para o fortalecimento do turismo regional, o estímulo à economia local e a projeção de Buritama no cenário turístico do Estado de São Paulo.</t>
  </si>
  <si>
    <t>Endereço: Avenida Antônio Alves Teixeira, s/n Buritama - SP CEP:15291-212 Parque Turístico João Simão Garcia</t>
  </si>
  <si>
    <t>https://www.instagram.com/p/DTStgcKjtt2/?utm_source=ig_web_copy_link&amp;igsh=MzRlODBiNWFlZA==</t>
  </si>
  <si>
    <t>Departamento de Turismo</t>
  </si>
  <si>
    <t>turismo@buritama.sp.gov.br</t>
  </si>
  <si>
    <t>SÃO MIGUEL ARCANJO</t>
  </si>
  <si>
    <t>festa do padroeiro são miguel arcanjo</t>
  </si>
  <si>
    <t>A Festa do Padroeiro de São Miguel Arcanjo é um evento de grande importância religiosa e cultural, celebrado anualmente na Basílica de São Miguel Arcanjo. O evento começa com a Quaresma de São Miguel Arcanjo, que tem início no dia 15 de agosto e termina no dia 28 de setembro, véspera da Festa do Arcanjo. Durante os dias da novena, que ocorrem de 20 a 29 de setembro, a Basílica está cheia de fiéis em pé pelos corredores, participando de missas, novenas e homenagens a São Miguel Arcanjo. A celebração culmina no dia 29 de setembro com a Igreja que celebra liturgicamente os Arcanjos Miguel, Gabriel e Rafael. O evento é um marco de fé e devoção, atrai peregrinos de todas as partes e promove a integração social e o turismo na região</t>
  </si>
  <si>
    <t>basilica de sao miguel arcanjo</t>
  </si>
  <si>
    <t>https://basilicasaomiguelarcanjo.org.br/</t>
  </si>
  <si>
    <t>Basilica</t>
  </si>
  <si>
    <t>turism@saomiguelarcanjo.sp.gov.br</t>
  </si>
  <si>
    <t>Encontro Carros Antigos</t>
  </si>
  <si>
    <t xml:space="preserve">Evento tradicional que acontece na Praça Central, com exposição de veículos clássicos (com mais de 30 anos), shows de bandas, praça de alimentação, mercado de pulgas (venda de peças e antiguidades) e espaço kids, geralmente em julho, celebrando o aniversário da cidade e o Dia do Rock, com apoio da Prefeitura e do Clube de Autos Antigos (CAAC), arrecadando alimentos para solidariedade. </t>
  </si>
  <si>
    <t>R. Reg. Feijó, 251-267 - Centro, Capivari</t>
  </si>
  <si>
    <t>@carrosantigoscapivari</t>
  </si>
  <si>
    <t>Clube Carros Antigos de Capivari</t>
  </si>
  <si>
    <t>@carrosantigoscapivarioficial</t>
  </si>
  <si>
    <t>Encontro de Moto - Moto Fest</t>
  </si>
  <si>
    <t xml:space="preserve">O Encontro de Motos de Capivari é um evento tradicional que acontece na Praça Central, reunindo entusiastas do motociclismo com shows de rock, praça de alimentação, exposições e, por vezes, área de camping, sendo uma celebração da cultura das duas rodas com forte apoio da prefeitura e da comunidade local, atraindo visitantes de diversas cidades e promovendo a economia. </t>
  </si>
  <si>
    <t>Leonorio Eventos</t>
  </si>
  <si>
    <t>Vamor Correr 5K</t>
  </si>
  <si>
    <t>Uma corrida de rua gratuita, realizada pela Prefeitura e Raveli Sports, partindo da Praça Central, promovendo esporte e solidariedade com o pedido de doação de ração animal, e contou com um percurso urbano, pontos de hidratação e premiação simbólica. O evento visa incentivar a prática esportiva e o bem-estar, com um percurso de 5km pelas ruas da cidade.</t>
  </si>
  <si>
    <t>Ruas de Capivari</t>
  </si>
  <si>
    <t>Aniversario de Tarsila</t>
  </si>
  <si>
    <t xml:space="preserve">O evento de aniversário de Tarsila do Amaral ocore no mes de setembro, com destaque para as Exposições Coletivas Comemorativas, que reúnem artistas locais e nacionais em releituras de sua obra, como a 4ª edição em 2025 na Câmara Municipal, com obras de 23 artistas. A cidade também promove o projeto "Pinceladas de Revolução" e tem a Galeria Tarsila do Amaral permanente, recebendo releituras de escolas e artistas, com visitação gratuita. </t>
  </si>
  <si>
    <t>Varios Pontos da Cidade como Praça Central e Centro Cultural</t>
  </si>
  <si>
    <t>casacultura@capivari.sp.gov.br</t>
  </si>
  <si>
    <t>Rampa, Elevador</t>
  </si>
  <si>
    <t>Expo Agro</t>
  </si>
  <si>
    <t xml:space="preserve">ExpoAgro Capivari é uma tradicional festa agropecuária que une entretenimento, negócios e tradição, com programação que inclui shows nacionais sertanejos, rodeio, feira do agronegócio, palestras, atividades para a família e eventos paralelos como a cavalgada e o Baile da Rainha, focando também na solidariedade com ingressos solidários para causas sociais e movimentando a economia local. </t>
  </si>
  <si>
    <t>Portal de entrada da cidade</t>
  </si>
  <si>
    <t>Prefeitura Municipal de Capivari e Parceiros</t>
  </si>
  <si>
    <t>CASA BRANCA</t>
  </si>
  <si>
    <t>Festival do Milho</t>
  </si>
  <si>
    <t>🌽🌽🌽 🌽 Você já viveu uma festa onde o milho é o rei?
O Festival do Milho de Venda Branca está chegando com muitas delícias e sabores da nossa terra!
🎶 Tradição, música boa, gente acolhedora e aquele cheirinho irresistível de pamonha no ar…
 🌽🌽Curau, bolo, milho assado, suco, cuscuz e tantas gostosuras feitas com o que temos de melhor: o milho da nossa roça!
👨‍🌾 Um festival que valoriza o agricultor, celebra a colheita e fortalece nossas raízes culturais com alegria e orgulho.
📍 Em Venda Branca, o campo vira palco e o milho é o grande motivo de festa!
📅 Anota aí: dias 08, 09 e 10 de maio de 2026
Te esperamos no Festival do Milho de Venda Branca!
#FestivalDoMilho #VendaBranca #TradiçãoQueAlimenta #TurismoRural #CulturaCaipira #CasaBrancaSP #FestaDoInterior #OrgulhoRural</t>
  </si>
  <si>
    <t>Av. Jose Carlos Rosa (Praça em frente à Paróquia São Sebastião)</t>
  </si>
  <si>
    <t>https://turismo.casabranca.sp.gov.br</t>
  </si>
  <si>
    <t>Prefeitura Municipal de Casa Branca</t>
  </si>
  <si>
    <t>(19)3671-9720</t>
  </si>
  <si>
    <t xml:space="preserve">Rock na Praça </t>
  </si>
  <si>
    <t xml:space="preserve">Atrações musicais, Doações voluntária para o fundo social, praça de alimentação com venda de alimentos diversos e muito mais
</t>
  </si>
  <si>
    <t>lei 3.261</t>
  </si>
  <si>
    <t>Praça de Eventos- Av. Antônio Massa, 150 - Centro, Poá</t>
  </si>
  <si>
    <t>Cath Produções e Secretaria Municipal de Cultura</t>
  </si>
  <si>
    <t>turismo@poa.sp.gov.br e cultura@poa.sp.gov.br</t>
  </si>
  <si>
    <t>Poá Fest</t>
  </si>
  <si>
    <t>Atrações musicais, Desfile Cívico - Militar, Distribuição do tradicional bolo de aniversário, Brinquedos infláveis, Praça de alimentação com venda de alimentos diversos e Exposição/Venda de artesanato e muito mais.</t>
  </si>
  <si>
    <t>Decreto do feriado: 3.078</t>
  </si>
  <si>
    <t xml:space="preserve">Praça de Eventos - Av. Antônio Massa, 150 - Centro, Poá </t>
  </si>
  <si>
    <t>Prefeitura Hidromineral de Poá e Secretaria Municipal de Cultura</t>
  </si>
  <si>
    <t xml:space="preserve">não possui, a entrada mediante a troca de alimento </t>
  </si>
  <si>
    <t xml:space="preserve">cultura@poa.sp.gov.br e turismo@poa.sp.gov.br </t>
  </si>
  <si>
    <t>Atendimento em Línguas de Sinais, Rampa, Portas Largas para PCR (Pessoa com cadeira de rodas)</t>
  </si>
  <si>
    <t>CASTILHO</t>
  </si>
  <si>
    <t>Torneio de Pesca do Caribe</t>
  </si>
  <si>
    <t>Torneio de Pesca Esportiva de Tucunaré, promovido pelo Caribe Náutico Clube, às margens do Rio Paraná. O evento promove a prática esportiva de pesca com captura, medição e soltura, reunindo pescadores, famílias e visitantes em ambiente de lazer e turismo sustentável. Premiações, sorteios e atividades náuticas completam a programação.</t>
  </si>
  <si>
    <t>Prainha do Caribe Náutico Clube – Castilho/SP – Rio Paraná</t>
  </si>
  <si>
    <t>Caribe Náutico Clube</t>
  </si>
  <si>
    <t>pradopericias@yahoo.com.br</t>
  </si>
  <si>
    <t>CAPÃO BONITO</t>
  </si>
  <si>
    <t>Rastro Rock Fest</t>
  </si>
  <si>
    <t>Evento realizado anualmente, tem como objetivo atrair o público de mototurismo, atraido pelo Rastro da Serpente, uma das rotas mais procuradas do Brasil. O evento conta com apresentações de bandas de Classic Rock de renome, além de praça de alimentação e stands de suporte ao motociclista e promoção de produtos ligados à área.</t>
  </si>
  <si>
    <t>não se aplica</t>
  </si>
  <si>
    <t>Avenida João Antunes Rodrigues, Bairro Cruzeiro, Capão Bonito - SP</t>
  </si>
  <si>
    <t>Prefeitura Municipal de Capão Bonito e Porthal Rastro da Serpente</t>
  </si>
  <si>
    <t xml:space="preserve"> (15) 3543-9900 - (15) 99662-2201</t>
  </si>
  <si>
    <t>CAFELÂNDIA</t>
  </si>
  <si>
    <t>CARNAVAL DO CENTENÁRIO 2026</t>
  </si>
  <si>
    <t xml:space="preserve">Cafelândia abre as festividades celebração de seu centenário com o magnífico e animado Carnaval de Rua 2026. </t>
  </si>
  <si>
    <t>Não se aplica.</t>
  </si>
  <si>
    <t>Avenida Sete de Setembro S/N</t>
  </si>
  <si>
    <t>www.cafelandia.sp.gov.br</t>
  </si>
  <si>
    <t xml:space="preserve">Prefeitura Municpal de Cafelândia </t>
  </si>
  <si>
    <t>turismo@cafelandia.sp.gov.br</t>
  </si>
  <si>
    <t>GUARULHOS</t>
  </si>
  <si>
    <t>Bloco Banda Bicha</t>
  </si>
  <si>
    <t>A Banda Bicha celebra 50 anos como o maior bloco do Alto Tietê e da Região Metropolitana, em uma edição histórica do Carnaval 2026. O evento contará com Claudia Leitte no trio elétrico, além de shows de Mumuzinho, DJ Maju Santana, atrações regionais e oficinas culturais.
A festa acontece no dia 7 de fevereiro, a partir das 11h, com concentração no CME Adamastor, desfile pela Avenida Paulo Faccini e encerramento no Bosque Maia. Serão cerca de seis horas de desfile, reunindo milhares de foliões em um grande espetáculo de música, diversidade e alegria.</t>
  </si>
  <si>
    <t>Rua Lídio Francisco de Santana, s/nº</t>
  </si>
  <si>
    <t>https://www.tycket.com.br/catalog/product/view/id/18850/s/carnaval-bloco-banda-bicha-2026-07-02/?utm_source=ig&amp;utm_medium=social&amp;utm_content=link_in_bio&amp;fbclid=PAZXh0bgNhZW0CMTEAc3J0YwZhcHBfaWQMMjU2MjgxMDQwNTU4AAGnN7owzg1NROHiyc1c73V3dmK7Zm_cWZZVcwF8fiqVtKLHTZiHx3VqKsX6x_Q_aem_-yOVf5jXPq_UwDI4XmS9nA</t>
  </si>
  <si>
    <t>turismo@guarulhos.sp.gov.br</t>
  </si>
  <si>
    <t>ÁGUAS DE SÃO PEDRO</t>
  </si>
  <si>
    <t xml:space="preserve">FESTIVAL DE VERÃO </t>
  </si>
  <si>
    <t xml:space="preserve">SHOWS ESPALHADOS PELA CIDADE  TODAS AS SEXTAS E SABADOS </t>
  </si>
  <si>
    <t xml:space="preserve">AV CARLOS MAURO </t>
  </si>
  <si>
    <t xml:space="preserve">PREFEITURA </t>
  </si>
  <si>
    <t>turismo@aguasdesaopedro.sp.gov.br</t>
  </si>
  <si>
    <t xml:space="preserve">BRINCADEIRAS INFANTIS </t>
  </si>
  <si>
    <t>BRINCADEIRAS , GINCANAS , COMO AS ANTIGAS BRINCADEIRAS DE RODA, CORRIDA NO SACO E ETC. DIAS 17. 24 E 31/01</t>
  </si>
  <si>
    <t xml:space="preserve">CENTRO DE CONVENÇÕES </t>
  </si>
  <si>
    <t>TURISMO@AGUASDESAOPEDRO.SP.GOV.BR</t>
  </si>
  <si>
    <t xml:space="preserve">PRE CARNAVAL </t>
  </si>
  <si>
    <t>MUSICA AO VIVO , APRESENTAÇÕES DIA 07 E 13/02</t>
  </si>
  <si>
    <t xml:space="preserve">ETAPA MUNICIPAL DE TENIS DE MESA </t>
  </si>
  <si>
    <t xml:space="preserve">CAMPEONATO </t>
  </si>
  <si>
    <t>MINI SALÃO DO AUTOMOVEL</t>
  </si>
  <si>
    <t xml:space="preserve">MINIATURAS DE CARROS FEITOS EM MADEIRA </t>
  </si>
  <si>
    <t>PREFEITURA</t>
  </si>
  <si>
    <t xml:space="preserve">GUERREIROS NA LAMA </t>
  </si>
  <si>
    <t xml:space="preserve">COMPETIÇÃO E DESAFIOS </t>
  </si>
  <si>
    <t xml:space="preserve">SEMANA DA MULHER </t>
  </si>
  <si>
    <t xml:space="preserve">EVENTOS VOLTADOS A SAUDE E BEM ESTAR DA MULHER </t>
  </si>
  <si>
    <t>MOTOR ROAD FESTIVAL</t>
  </si>
  <si>
    <t>FEIRA DE ALIMENTAÇÃO , ENCONTRO DE MOTS , SHOWS AO VIO , ACROBACIAS COM MOTOCICLETAS</t>
  </si>
  <si>
    <t xml:space="preserve">PRAÇA DR OCTTAVIO DE MOURA ANDRADE </t>
  </si>
  <si>
    <t xml:space="preserve">AGUAS OPEN DE TENIS </t>
  </si>
  <si>
    <t xml:space="preserve">CAMPEONATO MUNICIPAL DE TENIS </t>
  </si>
  <si>
    <t xml:space="preserve">GRAMADÃO </t>
  </si>
  <si>
    <t>TURISMO2AGUASDESAOPEDRO.SP.GOV.BR</t>
  </si>
  <si>
    <t>CORRIDA DE RUA KALANGAS</t>
  </si>
  <si>
    <t xml:space="preserve">CORRIDA DE 5KM E 10 KM </t>
  </si>
  <si>
    <t>AV CARLOS MAURO</t>
  </si>
  <si>
    <t>PROGRAMAÇÃO DE PÁSCOA</t>
  </si>
  <si>
    <t>CASA DO COELHO</t>
  </si>
  <si>
    <t>TURISMO@AGUASDESAOPEDRO.SP.GOV.BR'</t>
  </si>
  <si>
    <t xml:space="preserve">FESTIVAL DE DANÇA REVIVER </t>
  </si>
  <si>
    <t xml:space="preserve">DIVERSAS MODALIDADES DE DANÇA </t>
  </si>
  <si>
    <t>AGUAS EM MOVIMENTO</t>
  </si>
  <si>
    <t>DIVERSAS APRESENTAÇÕES DE DANÇA, DIAS 11,12,25 E 26/04</t>
  </si>
  <si>
    <t xml:space="preserve"> </t>
  </si>
  <si>
    <t xml:space="preserve">SESC CIRCUITO DE ARTES </t>
  </si>
  <si>
    <t>APRESENTAÇÕES MUSICAIS</t>
  </si>
  <si>
    <t>FESTIVAL VIVA PIXINGUINHA</t>
  </si>
  <si>
    <t>SAMBAS EM HOMENAGEM  AO GRANDE ARTISTA</t>
  </si>
  <si>
    <t>BOULEVARD</t>
  </si>
  <si>
    <t xml:space="preserve">CAMINHADA PELA INCLUSÃO </t>
  </si>
  <si>
    <t xml:space="preserve">CAMINHADA PELAS RUAS DA CIDADE </t>
  </si>
  <si>
    <t xml:space="preserve">INSANOS MOTO CLUBE </t>
  </si>
  <si>
    <t>ENCONTRO DE MOTOS</t>
  </si>
  <si>
    <t xml:space="preserve">DIA DAS MÃES </t>
  </si>
  <si>
    <t xml:space="preserve">SAXOFONISTA E DISTRIBUIÇÃO DE LEMBRANÇAS </t>
  </si>
  <si>
    <t>SOROCABA</t>
  </si>
  <si>
    <t>CarnaRock Meow</t>
  </si>
  <si>
    <t>Festa de Carnaval com muito Rock para quem não curte músicas de carnaval.</t>
  </si>
  <si>
    <t>Toca Los Gatos - Rua Diadema, 500 - Jd Leocadia Sorocada SP</t>
  </si>
  <si>
    <t>https://www.instagram.com/reel/DTvxQGEkmuX/?utm_source=ig_web_copy_link&amp;igsh=MzRlODBiNWFlZA==</t>
  </si>
  <si>
    <t>Cervejaria Los Gatos</t>
  </si>
  <si>
    <t>cervejalosgatos@gmail.com</t>
  </si>
  <si>
    <t>CANANÉIA</t>
  </si>
  <si>
    <t xml:space="preserve">Carnaval do Primeiro Povoado do brasil </t>
  </si>
  <si>
    <t>O Carnaval do Primeiro Povoado do Brasil reafirma Cananéia como destino turístico-cultural de destaque no Estado de São Paulo, promovendo tradição, inclusão, alegria e ocupação qualificada dos espaços públicos, fortalecendo o turismo, a economia local e o sentimento de pertencimento da população.</t>
  </si>
  <si>
    <t xml:space="preserve">Avenida beira Mar </t>
  </si>
  <si>
    <t xml:space="preserve">Prefeitura Municipal de Cananeia </t>
  </si>
  <si>
    <t>turismo@cananeia.sp.gov.br</t>
  </si>
  <si>
    <t xml:space="preserve">Open Fight </t>
  </si>
  <si>
    <t xml:space="preserve">Torneio de artes marciais </t>
  </si>
  <si>
    <t xml:space="preserve">Av Carlos Mauro </t>
  </si>
  <si>
    <t xml:space="preserve">ESCUDERIA FEST SHOW </t>
  </si>
  <si>
    <t xml:space="preserve">EXPOSIÇÃO DE FUSCAS </t>
  </si>
  <si>
    <t>COPA DE BASQUETE MASTER</t>
  </si>
  <si>
    <t xml:space="preserve">TORNEIO INTERNACIONAL DE BASQUETE MASTER </t>
  </si>
  <si>
    <t xml:space="preserve">FESTIVAL DE QUADRILHAS JUNINAS </t>
  </si>
  <si>
    <t>DANÇAS E COMIDAS TIPICAS DE PERIODO JUNINO</t>
  </si>
  <si>
    <t xml:space="preserve">PRAÇA DR OCTAVIO DE MOURA ANDRADE </t>
  </si>
  <si>
    <t>FESTA DE SANTO ANTONIO</t>
  </si>
  <si>
    <t xml:space="preserve">FESTA JUNINA COM COMIDAS TIPICAS </t>
  </si>
  <si>
    <t xml:space="preserve">ASSOCIAÇÃO PLANTANDO SONHOS E PREFEITURA </t>
  </si>
  <si>
    <t>TORNEIO MUNICIPAL</t>
  </si>
  <si>
    <t xml:space="preserve">ETAPA PAULISTA DE TENIS DE MESA </t>
  </si>
  <si>
    <t xml:space="preserve">TORNEIO PAULISTA </t>
  </si>
  <si>
    <t>FESTIVAL DE DANÇA ADRS</t>
  </si>
  <si>
    <t>DIVERSAS MODALIDADES DE DANÇA</t>
  </si>
  <si>
    <t>KULTURA KUSTOM</t>
  </si>
  <si>
    <t xml:space="preserve">SHOWS AO VIVO, EXPOSIÇÃO DE CARROS CUSTOMIZADOS , PRAÇA DE ALIMENTAÇÃO </t>
  </si>
  <si>
    <t>FESTIVAL DE INVERNO</t>
  </si>
  <si>
    <t xml:space="preserve">MUSICA AO VIVO EM DIVERSOS PONTOS DA CIDADE DURANTE TODO MES DE JULHO AOS FDS </t>
  </si>
  <si>
    <t>Brincadeiras de roda , corrida no saco , entre outras. DATAS 04, 11 E 25/07</t>
  </si>
  <si>
    <t>AGUAS VOLEI FEST INTERNACIONAL</t>
  </si>
  <si>
    <t xml:space="preserve">TORNEIO DE VOLEI </t>
  </si>
  <si>
    <t>GUARIBA</t>
  </si>
  <si>
    <t xml:space="preserve">Festa do Peão de Guariba. </t>
  </si>
  <si>
    <t>Festa do Peão de Guariba é um evento consolidado, realizado há mais de 30 anos, atraindo um público superior a 25.000 pessoas da cidade e de toda a região durante os 3 dias de festa. O evento conta com montarias em touros, tropa, provas cronometradas e shows com artistas renomados da cena sertaneja brasileira.</t>
  </si>
  <si>
    <t>Centro de Lazer José Deodato, Vila Rocca  - GUARIBA/SP</t>
  </si>
  <si>
    <t xml:space="preserve">Comissão Local </t>
  </si>
  <si>
    <t>https://www.guicheweb.com.br/</t>
  </si>
  <si>
    <t>contato@festadopeaodeguariba.com.br</t>
  </si>
  <si>
    <t xml:space="preserve">TOP CARS </t>
  </si>
  <si>
    <t xml:space="preserve">EXPOSIÇÃO DE CARROS ESPORTIVOS </t>
  </si>
  <si>
    <t xml:space="preserve">FESTIVAL SABORES DE AGUAS </t>
  </si>
  <si>
    <t>PRAÇA DE ALIMENTAÇÃO , SHOWS AO VIVO</t>
  </si>
  <si>
    <t>PRAÇA DR OCTAVIO DE MOURA ANDRADE</t>
  </si>
  <si>
    <t>AGUAS CULT</t>
  </si>
  <si>
    <t xml:space="preserve">EVENTO DE INCENTIVO A CULTURA </t>
  </si>
  <si>
    <t>AGUAS ZEN</t>
  </si>
  <si>
    <t xml:space="preserve">FEIRA DE PRODUTO S E TERAPIAS HOLISTICAS </t>
  </si>
  <si>
    <t xml:space="preserve">ENCONTRO NACIONAL DE PICK UPS </t>
  </si>
  <si>
    <t>EXPOSIÇÃO DE CARROS ANTIGOS E FEIRA DE PULGAS</t>
  </si>
  <si>
    <t>FESTIVAL DE ORQUIDEAS</t>
  </si>
  <si>
    <t xml:space="preserve">DIVERSOS TIPOS DE ORQUIDEAS </t>
  </si>
  <si>
    <t>ETAPA MUNICIPAL DE TENIS DE MESA</t>
  </si>
  <si>
    <t>TIRO COM ARCO</t>
  </si>
  <si>
    <t>CAMPEONATO DE TIRO COM ARCO</t>
  </si>
  <si>
    <t xml:space="preserve">STREET AGUAS SKATE </t>
  </si>
  <si>
    <t xml:space="preserve">MANOBRAS E SHOWS AO VIVO </t>
  </si>
  <si>
    <t xml:space="preserve">FESTA DAS CRIANÇAS </t>
  </si>
  <si>
    <t xml:space="preserve">BRINQUEDOS  E GINCANAS </t>
  </si>
  <si>
    <t>CAVALGADA NOSSA SENHORA APARECIDA</t>
  </si>
  <si>
    <t xml:space="preserve">DESFILE DE CAVALOS </t>
  </si>
  <si>
    <t xml:space="preserve">TURISMO@AGUASDESAOPEDRO.SP.GOV.BR </t>
  </si>
  <si>
    <t>PROJETO BIAB</t>
  </si>
  <si>
    <t>INCENTIVO A LEITURA</t>
  </si>
  <si>
    <t xml:space="preserve">URISMO@AGUASDESAOPEDRO.SP.GOV.BR </t>
  </si>
  <si>
    <t>PARADA DE HALLOWEEN</t>
  </si>
  <si>
    <t xml:space="preserve">DESFIL DE FANTASIAS </t>
  </si>
  <si>
    <t>AMPPESP FOMENTA 2026</t>
  </si>
  <si>
    <t>PALESTRAS, ESTANDES , ENTRADA GRATUITA</t>
  </si>
  <si>
    <t>NATAL ILUMINADO</t>
  </si>
  <si>
    <t>SHOWS, CASA DE NEL, MUSICA E DANÇA</t>
  </si>
  <si>
    <t xml:space="preserve">AV CARLKOS MAURO </t>
  </si>
  <si>
    <t>MOSTRA "BOA NOVA"DE PRESEPIOS EM FOCO</t>
  </si>
  <si>
    <t xml:space="preserve">MOSTRA DE PRESEPIOS </t>
  </si>
  <si>
    <t>CAMARA MUNICIPAL</t>
  </si>
  <si>
    <t>REVEILLON</t>
  </si>
  <si>
    <t xml:space="preserve">SHOWS AO VIVO </t>
  </si>
  <si>
    <t>PRACA WILSON MODESTO</t>
  </si>
  <si>
    <t>Shows de Aniversário da Emancipação (Estação Verão Show)</t>
  </si>
  <si>
    <t>Para celebrar os 59 anos de aniversário de Praia Grande, a programação do maior festival de verão do país terá novamente três dias de apresentações. A sexta (16) será de muito sertanejo com Zé Neto &amp; Cristiano e sofrência de Natanzinho Lima. Já no sábado (17), Ludmilla e Ivete Sangalo, esta de forma inédita no festival, vão agitar o Kartódromo Municipal. Já na véspera do aniversário (18), o forró estilizado de Henry Freitas e o romantismo de Jorge e Mateus encantarão o público presente.
As apresentações na sexta e sábado estão com início previsto a partir das 22 horas, com abertura dos portões às 19 horas. Já no domingo, os horários serão diferenciados: os shows começarão mais cedo, tendo entrada permitida a partir das 18 horas. Os ingressos seguem à venda pelo site www.estacaoveraopg.com.br, Palácio das Artes (segunda a sábado, das 12h às 19h – exceto quarta, das 12h às 18h) e outros pontos de comercialização descritos no site. O evento conta com estrutura 100% coberta, tendo, neste ano, os setores de Pista, Pista Premium, FrontStage e Backstage do Barão.
Para mais informações acompanhe nossas redes: @palaciodasartespg / @prefpraiagrande / turismo.praiagrande.sp.gov.br
(Evento sujeito a alterações)</t>
  </si>
  <si>
    <t>Kartódromo Municipal de Praia Grande: R. José Bonifácio, s/n - Sítio do Campo, Praia Grande - SP, 11725-420</t>
  </si>
  <si>
    <t>http://guicheweb.com.br/estacao-verao-show-2026_46424</t>
  </si>
  <si>
    <t>Jabuticaba Rodeo Festival</t>
  </si>
  <si>
    <t xml:space="preserve">O Jabuticaba Rodeo Festival é um evento marcante realizado em junho, que combina as tradicionais atrações de rodeio com uma celebração da cultura local e da deliciosa jabuticaba. A festa conta com:
Shows com Artistas Renomados: O evento traz apresentações de grandes nomes da música, especialmente do sertanejo e outros estilos populares, garantindo uma programação musical vibrante para os participantes.
Rodeio: Como parte da tradição, o rodeio é uma atração central, com competições emocionantes que atraem o público que aprecia a adrenalina e as habilidades dos peões e cowboys.
Praça de Alimentação: A variedade gastronômica é um destaque, com muitas opções de comidas típicas e inovadoras. Uma das principais atrações culinárias é a utilização da jabuticaba em diversas receitas, como doces, sucos, licores e até pratos salgados, valorizando a fruta típica da região.
Público: O evento é aguardado por muitas pessoas e tem uma estimativa de 5 mil participantes por noite, o que torna a atmosfera animada e cheia de energia.
O Jabuticaba Rodeo Festival se consolidou como uma grande festa, atraindo turistas e moradores locais para um evento que mistura o tradicional com a inovação, especialmente ao oferecer pratos especiais com jabuticaba, tornando a festa única e inesquecível.
</t>
  </si>
  <si>
    <t>Cice - Centro Integrado de Cultura e Eventos - Praça Rui Barbosa, 56</t>
  </si>
  <si>
    <t xml:space="preserve">https://www.facebook.com/share/189QqVfcHc/?mibextid=wwXIfr </t>
  </si>
  <si>
    <t>https://turismo.casabranca.sp.gov.br/</t>
  </si>
  <si>
    <t>SÃO CARLOS</t>
  </si>
  <si>
    <t>Carnaval São Carlos -  2026</t>
  </si>
  <si>
    <t xml:space="preserve">O Carnaval de São Carlos – SP acontece  nos dias 14, 15,  16 e 17  de fevereiro com atrações na Praça XV de Novembro, no Grêmio Recreativo Flor de Maio, no Parque do Bicão e nos distritos de Santa Eudóxia e Água Vermelha além  de blocos desfilando na Avenida São Carlos (centro da cidade) e nas ruas do bairro Cidade Aracy
Organizado pela Secretaria Municipal de Cultura e Turismo os artistas foram contratados por meio de editais públicos que reúnem  blocos de carnaval e apresentações artísticas (shows, divididos em bandas de metais com marchinhas, de samba e pagode, de axé music, banda baile e DJ – apresentação solo)  durante as festividades do carnaval 2026 em São Carlos.   O Carnaval 2026 de São Carlos acontece também no Grêmio Recreativo Flor de Maio, clube de longa trajetória na vida cultural de São Carlos Os bailes  acontecem nos dias 14 (sábado) e 17 (terça) de fevereiro e a iniciativa busca valorizar a memória e a expressão cultural carnavalesca. 
Cronograma do Carnaval 2026
**As bandas ou Dj, ainda serão definidos após finalização do processo de chamamento
PRAÇA XV DE NOVEMBRO
14/02 – 16h às 20h 
15/02  - 16h às 20h	 16/02 – 16h às 20h	                                      
BLOCOS
15/02 - das 16h  às 20h em Circuito pelo bairro Cidade Aracy
17/02 - das 16h às 20h – no Circuito Centro (Avenida São Carlos)	
GRÊMIO RECREATIVO FLOR DE MAIO
14/02 das 20h às 00h 17/02 das 20h às 00h	 
PARQUE DO BICÃO 
15/02 - das 16h às 20h  
DISTRITO DE SANTA EUDOXIA 
Data e horário a serem definidos
DISTRITO DE ÁGUA VERMELHA
15/02  -  das 16h às 20h
</t>
  </si>
  <si>
    <t>Diversos pontos da cidade</t>
  </si>
  <si>
    <t xml:space="preserve">Prefeitura Municipal de São Carlos </t>
  </si>
  <si>
    <t>cemacsaocarlos@gmaill.com</t>
  </si>
  <si>
    <t>SERRA NEGRA</t>
  </si>
  <si>
    <t>Aniversário de Serra Negra</t>
  </si>
  <si>
    <t>O Aniversário de Serra Negra é um momento especial para celebrar a rica história e o desenvolvimento da cidade. Realizado anualmente , o evento reúne moradores e visitantes para celebrar  a data  de fundação e celebrar a cultura local.</t>
  </si>
  <si>
    <t xml:space="preserve">Centro de Exposições Casco de Ouro - Avenida Juca Preto, 1972 </t>
  </si>
  <si>
    <t>https://www.serranegra.sp.gov.br/turismo</t>
  </si>
  <si>
    <t>Secretaria de Turismo e Desenvolvimento Econômico</t>
  </si>
  <si>
    <t>dir.turismo@serranegra.sp.gov.br</t>
  </si>
  <si>
    <t>Crochetaço Circuito das Águas</t>
  </si>
  <si>
    <t>O objetivo do evento é mostrar o trabalho do Quadradinhos do Amor e ensinar todos aqueles que quiserem aprender a fazer crochê e tricô.</t>
  </si>
  <si>
    <t>Praça João Zelante</t>
  </si>
  <si>
    <t>A Festa das Nações em Serra Negra é um evento vibrante e multicultural que celebra  a diversidade  de culturas  do mundo. Realizada anualmente, a festa reúne pessoas de diferentes origens para compartilhar suas tradições, costumes e gastronomia.</t>
  </si>
  <si>
    <t>Praça John Fitzgerald Kennedy</t>
  </si>
  <si>
    <t xml:space="preserve">Secretaria de Turismo e Desenvolvimento Econômico </t>
  </si>
  <si>
    <t>Festa D´Itália</t>
  </si>
  <si>
    <t>A Festa D´Itália  em Serra Negra  é um evento que celebra a rica cultura e gastronomia italiana, com um toque especial da Serra. Realizada anualmente, a festa reúne moradores e visitantes para celebrar a história da imigração italiana na região e celebrar o aniversário da cidade.</t>
  </si>
  <si>
    <t>Festa Julina na Serra</t>
  </si>
  <si>
    <t>A Festa Julina na Serra, realizada em Serra Negra, é um evento que reúne tradição, cultura e muita alegria, a festa oferece diversas atrações para todos os gostos.</t>
  </si>
  <si>
    <t>Serra Negra In Concert - Festival de Inverno</t>
  </si>
  <si>
    <t xml:space="preserve">O Serra Negra In Concert é um festival de inverno que transforma a charmosa cidade de Serra Negra em um palco vibrante de música, cultura e diversão. Realizado anualmente, o evento reúne artistas renomados e talentos locais em diversas apresentações ao longo de 45 dias de programação, proporcionando uma experiência única para os amantes da música e da cultura. </t>
  </si>
  <si>
    <t>Praça João Zelante, Fontana Di Trevi, Praça Barão do Rio Branco, Praça Talisma, Feira de Artesanato Therezinha de Jesus Mielli Fioravanti...</t>
  </si>
  <si>
    <t>Festival do Café e Riquezas da Serra</t>
  </si>
  <si>
    <t>O Festival do Café e Riquezas da Serra é um evento que celebra a rica gastronomia da região, reunindo produtores locais e visitantes em um verdadeiro banquete para os sentidos.</t>
  </si>
  <si>
    <t>Natal luzes da Serra</t>
  </si>
  <si>
    <t xml:space="preserve">O Natal Luzes da Serra é um evento que transforma a cidade de Serra Negra em um verdadeiro conto de fadas. Com mais de dois milhões de lâmpadas iluminando as ruas, praças e construções, a cidade se veste de luzes e cores, criando um ambiente mágico e festivo. Além das inúmeras apresentações artísticas e musicais ao longo de 45 dias de evento. </t>
  </si>
  <si>
    <t xml:space="preserve">Praças e ruas centrais do município... </t>
  </si>
  <si>
    <t>Paixão de Cristo na Serra</t>
  </si>
  <si>
    <t>A Paixão de Cristo na Serra é uma representação teatral grandiosa que acontece anualmente em Serra Negra. A peça, que recria os últimos momentos da vida de Jesus Cristo, desde a Santa Ceia até a crucificação.</t>
  </si>
  <si>
    <t>Praça Barão do Rio Branco</t>
  </si>
  <si>
    <t>Encanto das Luzes (Parada de Natal)</t>
  </si>
  <si>
    <t xml:space="preserve">O Encanto das Luzes é a Parada  de Natal mais esperada de Serra Negra. Um evento que transforma as ruas da cidade em um verdadeiro conto de fadas natalino, com luzes cintilantes, música contagiante e muita alegria. O ponto alto da festa é o desfile do Papai Noel em seu trenó, um momento mágico que encanta crianças e adultos, espalhando a magia do Natal por toda a cidade. </t>
  </si>
  <si>
    <t>Rua Coronel Pedro Penteado</t>
  </si>
  <si>
    <t>O Reveillon em Serra Negra é uma celebração especial, marcada por diversas atrações musicais que atrai munícipes, turistas e visitantes de toda a região.</t>
  </si>
  <si>
    <t>Avenida Laudo Natel</t>
  </si>
  <si>
    <t>JUQUITIBA</t>
  </si>
  <si>
    <t>JUQUI FOLIA 2026</t>
  </si>
  <si>
    <t xml:space="preserve">Serão 04 dias de folia, sendo eles: 01 dia em Praça Pública e 03 em Avenida principal. </t>
  </si>
  <si>
    <t>Não se aplica</t>
  </si>
  <si>
    <t>1º dia do evento: 14/02 - Av Tancredo de Almeida Neves - Praça do PEC e Dias 15, 16, 17/02 na Av Juscelino Kubitschek de Oliveira - Altura o Banco Bradesco</t>
  </si>
  <si>
    <t>Prefeitura Municipal de Juquitiba</t>
  </si>
  <si>
    <t xml:space="preserve"> cultura@juquitiba.sp.gov.br        sec.educacao@juquitiba.sp.gov.br</t>
  </si>
  <si>
    <t>Festival de Verão</t>
  </si>
  <si>
    <t>O Festival de Verão de Serra Negra movimenta o Circuito das Águas com uma programação gratuita que reúne shows ao vivo e cultura nas principais praças da cidade. O evento busca atrair turistas e moradores durante as férias, unindo o clima de montanha ao lazer para toda a família e impulsionando o comércio local.</t>
  </si>
  <si>
    <t>Principais praças da região central da cidade</t>
  </si>
  <si>
    <t>Acender das Luzes de Natal</t>
  </si>
  <si>
    <t>Event natalino, com o proposito de Inalgurar as luzes e decorações natalinas na praça da cidade, realizando o acender, com show de fogos de artificio acompanhados de musica natalina, e diversas apresentaçoes culturais de dança e canto.</t>
  </si>
  <si>
    <t>Evento realizado com o intuito de realizar a chegada do papai noel no municipio, trazendo alegria as crianças. Oevento conta com a Cachorro-quente, pipoca, algodão-doce e refrigerante gratuito para a população presente, alem de presentear as crianças do municipio com um brinquedo, como presente natalino.</t>
  </si>
  <si>
    <t>Véspera de Natal</t>
  </si>
  <si>
    <t>Em comemoração ao Natal, é realizado na Véspera da data um evento com show artistico marcando a virada do dia 24 para o dia 25 de dezembro.</t>
  </si>
  <si>
    <t>Praça  Cândido Brasil Estrela</t>
  </si>
  <si>
    <t>Mira Estrela Fest</t>
  </si>
  <si>
    <t>Evento realizado no dia 30 de dezembro, antecedendo o ultimo dia do ano. Evento musical, contando com shows artisticos.</t>
  </si>
  <si>
    <t>Evento realizado no ultimo dia do ano (31 de dezembro), onde é comemorado a Virada de Ano, marcado com uma tradicional queima de fogos à meia noite, e shows artisticos para animar a data em questão.</t>
  </si>
  <si>
    <t>Expo Uva</t>
  </si>
  <si>
    <t>A Expo Uva é mais que uma festa, é um símbolo vivo da força da tradição e da história de Itupeva. Desde 1967, quando nasceu para valorizar o cultivo da uva – atividade que impulsionou o desenvolvimento da cidade após a crise do café. O evento se tornou um marco que atravessa gerações.
Todos os anos a Expo Uva transforma Itupeva em um grande palco cultural e agrícola. É o momento em que a cidade celebra sua identidade com brilho, emoção e união. O Concurso de Uvas Niágara, a escolha da Corte da Uva, os shows, as apresentações culturais e toda atmosfera festiva, reforçam o orgulho de um povo que preserva suas raízes e projeta seu futuro.
Reconhecida como o maior evento da cidade, a Expo Uva coloca Itupeva no mapa do turismo, destacando-se como um destino que encanta pela tradição, pela hospitalidade e pela força da produção agrícola.
A festa é uma vitrine poderosa, nela, produtores rurais e empreendedores familiares apresentam o melhor da região – uvas Niágara, vinhos, mel, geleias, frutas artesanato e muito mais. Um show de sabores, talentos e histórias que fortalecem a economia local e aproximam comunidade e visitantes.
A Expo Uva não é apenas um evento. É uma celebração de uma cidade que cresce sem perder suas raízes.</t>
  </si>
  <si>
    <t>Parque da Cidade   Av: Emílio Chechinato, 706</t>
  </si>
  <si>
    <t>https://itupeva.sp.gov.br/</t>
  </si>
  <si>
    <t>Prefeitura Municipal de itupeva</t>
  </si>
  <si>
    <t>O evento oferece menus especiais, degustações, aulas e shows, com o objetivo de fortalecer a cultura e o turismo local. Almoços/jantares temáticos, degustações de vinhos, cafés e bebidas artesanais, além de aulas e palestras.</t>
  </si>
  <si>
    <t>Consulte os estabelecimentos participantes.</t>
  </si>
  <si>
    <t>SERTÃOZINHO</t>
  </si>
  <si>
    <t>Carnalegria 2026</t>
  </si>
  <si>
    <t>Os dias e locais de ativação do Carnalegria 2026 já estão definidos: na sexta, 13, a partir das 19h, acontece o tradicional Baile de Carnaval do CCI (Centro de Convivência do Idoso).
 No sábado, dia 14 de fevereiro, acontece a “Matinê de Carnaval”, das 16h às 20h, na quadra do Centro Esportivo “Claudemir Moura” (Karazinho), e o “Sambando no Parque”, a partir das 14h, no Parque Ecológico e de Lazer “Gustavo Simioni”.
No domingo, dia 15, a folia continua no Parque Ecológico com o “Sambando no Parque”, a partir das 14h. Já a Praça Mané Gaiola sedia a “Folia do Mané”, das 16h às 22h.
A programação segue na segunda-feira, dia 16, com mais uma “Matinê de Carnaval”, das 16h às 20h, na quadra da escola “Prefeita Maria Neli Mussa Tonielo”.
Na terça-feira, dia 17, o “Sambando no Parque” retorna ao Parque Ecológico a partir das 12h, enquanto a Praça Mané Gaiola finaliza o carnaval com a “Folia do Mané”, das 16h às 22h.
Cruz das Posses também terá programação especial, com três dias de atividades na Praça Central. No sábado, dia 14, a folia acontece das 20h à meia-noite. No domingo, dia 15, será realizada a Matinê de Carnaval, das 16h às 20h, garantindo diversão para crianças, jovens e famílias. Na terça, 17, a festa será das 16h às 23h.</t>
  </si>
  <si>
    <t xml:space="preserve">CCI (Centro de Convivência do Idoso): R. Washington Luiz, 603 - Alto da Semar, Sertãozinho - SP, 14170-610; Centro Poliesportivo “Claudemir Moura – Karazinho”: R. Benjamin Gonçalves, 420 - Sertãozinho, SP, 14165-394; Parque Ecológico e de Lazer “Gustavo Simioni”: Av. Dr. Romeu Bonini, s/nº - Água Vermelha, Sertãozinho - SP, 14175-300; Praça Manoel Rodrigues Santinho “Mané Gaiola”: R. Elpídio Gomes, 1050 - Centro, Sertãozinho - SP, 14160-620; E.M.E.I.F. "Prefeita Maria Neli Mussa Tonielo": R. Eugênio Mariano Rossin, 443 - Jardim Campo Alegre, Sertãozinho - SP, 14178-086; Praça Dr. Isaias José Ferreira (Praça Central): Cruz das Posses, Sertãozinho – SP. </t>
  </si>
  <si>
    <t>https://www.sertaozinho.sp.gov.br/portal/noticias/0/3/12613/grito-de-carnaval-anuncia-a-chegada-do-carnalegria-2026-no-dia-08-de-fevereiro/</t>
  </si>
  <si>
    <t>Governo Municipal da Estância Turística de Sertãozinho, por meio da Secretaria de Cultura e Turismo.</t>
  </si>
  <si>
    <t>turismo@sertaozinho.sp.gov.br</t>
  </si>
  <si>
    <t>TORRINHA</t>
  </si>
  <si>
    <t>Carnaval 2026</t>
  </si>
  <si>
    <t xml:space="preserve">Tradicional, autêntico e cheio de identidade, o Carnaval de Torrinha chega à sua 95ª edição celebrando uma das manifestações culturais mais queridas da cidade: o desfile dos bonecões, que transforma as ruas em um grande palco de alegria, memória e tradição popular.
Reconhecido como um dos principais eventos do calendário turístico municipal, o Carnaval movimenta intensamente a economia local e regional, atraindo milhares de visitantes todos os dias. A programação reúne blocos de rua, apresentações culturais, artistas locais e regionais, além das tradicionais matinês, que garantem diversão para toda a família e aproximam as crianças desde cedo das expressões culturais torrinhenses.
Com expectativa de público de cerca de 15 mil pessoas por dia, o evento envolve empreendedores da gastronomia, comércio, hospedagem e todo o trade turístico, gerando impacto econômico significativo e fortalecendo o turismo como vetor de desenvolvimento.
Mais do que festa, o Carnaval de Torrinha é uma experiência cultural completa, que valoriza as tradições locais, promove o encontro entre moradores e visitantes e consolida o município como destino turístico no interior paulista. </t>
  </si>
  <si>
    <t>Praça São José, s/n</t>
  </si>
  <si>
    <t>turismo@torrinha.sp.gov.br</t>
  </si>
  <si>
    <t>CARAGUATATUBA</t>
  </si>
  <si>
    <t>Litoral Norte de São Paulo</t>
  </si>
  <si>
    <t>Circuito Mares</t>
  </si>
  <si>
    <t>Etapa do Circuito Mares, evento esportivo de praia que reúne competições aquáticas e terrestres, promovendo esporte, turismo e integração entre atletas e público na Praia da Cocanha</t>
  </si>
  <si>
    <t>Praia da Cocanha – Caraguatatuba/SP</t>
  </si>
  <si>
    <t>https://www.circuitomares.com.br/</t>
  </si>
  <si>
    <t>Circuito Mares com apoio da Prefeitura Municipal de Caraguatatuba</t>
  </si>
  <si>
    <t>contato@circuitomares.com.br</t>
  </si>
  <si>
    <t>Carnaguá Folia 2026</t>
  </si>
  <si>
    <t>O Carnaval de Caraguatatuba é um dos principais eventos do calendário turístico do município, oferecendo uma programação vibrante e descentralizada com desfiles, blocos carnavalescos, shows musicais e atrações culturais para todas as idades. A festa movimenta diferentes regiões da cidade, valoriza a cultura popular e impulsiona o turismo, recebendo moradores e visitantes em um ambiente de alegria, diversidade e celebração.</t>
  </si>
  <si>
    <t>Programação descentralizada em diversos bairros, como Centro, Massaguaçu e Travessão</t>
  </si>
  <si>
    <t>www.caraguatatuba.sp.gov.br/</t>
  </si>
  <si>
    <t>Prefeitura Municipal de Caraguatatuba</t>
  </si>
  <si>
    <t>turismo@caraguatatuba.sp.gov.br</t>
  </si>
  <si>
    <t>9º Navegar Experience</t>
  </si>
  <si>
    <t>O Navegar Experience é um evento voltado à valorização do turismo náutico e das atividades marítimas, oferecendo ao público experiências de navegação, esportes náuticos e vivências no ambiente costeiro. A iniciativa promove o contato direto com o mar, incentiva a educação ambiental e fortalece a identidade turística de Caraguatatuba como destino de turismo náutico.</t>
  </si>
  <si>
    <t>Av. Dr. Arthur da Costa Filho, 25, Secretaria de Turismo - Centro, Caraguatatuba - SP</t>
  </si>
  <si>
    <t>www.caragua.tur.br</t>
  </si>
  <si>
    <t xml:space="preserve">Prefeitura Municipal de Caraguatatuba </t>
  </si>
  <si>
    <t>Haka Race</t>
  </si>
  <si>
    <t>O Haka Race – etapa Caraguatatuba é uma prova do circuito nacional de corrida de aventura que desafia participantes em ambientes naturais, combinando atividades físicas e habilidades técnicas. A competição estimula resistência, estratégia e trabalho em equipe, reunindo atletas de diferentes regiões e promovendo o turismo esportivo, o contato com a natureza e o desenvolvimento de experiências outdoor no município</t>
  </si>
  <si>
    <t>Centro, Caraguatatuba/SP</t>
  </si>
  <si>
    <t>https://hakarace.com.br/</t>
  </si>
  <si>
    <t>HakaRcae com apoio da Prefeitura Municipal de Caraguatatuba</t>
  </si>
  <si>
    <t>contato@hakarace.com</t>
  </si>
  <si>
    <t>XTERRA</t>
  </si>
  <si>
    <t>O calendário competitivo do XTERRA Brasil 2026 passa por Caraguatatuba, no litoral norte de São Paulo. Pelo quarto ano consecutivo, o Portal da Mata Atlântica recebe o circuito em um cenário onde mar, montanha e floresta se encontram.
Trilhas técnicas, single tracks úmidos e subidas exigentes desenham um percurso que exige adaptação, foco e espírito aventureiro — características fundamentais no início da temporada.
Com Triathlon Sprint, Trail Run e Kids, Caraguatatuba conecta novos atletas ao XTERRA e reforça o sentimento de comunidade entre quem já vive o off-road como estilo de vida.</t>
  </si>
  <si>
    <t>Praça dos Bombeiros Av. Aldino Schiavi, 145 - Martim de Sá - Caraguatatuba/SP</t>
  </si>
  <si>
    <t>https://xterrabrasil.com.br/</t>
  </si>
  <si>
    <t xml:space="preserve">XTERRA com apoio da Prefeitura Municipal de Caraguatatuba </t>
  </si>
  <si>
    <t>atendimento@xterrabrasil.com.br</t>
  </si>
  <si>
    <t>A Encenação da Paixão de Cristo é um evento cultural e religioso que retrata, por meio do teatro ao ar livre, os principais momentos da vida, morte e ressurreição de Jesus Cristo. Tradicional no calendário do município, o espetáculo reúne grande público, promove reflexão, fé e emoção, além de valorizar artistas locais e fortalecer o turismo religioso em Caraguatatuba.</t>
  </si>
  <si>
    <t>Complexo Turistico do Mirante do Camaroeiro</t>
  </si>
  <si>
    <t>https://www.caraguatatuba.sp.gov.br/</t>
  </si>
  <si>
    <t>Prefeitura Municipal de Caraguatatuba por meio da  Fundação Educacional e Cultural de Caraguatatuba (FUNDACC)</t>
  </si>
  <si>
    <t>contato@fundacc.sp.gov.br</t>
  </si>
  <si>
    <t>O Festival de Voo Livre celebra os esportes de aventura e o potencial natural de Caraguatatuba para a prática do voo livre. O evento reúne pilotos, entusiastas e público em geral para acompanhar decolagens, manobras aéreas e atividades ligadas ao esporte, promovendo o turismo de aventura, a valorização das paisagens naturais e o município como destino de referência para esportes ao ar livre.</t>
  </si>
  <si>
    <t>Praia do Centro e Morro do Santo Antônio, Caraguatatuba/SP</t>
  </si>
  <si>
    <t>Associação Caraguatatuba de Voo Livre (ACVL), em parceria com a Prefeitura de Caraguatatuba</t>
  </si>
  <si>
    <t>Campeonato Sul-Sudeste Master de Basquete – Caraguatatuba</t>
  </si>
  <si>
    <t>O Campeonato Sul-Sudeste Master de Basquete é uma competição regional que reúne equipes da categoria Master (30 + anos) de diversas federações estaduais, promovendo encontros esportivos de alto nível, integração entre atletas veteranos e fortalecimento do basquete regional. O evento contribui para o turismo esportivo e atividades coletivas na cidade.</t>
  </si>
  <si>
    <t>Praça da Cultura, Centro - Caraguatatuba/SP</t>
  </si>
  <si>
    <t>www.fbbm.com.br</t>
  </si>
  <si>
    <t>Federação Brasileira de Basquetebol Master (FBBM) com apoio da Prefeitura Municipal de Caraguatatuba</t>
  </si>
  <si>
    <t>MOGI GUAÇU</t>
  </si>
  <si>
    <t>Trilhos e Trilhas da Baixa Mogiana</t>
  </si>
  <si>
    <t>1.	Arraial Guaçu</t>
  </si>
  <si>
    <t xml:space="preserve">O Município de Mogi Guaçu/SP, através da Secretaria Municipal de Cultura,  realiza no mês de junho, o tradicional Arraial Guaçu, evento de relevante importância cultural, turística e econômica para a cidade. A festividade integra o calendário oficial do município, conforme instituído pela Lei Municipal nº 5.603, de 10 de junho de 2022, que reconhece o Arraial Guaçu como parte das ações culturais promovidas pela municipalidade.
O evento promove o resgate e a valorização das tradições juninas, o fortalecimento da identidade cultural local, bem como o fomento à economia criativa e ao turismo.
</t>
  </si>
  <si>
    <t>Realizado na Avenida dos Trabalhadores, próximo a escadaria.</t>
  </si>
  <si>
    <t>st-secretario@mogiguacu.sp.gov</t>
  </si>
  <si>
    <t>Geek Prime 2026</t>
  </si>
  <si>
    <t>Geek Prime é um evento de cultura pop e universo geek que reúne fãs de quadrinhos, games, tecnologia, cosplay, ilustrações, jogos de cartas e tabuleiro, e-sports e entretenimento multimídia. A programação inclui experiências interativas, artistas, influenciadores, bandas, stands temáticos e atividades diversas, promovendo um encontro completo entre o público geek e a criatividade.</t>
  </si>
  <si>
    <t>Avenida Dr. Arthur da Costa Filho, S/N° - Praça da Cultura - Centro, Caraguatatuba/SP</t>
  </si>
  <si>
    <t>Apoio da Prefeitura Municipal de Caraguatatuba</t>
  </si>
  <si>
    <t>https://lets.4.events/geek-prime-2026-caragua-sp-C25009E8</t>
  </si>
  <si>
    <t>turismo@caraguatatuba.so.gov.br</t>
  </si>
  <si>
    <t>8° Festival Jazz &amp; Vinhos</t>
  </si>
  <si>
    <t>O Festival Jazz &amp; Vinhos é um evento cultural e gastronômico que combina apresentações musicais ao vivo em estilo jazz e blues com uma área de degustação de vinhos, harmonizadas com gastronomia local e regional. O festival cria uma experiência cultural refinada e acolhedora para moradores e visitantes, fortalecendo o turismo local e a cadeia produtiva de serviços e alimentação.</t>
  </si>
  <si>
    <t>Praça da Cultura – Centro, Caraguatatuba/SP</t>
  </si>
  <si>
    <t>www.caraguatatuba.sp.gov.br</t>
  </si>
  <si>
    <t>Carnaval Serra Alegria</t>
  </si>
  <si>
    <t>A Estância Hidromineral de Serra Negra apresenta o Carnaval Serra Alegria, evento que une o charme da Serra da Mantiqueira a uma programação vibrante e segura para todas as idades. A festa mescla a tradição dos blocos de rua com shows variados na Praça Prefeito João Zelante, consolidando-se como um dos destinos mais procurados do interior paulista para quem busca folia e hospitalidade. 
Com foco no público familiar, o evento oferece matinês infantis e concursos de fantasias, garantindo diversão em um ambiente acolhedor. Além da agenda musical, os turistas podem desfrutar da completa infraestrutura da cidade, que inclui uma gastronomia renomada e o tradicional comércio de malhas e couros, tornando a experiência de Carnaval completa e diversificada.</t>
  </si>
  <si>
    <t>Praça Prefeito João Zelante, Avenida Governador Laudo Natel</t>
  </si>
  <si>
    <t>Secretaria se Turismo e Desenvolvimento Econômico</t>
  </si>
  <si>
    <t>A Estância Hidromineral de Serra Negra celebra a Semana Santa unindo tradição religiosa e lazer familiar em um cenário de montanha único no Circuito das Águas Paulista. O grande destaque é a encenação da Paixão de Cristo na Sexta-feira Santa, que atrai milhares de visitantes ao centro da cidade para uma emocionante apresentação a céu aberto realizada pela própria comunidade local.</t>
  </si>
  <si>
    <t>Praças centrais do município</t>
  </si>
  <si>
    <t>Encontro de Antiguidades e Multicolecionismo de Serra Negra</t>
  </si>
  <si>
    <t>O Encontro de Antiguidades e Multicolecionismo transforma a Estância Hidromineral de Serra Negra em uma verdadeira "máquina do tempo", reunindo colecionadores de todo o país para uma exposição e comercialização de itens raros e históricos. Em um cenário que exala nostalgia, o evento oferece ao público uma vasta diversidade de relíquias, que incluem desde moedas e cédulas raras até telefones antigos, vitrolas, brinquedos vintage, discos de vinil, proporcionando uma oportunidade única de resgate cultural no coração da cidade.</t>
  </si>
  <si>
    <t>Praça Sesquicentenário</t>
  </si>
  <si>
    <t>O Encontro de Antiguidades e Multicolecionismo de Serra Negra</t>
  </si>
  <si>
    <t>A Estância Hidromineral de Serra Negra mantém viva uma de suas tradições mais bonitas e aguardadas: a celebração de Corpus Christi. Conhecida por transformar as ruas do centro em uma imensa galeria de arte a céu aberto, a cidade une devoção religiosa, trabalho comunitário e turismo, consolidando-se como um dos destinos mais procurados do Circuito das Águas Paulista durante o feriado.</t>
  </si>
  <si>
    <t>Praça Lourenço F. de Oliveira - Centro, Rua Monsenhor Manzini</t>
  </si>
  <si>
    <t>Rock no Rio</t>
  </si>
  <si>
    <t>O Município de Mogi Guaçu/SP, através da Secretaria Municipal de Cultura,  realiza no mês julho, o evento “Rock no Rio”, em alusão ao dia internacional do Rock,  evento de relevante importância cultural, turística e econômica para a cidade. A festividade integra o calendário oficial do município, conforme instituído pela Lei Municipal nº 5.645, de 12 de setembro de 2022, que instituí o dia 13 de julho com “Dia Municipal do Rock”,  como parte das ações culturais promovidas pela municipalidade.</t>
  </si>
  <si>
    <t>Praça Duque de Caxias, 140  Palco Carlos César – Parque dos Ingás.</t>
  </si>
  <si>
    <t xml:space="preserve">O Município de Mogi Guaçu/SP, através da Secretaria Municipal de Cultura,  realiza no mês de agosto, a Festa das Nações, evento de relevante importância cultural, turística e econômica para a cidade. A festividade integra o calendário oficial do município, conforme instituído pela Lei Ordinária nº 5.635/2022, de 25 de agosto de 2022, que institui a Festa das Nações como parte das ações culturais promovidas pela municipalidade. 
Com o objetivo de celebrar a cultura global, através da gastronomia típica de cada país, do artesanato e das apresentações de música e dança, a Festa da Nações busca fortalecer o espírito comunitário e gerar o desenvolvimento cultural local. 
</t>
  </si>
  <si>
    <t>Av. dos Trabalhadores, 2651</t>
  </si>
  <si>
    <t>Atendimento em Línguas de Sinais, Rampa, Banheiro Acessível, Balcão de atendimento com altura reduzida</t>
  </si>
  <si>
    <t xml:space="preserve">A Lei Municipal nº 5.546, de 23 de novembro de 2021, instituiu oficialmente o evento "Natal Encantado" em Mogi Guaçu, transformando os festejos de fim de ano com decoração, programação cultural e atrações, com o objetivo de promover a cultura e o turismo local, com realização anualmente em dezembro, coordenada pela Prefeitura. </t>
  </si>
  <si>
    <t>Praça Duque de Caxias, 140 Palco Carlos César – Parque dos Ingás</t>
  </si>
  <si>
    <t>Baile de Gala Pré-Carnaval</t>
  </si>
  <si>
    <t xml:space="preserve">O 1º Baile de Gala Pré-Carnaval em Campos do Jordão foi criado para quem busca uma experiência exclusiva, sofisticada e memorável, antecipando a maior festa do Brasil em um cenário elegante e cuidadosamente planejado.
Em um ambiente climatizado, finamente decorado e com estrutura premium, o Campos Hall se transforma no palco perfeito para uma celebração marcada por música envolvente, público seleto e uma atmosfera de charme, brilho e alto astral.
Uma noite pensada para brindar, dançar e se encantar.
</t>
  </si>
  <si>
    <t>Campos Hall - Avenida Macedo Soares, 499 Capivari</t>
  </si>
  <si>
    <t>https://www.sympla.com.br/evento/baile-de-gala-pre-carnaval-campos-do-jordao/3266556?referrer=www.google.com&amp;referrer=www.google.com</t>
  </si>
  <si>
    <t>Campos Hall</t>
  </si>
  <si>
    <t>comercial@camposhall.com.br</t>
  </si>
  <si>
    <t>Corridas de Montanha - Campos do Jordao 2026</t>
  </si>
  <si>
    <t>No dia 8 de fevereiro de 2026, Campos do Jordão/SP recebe a Etapa Campos do Jordão da Corrida de Montanha, um evento que une desafio esportivo, contato com a natureza e turismo em um dos cenários mais emblemáticos da Serra da Mantiqueira.
A prova contará com percursos por trilhas, subidas íngremes, estradas de terra e áreas naturais do município, proporcionando uma experiência intensa e técnica para atletas de diferentes níveis, nas seguintes modalidades:
Curto – aproximadamente 10 km
Médio – aproximadamente 15 km
Longo – aproximadamente 23 km
Endurance – aproximadamente 43 km
O evento possui caráter esportivo, turístico e ambiental, sendo vedada qualquer forma de ajuda externa, bem como o uso de tração animal, bicicletas ou veículos motorizados.
Data: 8 de fevereiro de 2026
Local: Campos do Jordão/SP
Inscrições:
www.corridasdemontanha.com.br
WhatsApp: (12) 99789-2735
Idade mínima: 14 anos (Curto) | 18 anos (demais modalidades)
Desconto: 50% para atletas com 60 anos ou mais
Uma prova desafiadora em meio à natureza, feita para quem busca superação e conexão com a montanha.</t>
  </si>
  <si>
    <t>HOTEL RECANTO SÃO CRISTÓVÃO - Rod. Floriano Rodrigues Pinheiro, Km 45</t>
  </si>
  <si>
    <t>https://www.instagram.com/corridasdemontanha/</t>
  </si>
  <si>
    <t>Corridas de Montanha Organização de Eventos Ltda</t>
  </si>
  <si>
    <t>https://minhasinscricoes.com.br/Evento/CORRIDASDEMONTANHA-CAMPOSDOJORDAO2026</t>
  </si>
  <si>
    <t>(12) 99789-2735</t>
  </si>
  <si>
    <t>40º Femucar (Festival de Músicas Carnavalescas Marcio Corrêa dos Santos)</t>
  </si>
  <si>
    <t>O tradicional festival de músicas carnavalescas de Campos do Jordão está de volta!
O 40º FEMUCAR será realizado em duas etapas, no mesmo dia:
🎵 Concurso de Marchinhas
👑 Concurso de Rainha e Rei Momo do Carnaval 2026
Local: Centro de Eventos André Franco Montoro
 Entrada Solidária: 1kg de alimento não perecível
 Música, alegria e tradição para celebrar o carnaval!</t>
  </si>
  <si>
    <t>Rua Eunice Solis Além, s/n - bairro Abernéssia</t>
  </si>
  <si>
    <t>https://cultura.camposdojordao.sp.gov.br/?p=1849</t>
  </si>
  <si>
    <t>Prefeitura Municipal de Campos do Jordão (Secretaria de Valorização da Cultura)</t>
  </si>
  <si>
    <t>cultura@camposdojordao.sp.gov.br</t>
  </si>
  <si>
    <t>Páscoa Encantada 2026</t>
  </si>
  <si>
    <t>Páscoa Encantada em Campos do Jordão 🐰✨
De 27 de fevereiro a 12 de abril, Campos do Jordão se transforma em um verdadeiro cenário de encantamento, com decoração temática especial, ovos e coelhos gigantes espalhados por diversos pontos da cidade, criando ambientes perfeitos para fotos e momentos inesquecíveis. 
A programação conta ainda com atrações culturais e espetáculos temáticos que celebram a tradição da Páscoa em meio ao charme único da Serra da Mantiqueira. 
Um convite imperdível para moradores e turistas vivenciarem experiências mágicas em família.</t>
  </si>
  <si>
    <t>Município de Campos do Jordão</t>
  </si>
  <si>
    <t>Prefeitura Municipal de Campos do Jordão (Secretaria de Desenvolvimento Econômico e Turismo)</t>
  </si>
  <si>
    <t>turismo@camposdojordao.sp.gov.br</t>
  </si>
  <si>
    <t>GP Campos do Jordão de Ciclismo e Paraciclismo</t>
  </si>
  <si>
    <t xml:space="preserve">
No dia 08 de março de 2026, Campos do Jordão será palco de grandes emoções sobre duas rodas com a realização do Grande Prêmio Campos do Jordão de Paraciclismo 2026 e do Grande Prêmio Campos do Jordão de Ciclismo, reunindo atletas de diversas categorias.</t>
  </si>
  <si>
    <t>Munícipio de Campos do Jordão</t>
  </si>
  <si>
    <t>www.clubedeciclismosjc.com.br</t>
  </si>
  <si>
    <t>Clube de Ciclismo São José dos Campos</t>
  </si>
  <si>
    <t>https://www.emxeventos.com.br/evento/6901/paraciclismo-grande-premio-campos-do-jordao-de-paraciclismo-2026 , https://www.emxeventos.com.br/evento/9559/ciclismo-grande-prmio-campos-do-jordo-de-ciclismo-2026</t>
  </si>
  <si>
    <t>contato@clubedeciclismosjc.com.br</t>
  </si>
  <si>
    <t>1ª Meia Maratona Internacional de Campos do Jordão</t>
  </si>
  <si>
    <t xml:space="preserve">Vem aí a 1ª Meia Maratona Internacional de Campos do Jordão!
Uma prova oficial do Calendário World Athletics, em um dos cenários mais desafiadores e encantadores do Brasil.
Além dos 21 km, o evento será também palco oficial do Campeonato Paulista de Corrida de Rua, nas distâncias de 10 km e 5 km 🏆
Os melhores atletas do Estado estarão em Campos do Jordão disputando títulos, marcas históricas e escrevendo um novo capítulo do atletismo em meio às montanhas da Serra da Mantiqueira.
Prepare-se para viver uma experiência única de esporte, performance e superação! </t>
  </si>
  <si>
    <t>Rua Eng. Diogo José de Carvalho, 1291, Vila Capivari - Campos do Jordão/SP</t>
  </si>
  <si>
    <t>https://www.instagram.com/meiadecampos/</t>
  </si>
  <si>
    <t>Federação Paulista de Atletismo</t>
  </si>
  <si>
    <t>https://minhasinscricoes.com.br/Evento/MeiaMaratonadeCamposdoJordao#sobre</t>
  </si>
  <si>
    <t>KTR - Kailash Trail Race</t>
  </si>
  <si>
    <t>A KTR Campos do Jordão convida você a explorar trilhas desafiadoras em meio a paisagens deslumbrantes da Serra da Mantiqueira.
A largada mais impressionante do Brasil: corra acima das nuvens e sinta a energia única de um cenário verdadeiramente mágico.
O evento oferece desafios para todos os níveis, com percursos que variam de 7 km a 80 km, proporcionando superação, adrenalina e uma forte conexão com a natureza.
Uma experiência completa para começar o ano com o pé direito.
📅 10 e 11 de abril
📍 Local: Pico do Itapeva</t>
  </si>
  <si>
    <t>https://xkrsports.com.br/</t>
  </si>
  <si>
    <t>XRS Sports</t>
  </si>
  <si>
    <t>https://xkrsports.com.br/ktrcampos/</t>
  </si>
  <si>
    <t>info@ktrseries.com.br</t>
  </si>
  <si>
    <t>10ª Benção dos Tratores e 2ª Expo Agromais</t>
  </si>
  <si>
    <t>Valorizando as raízes rurais e a tecnologia no campo, a Estância Hidromineral de Serra Negra realiza a Bênção dos Tratores em conjunto com a Expo Agro Mais. O evento é um dos marcos do calendário municipal, reunindo produtores rurais, famílias e turistas para celebrar a produtividade agrícola da região e pedir proteção para o trabalho na terra.</t>
  </si>
  <si>
    <t>Centro de Exposições Casco de Ouro</t>
  </si>
  <si>
    <t>L'Étape Serra Negra</t>
  </si>
  <si>
    <t>Serra Negra estreia no calendário do L’Étape Brasil by Tour de France entre os dias 26 e 28 de junho de 2026, substituindo a etapa do Rio de Janeiro. A "Cidade da Saúde" foi escolhida por sua topografia privilegiada no Circuito das Águas Paulista, oferecendo o cenário ideal para simular o clima e os desafios das lendárias etapas de montanha da competição francesa.
O evento contará com dois percursos técnicos que percorrem cidades vizinhas como Lindóia e Monte Alegre do Sul: o Longo (100 km), com 2.100 m de altimetria, e o Curto (55 km), com 1.000 m. O trajeto promete testar o preparo dos ciclistas com subidas exigentes e descidas sinuosas, consolidando a região como o novo epicentro do ciclismo na temporada.</t>
  </si>
  <si>
    <t>Serra Negra a cidades vizinhas como Amparo, Lindóia e Monte Alegre do Sul.</t>
  </si>
  <si>
    <t>https://serranegra.letapeseries.com/</t>
  </si>
  <si>
    <t>L’Étape Brasil by Tour de France</t>
  </si>
  <si>
    <t>CRAVINHOS</t>
  </si>
  <si>
    <t>ENCONTRO DE CARROS ANTIGOS</t>
  </si>
  <si>
    <t>ENCONTRO QUE REÚNE EXEMPLARES AUTOMOBILÍSTICOS COM MAIS DE 20 ANOS DE FABRICAÇÃO. PRAÇA DE ALIMENTAÇÃO, FEIRA DE ARTESANATO E SHOWS CULTURAIS</t>
  </si>
  <si>
    <t>NÃO SE APLICA</t>
  </si>
  <si>
    <t>AV SALVADOR PAGANO S/N - PARQUE ECOLÓGICO MUNICIPAL FAZENDINHA DR RENATO E ARMANDO PAGGANO</t>
  </si>
  <si>
    <t>PREFEITURA MUNICIPAL DE CRAVINHOS E ROTA 330</t>
  </si>
  <si>
    <t>GRATUITO</t>
  </si>
  <si>
    <t>cultura@cravinhos.sp.gov.br</t>
  </si>
  <si>
    <t>FESTA DAS NAÇÕES</t>
  </si>
  <si>
    <t>Festa gastronômica e cultural - culinária de vários países. Feira de artesanato, danças típicas e shows culturais</t>
  </si>
  <si>
    <t>Parque ECOLÓGICO MUNICIPAL - FAZENDINHA DR RENATO E ARMANDO PAGANO</t>
  </si>
  <si>
    <t>SECRETARIA MUNICIPAL DE CULTURA E TURISMO</t>
  </si>
  <si>
    <t>NÃO TEM</t>
  </si>
  <si>
    <t>NATAL LUZ ENCANTO</t>
  </si>
  <si>
    <t>DECORAÇÃO NATALINA EM TODA CIDADE COM FOCO NA PRAÇA CENTRAL - PARADA NATALINA - SHOWS NATALINOS E PRESENÇAÇ DO PAPAI NOEL AOS FINAIS DE SEMANA</t>
  </si>
  <si>
    <t>PRACA DR MANOEL ARANTES NOGUEIRA - PRAÇA CENTRAL</t>
  </si>
  <si>
    <t>GRATIS</t>
  </si>
  <si>
    <t>ENCONTRO DE COMPANHIAS DE SANTOS REIS</t>
  </si>
  <si>
    <t>ENCONTRO DE COMPANHIAS DE SANTOS REIS QUE SE REÚNEM PARA ENTOAR SEUS CÂNTICOS VALORIZANDO A CULTURA POPULAR</t>
  </si>
  <si>
    <t>RUA MÁXIMO GLINGANI 71 EM FRENTE A IGREJA DOS TRÊS REIS SANTOS DE CRAVINHOS</t>
  </si>
  <si>
    <t>Campeonato Brasileiro de Ornitologia Amadora</t>
  </si>
  <si>
    <t>É o maior campeonato do gênero no país, pois conta com a participação de mais de 4.500 criadores e milhares de pássaros que são avaliados pela plumagem, cor, aparência, postura, tamanho, e outras características relevantes para o concurso. É o evento privado que mais atrai turistas para a cidade, numa média de 20 mil pessoas. Desde o ano de 2017, as etapas foram unificadas e acontecem em meados do mês de julho. Em 2023 não foi realizado por conta das orientações do Governo Federal em relação ao contexto da gripe aviária. Em 2024, foi realizado no Estado do Rio de Janeiro. Em 2025 ocorreu novamente em Itatiba, gerando um fluxo de 22 mil visitantes.</t>
  </si>
  <si>
    <t xml:space="preserve">Centro de eventos “Luis F. F.  Beraldi” , localizado à Avenida Luciano Consoline, 1.500, Itatiba, SP </t>
  </si>
  <si>
    <t>Federação Ornitológica do Brasil- FOB</t>
  </si>
  <si>
    <t>Entrada franca</t>
  </si>
  <si>
    <t>federacaoob@uol.com.br</t>
  </si>
  <si>
    <t>Rampa, Elevador, Banheiro Acessível, Portas Largas para PCR (Pessoa com cadeira de rodas)</t>
  </si>
  <si>
    <t>CRAVINHOS FEST ROCK</t>
  </si>
  <si>
    <t>EVENTO DE ROCK QUE REUUNE BANDAS DE TODA REGIÃO</t>
  </si>
  <si>
    <t>PARQUE ECOLÓGICO - FAZENDINHA DR RENATO E ARMANDO PAGANO</t>
  </si>
  <si>
    <t>SECRETARIA MUNICIPAL DE CULTURA E TURUISMO</t>
  </si>
  <si>
    <t>Corrida e Caminhada APAE de Praia Grande</t>
  </si>
  <si>
    <t>A 9ª Corrida e Caminhada APAE de Praia Grande é um projeto idealizado pela APAE de Praia Grande! 
O evento tem caráter esportivo, além de incentivo ao esporte,  seu principal objetivo é a inclusão social dos atletas PCDs. Evento aberto a atleta anônimos, amadores, profissionais, equipes, associações, federações, clubes e confederações.
Para mais informações acompanhe nossas redes: @palaciodasartespg / @prefpraiagrande / turismo.praiagrande.sp.gov.br
(Evento sujeito a alterações).</t>
  </si>
  <si>
    <t>2.102/2022</t>
  </si>
  <si>
    <t>Avenida Presidente Castelo Branco x Rua Duque de Caxias - Boqueirão, Praia Grande</t>
  </si>
  <si>
    <t>https://apaepraiagrande.org.br/</t>
  </si>
  <si>
    <t>APAE de PRAIA GRANDE com apoio da Prefeitura</t>
  </si>
  <si>
    <t>https://www.ticketsports.com.br/e/9-corrida-e-caminhada-apae-de-praia-grande-2026-74519?termo=Corrida%20apae&amp;periodo=0&amp;mes=&amp;inicio=&amp;fim=&amp;ordenacao=0&amp;pais=</t>
  </si>
  <si>
    <t>apae@apaepraiagrande.org.br</t>
  </si>
  <si>
    <t>FutFolia</t>
  </si>
  <si>
    <t xml:space="preserve">O município de **Torrinha** realiza, no domingo, 8 de fevereiro, a edição 2026 do **Futfolia**, evento que integra oficialmente a programação do Carnaval local e reafirma seu papel como manifestação cultural que articula esporte, tradição e convivência comunitária.
Realizado a partir das 10h, no Ginásio de Esportes, o Futfolia vai além da competição esportiva ao promover encontros entre blocos carnavalescos e escolas de samba do município em partidas de futsal marcadas pelo clima festivo, pela criatividade e pelo espírito coletivo característicos do Carnaval torrinhense. A iniciativa mobiliza atletas, agremiações culturais e o público em geral, fortalecendo vínculos sociais e valorizando práticas culturais enraizadas na cidade.
Em 2026, o evento ganha significado especial ao prestar homenagem ao artesão bonequeiro **Maurício Deungaro**, figura fundamental na construção da identidade do Carnaval de Torrinha. Responsável por preservar e dar vida a personagens emblemáticos como Marião, Mariona e as tradicionais Vaquinhas do Carnaval, Maurício deixou um legado artístico e afetivo que atravessou gerações. Falecido no final de 2025, seu trabalho permanece como referência da cultura popular local.
</t>
  </si>
  <si>
    <t>Rua Major Solbiati, 55 - Jardim Barbosa, Torrinha - SP, 17360-000</t>
  </si>
  <si>
    <t>Prefeitura de Torrinha</t>
  </si>
  <si>
    <t>esporteselazer@torrinha.sp.gov.br</t>
  </si>
  <si>
    <t>SANTA RITA DO PASSA QUATRO</t>
  </si>
  <si>
    <t>Santa Carnafolia</t>
  </si>
  <si>
    <t>A festa começa sábado, 14/02, na Praça da Estação: música ao vivo, blocos, dança e muita animação para todas as idades. Traga seu sorriso e venha fazer parte dessa festa inesquecível!
Atividades para crianças, apresentações locais, e espaço para toda a família celebrar com segurança e diversão.
Nossa festa é de todas as cores e de todas as vozes. Teremos atrações que celebram a diversidade cultural e artística da cidade.</t>
  </si>
  <si>
    <t>Praça Poeta Mário Mattoso - Estação</t>
  </si>
  <si>
    <t>https://www.santaritadopassaquatro.sp.gov.br</t>
  </si>
  <si>
    <t>turismo@santaritadopassaquatrosp.gov.br</t>
  </si>
  <si>
    <t>VII Encontro de Ferreomodelismo</t>
  </si>
  <si>
    <t>O evento conta com exposições de maquetes ferroviárias operacionais em diferentes escalas, apresentações temáticas, além de vendas e trocas de trens em miniatura e acessórios, proporcionando uma verdadeira imersão no universo do ferreomodelismo. Mais do que uma exposição, o encontro promove o resgate da cultura ferroviária, valoriza a memória histórica local e oferece uma opção de entretenimento cultural para toda a família.
Consolidado no calendário cultural da cidade, o Encontro de Ferreomodelismo fortalece o turismo, estimula o intercâmbio entre colecionadores e desperta o interesse de novas gerações por essa expressão artística e histórica.</t>
  </si>
  <si>
    <t>Praça Poeta Mário Matosso</t>
  </si>
  <si>
    <t>Associação de Ferreomodelismo</t>
  </si>
  <si>
    <t>turismo@santaritadopassaquatro.sp.gov.br</t>
  </si>
  <si>
    <t>Encontro Anual de Carros Antigos</t>
  </si>
  <si>
    <t>Realizado anualmente pela Prefeitura de Praia Grande em parceria com Clube Antigos do Litoral, o Encontro Anual de Carros é realizado no Pavilhão de Eventos Jair Rodrigues, ocorrendo preferencialmente no primeiro final de semana do mês de fevereiro. A programação conta com exposição de veículos antigos, apresentações musicais e praça de alimentação.
Para mais informações acompanhe nossas redes: @palaciodasartespg / @prefpraiagrande / turismo.praiagrande.sp.gov.br
(Evento sujeito a alterações).</t>
  </si>
  <si>
    <t>LEI MUNICIPAL: Lei nº 1.859/2017 institui esse evento no calendário da Cidade.</t>
  </si>
  <si>
    <t>Pavilhão de Eventos Jair Rodrigues: R. Savério Fittipaldi, s/nº - Quietude, Praia Grande - SP, 11718-180</t>
  </si>
  <si>
    <t>Secretaria de Cultura e Turismo de Praia Grande</t>
  </si>
  <si>
    <t>Quermesse de Santa Rita de Cássia</t>
  </si>
  <si>
    <t>Comemorações do Mês de Maio – Mês onde se comemoram o aniversário da cidade e o dia da padroeira Santa Rita de Cássia. Conta com uma programação intensa e diversificada: Quermesse, fundada desde 1913  até os dias de hoje,  localizada na Praça da Igreja da Matriz e com duração aproximada de 40 dias com barraquinhas comidas e bebidas, além  de barraca de brincadeiras , apresentação de shows aos finais de semana, de orquestra, coral e bandas locais. O evento é responsável por significativo fluxo de visitantes oriundos da região.
A Quermesse é uma festividade muito comemorada pelos santarritenses e região. É uma época muito esperada por todos.</t>
  </si>
  <si>
    <t xml:space="preserve"> Rita do Passa Quatro.</t>
  </si>
  <si>
    <t xml:space="preserve">Santuário de Santa Rita de Cássia </t>
  </si>
  <si>
    <t>Exposição Nacional de Orquídeas</t>
  </si>
  <si>
    <t>A Exposição Nacional de Orquídeas em Santa Rita do Passa Quatro é um evento tradicional, frequentemente integrado às festividades de aniversário da cidade em maio, atraindo grande público local e turistas para o Parque Turístico Municipal Estância Climática de Santa Rita do Passa Quatro. Promovida pela Associação Santa-Ritense dos Orquidófilos, a exposição costuma contar com dezenas de orquidófilos e centenas de plantas</t>
  </si>
  <si>
    <t>Praça Voluntário Silvano, s/n, no Centro - Escola Francisco Ribeiro</t>
  </si>
  <si>
    <t>Associação Orquidófilos SRP4</t>
  </si>
  <si>
    <t>RIBEIRÃO GRANDE</t>
  </si>
  <si>
    <t>Feira da Lua</t>
  </si>
  <si>
    <t xml:space="preserve">A Feira da Lua é uma iniciativa criada pelo Departamento de Turismo e Cultura para fomentar a cultura e a economia criativa de Ribeirão Grande, através da valorização da culinária e da produção artesanal local.
Na Feira da Lua de Ribeirão Grande você pode encontrar artesanato local, barracas com produtos hortifruti de qualidade, e delícias da nossa culinária como bolinho de frango, quirerinha, lanche de pernil, comida japonesa, massas, doces diversos, e o tradicional espeto de rojão, prato típico de Ribeirão Grande.
</t>
  </si>
  <si>
    <t>Praça Bom Jesus, Centro, Ribeirão Grande</t>
  </si>
  <si>
    <t>https://turismo.ribeiraogrande.sp.gov.br/feira-da-lua/</t>
  </si>
  <si>
    <t>turismo@ribeiraogrande.sp.gov.br</t>
  </si>
  <si>
    <t>Desfile Cívico da cidade</t>
  </si>
  <si>
    <t>O desfile cívico de aniversário de Santa Rita do Passa Quatro (SP) é uma tradicional comemoração, realizada em maio na Avenida Severino Meirelles para celebrar a fundação da cidade.</t>
  </si>
  <si>
    <t xml:space="preserve">Avenida Severino Meirelles </t>
  </si>
  <si>
    <t xml:space="preserve">https://www.santaritadopassaquatro.sp.gov.br
</t>
  </si>
  <si>
    <t>Benção das Rosas</t>
  </si>
  <si>
    <t xml:space="preserve">A tradicional Bênção das Rosas de Santa Rita de Cássia em Santa Rita do Passa Quatro-SP ocorre no dia 22 de maio, feriado municipal da padroeira. Durante a missa na Igreja Matriz, as rosas trazidas pelos fiéis são bentas, simbolizando a intercessão da santa das "causas impossíveis" para cura e graça. </t>
  </si>
  <si>
    <t>Praça da Matriz - Santuário de Santa Rita de Cássia</t>
  </si>
  <si>
    <t>Santuário de santa rita de Cássia</t>
  </si>
  <si>
    <t>Aniversário da Cidade</t>
  </si>
  <si>
    <t>O Aniversário da Cidade é um momento especial de celebração da nossa história, identidade e do orgulho de ser parte deste lugar tão querido. A programação é marcada por dias intensos de festividades, encontros e comemorações, reunindo moradores e visitantes em um clima de alegria e confraternização.
Durante o evento, a cidade se transforma em um grande palco de experiências culturais, com shows musicais, apresentações artísticas, atividades culturais, esportivas e recreativas, além de atrações para todas as idades.</t>
  </si>
  <si>
    <t>Avenida Severino Meirelles</t>
  </si>
  <si>
    <t>34° Festival de Tradições Italianas</t>
  </si>
  <si>
    <t>O Festival de Tradições Italianas de Santa Rita do Passa Quatro, realizado na Praça Poeta Mário Mattoso (Praça da Estação), celebra a rica e marcante herança italiana presente na história e na cultura do município.
O evento reúne a comunidade e visitantes em um ambiente acolhedor e festivo, com o melhor da gastronomia típica italiana, vinhos selecionados, além de shows e música ao vivo que animam o público ao longo da programação.
Mais do que uma festa, o festival é um momento de valorização das tradições, dos costumes e da identidade cultural, promovendo integração, alegria e experiências inesquecíveis para todas as idades.</t>
  </si>
  <si>
    <t xml:space="preserve">Praça Poeta Mário Mattoso </t>
  </si>
  <si>
    <t>65° Festival Zequinha de Abreu</t>
  </si>
  <si>
    <t>O Festival Zequinha de Abreu em Santa Rita do Passa Quatro/SP) celebra o famoso compositor de "Tico-Tico no Fubá" com intensa programação cultural, incluindo saraus, concertos e desfiles de bandas na Praça Poeta Mário Mattoso (Estação) e outros locais, valorizando o choro, a valsa e a música brasileira</t>
  </si>
  <si>
    <t>Concerto de bandas e Musicais</t>
  </si>
  <si>
    <t xml:space="preserve">O Concerto de Bandas e Musicais é um dos momentos mais emblemáticos do Festival Zequinha de Abreu, traduzindo em som e movimento a força da tradição musical de Santa Rita do Passa Quatro e de toda a região.
</t>
  </si>
  <si>
    <t>Praça Poeta Mario Mattoso - Estação</t>
  </si>
  <si>
    <t>Concurso de Fanfarra e Banda da Federação do Estado de São Paulo (FFABESP)</t>
  </si>
  <si>
    <t>A avenida se transforma em um grande corredor cultural, onde bandas e corporações musicais de toda a região se apresentam em formato competitivo, unindo qualidade musical, evolução em marcha, postura cênica e interação com o público. Cada apresentação é cuidadosamente avaliada por uma comissão julgadora, que observa critérios como afinação, ritmo, harmonia, repertório, apresentação visual e sincronia do conjunto.
O concurso cria um clima vibrante na cidade, atraindo moradores, visitantes e entusiastas da música instrumental. O público acompanha de perto cada performance, torcendo e celebrando o talento dos músicos, enquanto a Avenida Severino Meirelles se enche de sons, cores e emoção.</t>
  </si>
  <si>
    <t>Festival Tico Tico de Musica Brasileira</t>
  </si>
  <si>
    <t xml:space="preserve">O festival busca valorizar a música autoral brasileira, revelar novos talentos e homenagear o ilustre santa-ritense Zequinha de Abreu, criador do clássico “Tico-Tico no Fubá”.
</t>
  </si>
  <si>
    <t>Praça Poeta Mario Mattoso</t>
  </si>
  <si>
    <t>Natal Esperança</t>
  </si>
  <si>
    <t xml:space="preserve">O Natal Esperança em Santa Rita do Passa Quatro (SP) é uma tradicional festividade de fim de ano, destacando-se pela decoração temática em pontos turísticos, Casa do Papai Noel no Centro Cultural, e uma programação cultural intensa, incluindo shows na Praça Zequinha de Abreu e na Praça do Rosário, com foco na união comunitária e música. </t>
  </si>
  <si>
    <t>Praça da Estação</t>
  </si>
  <si>
    <t>FRANCO DA ROCHA</t>
  </si>
  <si>
    <t xml:space="preserve">Festival Franco do Rock </t>
  </si>
  <si>
    <t xml:space="preserve">
O Festival do Rock é um evento cultural que celebra a música e a identidade local, reunindo artistas da região e impulsionando o turismo e a economia de Franco da Rocha. Criado pelo Coletivo Franco do Rock  movimento surgido nos anos 90 e hoje com mais de 50 bandas ativas o festival se firmou como parte da agenda oficial da cidade.</t>
  </si>
  <si>
    <t>Parque Municipal Benedito Bueno de Moraes  (  Endereço R. Joaquim Nunes Pereira, 180 - Centro)</t>
  </si>
  <si>
    <t>francodorock.com</t>
  </si>
  <si>
    <t xml:space="preserve">Coletivo Franco do Rock e Prefeitura de Franco da Rocha </t>
  </si>
  <si>
    <t>"coletivofrancodorock@gmail.com" &lt;coletivofrancodorock@gmail.com&gt;</t>
  </si>
  <si>
    <t xml:space="preserve">Aniversário do Município de Franco da Rocha </t>
  </si>
  <si>
    <t>O aniversário da cidade é comemorado em 30 de novembro, data que marca
sua emancipação político-administrativa em 1944. Ao longo dos anos, a cidade tem
celebrado a data com eventos que promovem cultura, lazer e integração da comunidade.</t>
  </si>
  <si>
    <t>Parque Benedito Bueno de Morais - R. Joaquim Nunes Pereira</t>
  </si>
  <si>
    <t>www.francodarocha.sp.gov.br</t>
  </si>
  <si>
    <t>ARAÇATUBA</t>
  </si>
  <si>
    <t>Demônios da Garoa invadem o Araça Folia de Araçatuba</t>
  </si>
  <si>
    <t>O Araça Folia 2026 toma conta da Praça Olímpica, em Araçatuba, no dia 13 de fevereiro, com muita música boa e clima de festa. A partir das 18h00, o talento da casa Gigantes da Boemia aquece o público, seguido, às 20h, pelo show histórico dos Demônios da Garoa, ícones do samba raiz. Para completar a experiência, a praça de alimentação reúne bares e restaurantes do Festival Gastronômico Comida de Boteco 2025, garantindo sabores especiais, alegria e diversão para toda a família.</t>
  </si>
  <si>
    <t>Praça Olímpica</t>
  </si>
  <si>
    <t>https://aracatuba.sp.gov.br/turismo/</t>
  </si>
  <si>
    <t>Secretária Municipal de Turismo</t>
  </si>
  <si>
    <t>turismo.pma@aracatuba.sp.gov.br</t>
  </si>
  <si>
    <t>O Araçá Folia 2026 toma conta da Praça Olímpica, em Araçatuba, no dia 13 de fevereiro, com muita música boa e clima de festa. A partir das 18h, o talento da casa Gigantes da Boemia aquece o público, seguido, às 20h, pelo show histórico dos Demônios da Garoa, ícones do samba raiz. Para completar a experiência, a praça de alimentação reúne bares e restaurantes do Festival Gastronômico Comida de Boteco 2025, garantindo sabores especiais, alegria e diversão para toda a família.</t>
  </si>
  <si>
    <t>Praça olímpica, S/N - Araçatuba-SP</t>
  </si>
  <si>
    <t xml:space="preserve"> turismo.pma@aracatuba.sp.gov.br</t>
  </si>
  <si>
    <t xml:space="preserve">Festa Julina </t>
  </si>
  <si>
    <t>🎉🔥 Festa Julina do Caribe Náutico Clube 🔥🎉
No dia 25 de julho de 2026, a partir das 20h, o Caribe Náutico Clube realiza a sua tradicional Festa Julina, um dos eventos mais aguardados do calendário social do clube.
Será uma noite especial, marcada por um clima familiar e acolhedor, com decoração típica, muita alegria, confraternização entre associados e convidados, além das tradicionais comidas e bebidas juninas que já são marca registrada da festa.
🎶 A animação musical ficará por conta do Grupo do Mato, garantindo um repertório animado para ninguém ficar parado e tornar a noite ainda mais inesquecível.
Uma festa pensada para celebrar a tradição, fortalecer os laços da comunidade e proporcionar momentos de diversão para todas as idades.</t>
  </si>
  <si>
    <t>Estrada do Iate Clube Urubupunga, 1175, Castilho - SP, 16.929-899.</t>
  </si>
  <si>
    <t>Torneio de pesca esportiva</t>
  </si>
  <si>
    <t>🎣 Torneio de Pesca do Tucunaré – Caribe Náutico Clube
O Torneio de Pesca do Tucunaré do Caribe Náutico Clube será realizado nas águas do Rio Paraná, com foco na pesca esportiva do tucunaré, no sistema pesque-e-solte, valorizando a técnica, a preservação ambiental e a confraternização entre os participantes.
📅 Data: 14 de março de 2026
⏰ Horário: 08h00
🏆 Premiação:
• 01 Caiaque
• 01 Motor elétrico 54 lbs
Um evento esportivo, organizado e familiar, que une esporte, natureza e integração no Caribe Náutico Clube.</t>
  </si>
  <si>
    <t>Taboão Fest Dance</t>
  </si>
  <si>
    <t>O Taboão Fest Dance Campos do Jordão irá acontecer no dia 18 de abril no Auditório Claudio Santoro!
O festival procura valorizar a arte da dança, proporcionando oportunidade para a troca de experiências entre os grupos e academias. São diversas modalidades e categorias de apresentações das coreografias, e os prêmios variam de prêmios em dinheiro, festivais internacionais, cursos de férias e muito mais!
As vagas para participar são limitadas, o regulamento completo para participação e as inscrições podem ser encontrados no site.
Para aqueles que desejem acompanhar o festival, o ingresso será vendido no local, no dia do evento!</t>
  </si>
  <si>
    <t>Auditório Claudio Santoro - Av. Dr. Luis Arrobas Martins, 1800 - Alto Boa Vista, Campos do Jordão - SP</t>
  </si>
  <si>
    <t>https://sites.google.com/</t>
  </si>
  <si>
    <t>Sonia Almeida</t>
  </si>
  <si>
    <t>taboaofestdance@gmail.com</t>
  </si>
  <si>
    <t>Rampa, Elevador, Braille, Banheiro Acessível, Portas Largas para PCR (Pessoa com cadeira de rodas)</t>
  </si>
  <si>
    <t>Festival Dito Nunes de Bandas e Fanfarras</t>
  </si>
  <si>
    <t xml:space="preserve">No dia 19 de abril, a Praça São Benedito, no coração da Vila Capivari, será palco de mais uma edição do tradicional Festival Dito Nunes de Bandas e Fanfarras, em Campos do Jordão.
O evento reunirá bandas escolares e fanfarras da região, transformando a praça em um verdadeiro espetáculo de ritmos, cores e tradição.
A partir das 10h, moradores e visitantes poderão aproveitar uma manhã animada com música ao ar livre, em um evento gratuito e aberto ao público.
</t>
  </si>
  <si>
    <t>Praça São Benedito - Av. Macedo Soares, 5 - J Elizabete, Campos do Jordão</t>
  </si>
  <si>
    <t>https://cultura.camposdojordao.sp.gov.br/</t>
  </si>
  <si>
    <t>Secretaria Municipal de Valorização da Cultura de Campos do Jordão</t>
  </si>
  <si>
    <t>Desfile Cívico de Aniversário - Campos do Jordão 152 anos</t>
  </si>
  <si>
    <t>Campos do Jordão comemora 152 anos com tradicional Desfile Cívico e homenagens à cidade!
No dia 29 de abril de 2026, Campos do Jordão celebra 152 anos de história e prepara uma programação especial para marcar essa data tão significativa.
O tradicional Desfile Cívico será o grande destaque das comemorações, reunindo escolas, entidades e associações locais em uma emocionante homenagem à cidade, valorizando sua história, cultura e identidade.
O desfile percorrerá a Avenida Januário Miraglia, com início próximo ao prédio da Prefeitura Municipal, a partir das 9h, reunindo a comunidade jordanense e visitantes em um momento de celebração e orgulho.
Venha comemorar essa data tão especial na cidade mais alta do Brasil!</t>
  </si>
  <si>
    <t xml:space="preserve"> Av. Dr. Januário Miraglia, 806 - Abernéssia, Campos do Jordão - SP</t>
  </si>
  <si>
    <t>https://camposdojordao.sp.gov.br/</t>
  </si>
  <si>
    <t>Prefeitura Municipal de Campos do Jordão</t>
  </si>
  <si>
    <t>gabinete@camposdojordao.sp.gov.br</t>
  </si>
  <si>
    <t>6ª edição Vinhos na Serra</t>
  </si>
  <si>
    <t>A 6ª edição do Vinhos na Serra chega para brindar mais um ano de experiências inesquecíveis em Campos do Jordão!
📅 01, 02 e 03 de maio de 2026
📍 Parque das Cerejeiras – Campos do Jordão | SP
O maior evento enogastronômico da região reúne vinho, alta gastronomia e momentos únicos em um cenário encantador na Serra da Mantiqueira.
Prepare-se para viver uma experiência completa:
• Mais de 350 rótulos de vinhos para degustação
• Chefs renomados em aulas-show exclusivas
• Espaço Cooking Class
• Masterclasses com sommeliers
• Presença de vinícolas nacionais
• Produtores artesanais selecionados
• Lounge VIP by Alê Forbes
Uma celebração de sabores, aromas e boas conexões.
Garanta sua presença e venha brindar na cidade mais alta do Brasil! 🍷✨</t>
  </si>
  <si>
    <t>Parque da Cerejeira - Av. Tassaburo Yamaguchi, 2173 - Vila Albertina, Campos do Jordão - SP</t>
  </si>
  <si>
    <t>https://www.instagram.com/vinhos.naserra/</t>
  </si>
  <si>
    <t>Vinhos na Serra</t>
  </si>
  <si>
    <t>https://www.ingressolive.com/vinhos-na-serra-edicao-2026-68026</t>
  </si>
  <si>
    <t>vinhosnaserrabr@gmail.com</t>
  </si>
  <si>
    <t>4ª Corrida de Aniversário de Campos do Jordão</t>
  </si>
  <si>
    <t>Campos do Jordão, a cidade mais charmosa do Brasil, está prestes a celebrar seus 152 anos! 🎉
E para marcar essa data especial, a 3A Running Sports convida você para participar da 4ª edição da Corrida Comemorativa de Aniversário de Campos do Jordão!
Prepare-se para viver uma experiência única, unindo esporte, superação e o cenário encantador da Serra da Mantiqueira. Premiação para todos os estilos e categorias.
📅 Data: 03 de maio de 2026
⏰ Largada: 08h00
📍 Local: Praça Castro Alves - Capivari
💥 Garanta já a sua vaga e venha fazer parte dessa festa esportiva!</t>
  </si>
  <si>
    <t>Vila Capivari - Campos do Jordão/SP</t>
  </si>
  <si>
    <t>https://www.instagram.com/3arunningsports/</t>
  </si>
  <si>
    <t>3A Running Sports</t>
  </si>
  <si>
    <t>https://topinscricoes.com.br/produto/4a-corrida-de-aniversario-de-campos-do-jordao-152-anos/</t>
  </si>
  <si>
    <t>3arunningsports@gmail.com</t>
  </si>
  <si>
    <t>Giro D'Itália Ride Like a Pro Brasil</t>
  </si>
  <si>
    <t>🚴‍♂️ Prepare-se para o Giro d’Italia Ride Like a Pro Brasil 2026!
No dia 17 de maio de 2026, você tem um encontro marcado com a emoção, a superação e paisagens inesquecíveis na deslumbrante Serra da Mantiqueira, em Campos do Jordão (SP).
O universo do Ride Like a Pro proporciona uma verdadeira imersão no espírito de uma das competições mais tradicionais do ciclismo mundial, despertando valores que fazem parte dessa história: sacrifício, determinação, esforço físico e fair play.
Desafie seus limites, sinta a energia das montanhas e viva cada quilômetro com intensidade.
🌟 Viva o ciclismo de uma forma que você nunca imaginou, na cidade mais alta do Brasil!</t>
  </si>
  <si>
    <t>Município de Campos do Jordão - SP</t>
  </si>
  <si>
    <t>https://www.giroridelikeapro.com/</t>
  </si>
  <si>
    <t>Giro D'Itália Ride Like a Pro</t>
  </si>
  <si>
    <t>https://www.ticketsports.com.br/e/giro-d-italia-ride-like-a-pro-brasil-2026-edicao-campos-do-jordao-sp-72185</t>
  </si>
  <si>
    <t>atendimento@giroditaliabrasil.com.br</t>
  </si>
  <si>
    <t>Mantiqueira Cup Maratona</t>
  </si>
  <si>
    <t>MANTIQUEIRA CUP | UMA EXPERIÊNCIA ÚNICA NAS MONTANHAS
Trilhas cercadas pela natureza, ar puro da serra e curvas desenhadas pelo próprio relevo da Mantiqueira.
No Parque Bambuí, em Campos do Jordão, a Mantiqueira Cup apresenta um circuito inédito, criado para quem quer mais do que competir: quer sentir as montanhas.
Cada trecho revela uma nova paisagem.
Cada pedalada conecta você ao ritmo da Serra da Mantiqueira.
Mantiqueira Cup – MTB
📍 Parque Bambuí | Campos do Jordão
🗓 24 de maio
🚵‍♂️ Trilhas exclusivas
✔️ Experiência inesquecível
Venha viver a prova que une desafio, natureza e emoção na cidade mais alta do Brasil.</t>
  </si>
  <si>
    <t>Parque Bambuí - R. Fausi Rachid, 871 - Jardim Toriba, Campos do Jordão - SP</t>
  </si>
  <si>
    <t>https://mantiqueiracup.com.br/</t>
  </si>
  <si>
    <t>Mnatiqueira Cup Maratona</t>
  </si>
  <si>
    <t>https://mantiqueiracup.com.br/inscricoes/</t>
  </si>
  <si>
    <t>contato@mantiqueiracup.com.br</t>
  </si>
  <si>
    <t>XV FestCampos - Festival de Dança de Campos do Jordão</t>
  </si>
  <si>
    <t>Reconhecido nacionalmente e parte do Calendário Oficial de Eventos do Estado de São Paulo, o Festival de Dança de Campos do Jordão chega à sua 15ª edição celebrando mais de uma década de talento, técnica e emoção que encantam públicos de todas as idades.
De crianças a adultos, bailarinos de todo o Brasil se encontram no palco para apresentações competitivas nas modalidades Ballet Clássico, Jazz, Dança Contemporânea, Dança de Rua, Tap e Danças Folclóricas. Cada performance é avaliada por uma comissão especializada que reconhece e premia os grandes destaques de cada categoria.
Mais do que uma competição, o FESTCAMPOS é um ambiente de inspiração, troca de experiências e valorização da arte, com foco no aprimoramento técnico e pedagógico de novos talentos e profissionais da dança.
Quem quiser assistir e prestigiar o evento pode adquirir os ingressos diretamente na bilheteria, na entrada do local.</t>
  </si>
  <si>
    <t>Av. Dr. Luis Arrobas Martins, 1800 - Alto Boa Vista, Campos do Jordão - SP</t>
  </si>
  <si>
    <t>https://www.festcampos.com/</t>
  </si>
  <si>
    <t>Vanessa Ballet</t>
  </si>
  <si>
    <t>festivaldancacampos@hotmail.com</t>
  </si>
  <si>
    <t>Piso Tátil, Rampa, Elevador, Banheiro Acessível, Portas Largas para PCR (Pessoa com cadeira de rodas), Não possui</t>
  </si>
  <si>
    <t>4º Festival FOLHA Sabores da Montanha</t>
  </si>
  <si>
    <t>O 4º Festival Gastronômico Folha | Sabores da Montanha, que será realizado em dezenas de destinos de inverno dos estados de São Paulo, Minas Gerais e Rio de Janeiro, desembarca em Campos do Jordão, na Serra da Mantiqueira paulista, para valorizar a diversidade gastronômica da cidade e região, com destaque para os restaurantes e similares que incorporam em suas produções culinárias elementos encontrados na própria natureza, mantendo suas tradições e características peculiares.</t>
  </si>
  <si>
    <t>Estabelecimentos participantes</t>
  </si>
  <si>
    <t>https://saboresdamontanha.com.br/serra-da-mantiqueira/</t>
  </si>
  <si>
    <t>Sabores da Montanha</t>
  </si>
  <si>
    <t xml:space="preserve">contato@saboresdamontanha.com.br </t>
  </si>
  <si>
    <t>9º Conexidades</t>
  </si>
  <si>
    <t>Conexidades e Campos do Jordão: Um encontro perfeito e muito esperado!
Entre os dias 15 e 19 de junho de 2026, a cidade de Campos do Jordão será o cenário da 9ª edição do CONEXIDADES, um dos mais relevantes encontros nacionais voltados à integração entre o poder público, a iniciativa privada e a sociedade civil.</t>
  </si>
  <si>
    <t>Campos Hall - Av. Macedo Soares, 499 - Capivari, Campos do Jordão - SP</t>
  </si>
  <si>
    <t>https://conexidades.com.br/</t>
  </si>
  <si>
    <t>Multiplicidades</t>
  </si>
  <si>
    <t>Dance in Campos</t>
  </si>
  <si>
    <t>Dance in Campos – 8ª edição!
O Dance in Campos está de volta nos dias 20 e 21 de junho, no Auditório Claudio Santoro! Mais que uma competição, o evento é um verdadeiro encontro entre talentos, promovendo intercâmbio, aprendizado e celebração da dança em todas as suas formas.
Quem quiser assistir e prestigiar o evento pode adquirir os ingressos diretamente na bilheteria, na entrada do local.
Não fique de fora dessa grande experiência de dança! ✨💃🏽🕺🏽</t>
  </si>
  <si>
    <t>Auditório Claudio Santoro -  Av. Dr. Luis Arrobas Martins, 1800 - Alto Boa Vista, Campos do Jordão - SP</t>
  </si>
  <si>
    <t>Pavarini Produções</t>
  </si>
  <si>
    <t>https://sites.google.com/view/pavariniproducoesbr/p%C3%A1gina-inicial?authuser=0</t>
  </si>
  <si>
    <t>pavariniproducoes@gmail.com</t>
  </si>
  <si>
    <t>55ª Festa da Cerejeira em Flor</t>
  </si>
  <si>
    <t>🌸 Encante-se com a 55ª Festa da Cerejeira em Flor, no Parque da Cerejeira, um dos eventos mais aguardados de Campos do Jordão.
A festa acontece nos finais de semana de julho (dias 25 e 26) e agosto (dias 1, 2, 8, 9, 15 e 16), quando o parque se transforma em um grande palco de celebração da cultura japonesa.
A programação reúne apresentações de taikô (tambores japoneses), odori (dança típica), artes marciais, música ao vivo e o animado Sakura Anime Show, com premiação especial.
O público também poderá aproveitar um bazar com artesanato, roupas, calçados e produtos regionais, além de saborear o melhor da culinária japonesa, como sushi, tempurá, yakisoba, udon e o irresistível mochi, sem deixar de lado os sabores da Serra da Mantiqueira.
Durante a semana, o parque permanece aberto para visitação, oferecendo a oportunidade de apreciar a beleza da florada das cerejeiras.
Uma experiência que une natureza, tradição e gastronomia em um cenário inesquecível.</t>
  </si>
  <si>
    <t>Parque da Cerejeira de Campos do Jordão - Av. Tassaburo Yamaguchi, 2.173 Vila Albertina - Campos do Jordão – SP</t>
  </si>
  <si>
    <t>https://parquedacerejeira.com.br/</t>
  </si>
  <si>
    <t xml:space="preserve">Sakura-Home Residencial Sênior - Parque das Cerejeiras de Campos do Jordão </t>
  </si>
  <si>
    <t>sakurahome@enkyo.org.br</t>
  </si>
  <si>
    <t xml:space="preserve">Carnaval das Crianças </t>
  </si>
  <si>
    <t>Pela primeira vez na história de Cajamar, o Boiódromo será palco de um grande Carnaval das Crianças, reunindo fantasia, música e muita alegria em um ambiente preparado especialmente para o público infantil. O espaço será transformado em um verdadeiro universo de cores e diversão, oferecendo uma programação repleta de atrações para garantir momentos inesquecíveis para as famílias cajamarenses.
Durante os dois dias de evento, o público poderá aproveitar diversas atividades recreativas e apresentações artísticas, incluindo canhão de espuma, jato de água, personagens temáticos com muita interação, bandinhas carnavalescas, shows infantis, brinquedos infláveis, chuva de confete e a tradicional festa das cores. A programação contará ainda com concurso de fantasias para incentivar a criatividade das crianças, distribuição de brindes, ações recreativas ao longo do dia e música ao vivo com produção artística especial.
Além das atrações, o evento também oferecerá opções de alimentação como pipoca, refrigerante, algodão-doce e lanches, garantindo ainda mais conforto para quem participar da festa. A organização orienta que os responsáveis levem uma roupa extra para as crianças, já que algumas atividades envolvem água e espuma.</t>
  </si>
  <si>
    <t>Centro de Eventos Boiódromo - Av. Deovair Cruz de Oliveira, 466 - Jardim Nova Jordanésia, Cajamar - SP, 07750-000</t>
  </si>
  <si>
    <t>Prefeitura Municipal de Cajamar</t>
  </si>
  <si>
    <t>eventos@cajamar.sp.gov.br</t>
  </si>
  <si>
    <t>ASSIS</t>
  </si>
  <si>
    <t>Circuito das Nações</t>
  </si>
  <si>
    <t>carnassis</t>
  </si>
  <si>
    <t>programação para 4 dias de carnaval incluindo desfile de escola de samba e blocos carnavalescos, em local coberto com praça de alimentação e área kids</t>
  </si>
  <si>
    <t>atrás da estação ferroviária. Av Rui Barbosa</t>
  </si>
  <si>
    <t>Prefeitura Municipal - Secretaria de Cultura</t>
  </si>
  <si>
    <t>cultura@assis.sp.gov.br</t>
  </si>
  <si>
    <t>Festa do Aniversário da Cidade</t>
  </si>
  <si>
    <t>Fevereiro é mês de comemoração em Cajamar. A cidade completa 67 anos no dia 18 de fevereiro, e para celebrar essa data tão especial, a Prefeitura de Cajamar está preparando uma grande festa para a população.
A principal comemoração acontecerá no sábado, dia 21 de fevereiro, com um evento especial que promete marcar a história da cidade. A programação contará com um grande show da cantora Joelma e também com a apresentação da banda É o Tchan, que conquistou gerações com seus sucessos e promete colocar todo mundo para dançar.
Além dos shows, o evento terá praça de alimentação, estrutura completa e atrações pensadas para garantir lazer, diversão e momentos inesquecíveis para famílias de Cajamar e de toda a região.
No mesmo dia, acontece também a grande final do concurso Rainha de Cajamar, com a apresentação e desfile das 15 finalistas, que concorrem aos títulos de Rainha de Cajamar, 1ª Princesa, 2ª Princesa e Miss Simpatia.
A entrada será solidária, mediante a doação de 1 litro de leite ou 1 litro de óleo, ou ainda a contribuição de R$ 10,00, valor que será revertido para o Fundo Social de Solidariedade, fortalecendo as ações sociais desenvolvidas no município.
Para quem deseja uma experiência diferenciada, haverá venda de camarote open bar, com ingressos disponíveis pelo site: http://www.guicheweb.com.br/cajamar .
A festa de aniversário dos 67 anos de Cajamar será um grande encontro de cultura, música, alegria e celebração, reunindo a população para viver um dia muito especial.</t>
  </si>
  <si>
    <t>Viva+Entretenimento Ltda</t>
  </si>
  <si>
    <t>corrida da Catedral</t>
  </si>
  <si>
    <t>corrida de rua - pedestranismo 5km 18:30hs</t>
  </si>
  <si>
    <t>av. Rui Barbosa Catedral de Assis</t>
  </si>
  <si>
    <t>https://tvcomrunning.com.br/</t>
  </si>
  <si>
    <t>corrida da cerveja TOTTS</t>
  </si>
  <si>
    <t>5K OFF ROAD dentro da floresta
Terreno raiz.
Pé na terra.
Coração acelerado.
Muito suor e superação a cada passada! 💪🔥
E quando cruzar a linha de chegada…
🍺 Chopp artesanal gelado esperando por você
🎶 Música pra levantar a vibe
🤘 Energia lá em cima
🔥 Atmosfera única</t>
  </si>
  <si>
    <t>cervejaria TOTTS zona rural Assis sp</t>
  </si>
  <si>
    <t>Encontro de Motos PRIMATAS</t>
  </si>
  <si>
    <t>Encontro de motociclistas com praça de alimentação e show de rock</t>
  </si>
  <si>
    <t xml:space="preserve">Parque de exposições Jorge Alves de Oliveira (SP-270), Km 446, em Assis/SP Rod Raposo Tavares </t>
  </si>
  <si>
    <t>clube de motociclistas Primatas</t>
  </si>
  <si>
    <t>https://www.instagram.com/primatasarcanosassis/?hl=pt-br</t>
  </si>
  <si>
    <t>Degusta Cajamar</t>
  </si>
  <si>
    <t>O festival gastronômico tem como objetivo celebrar e promover a rica culinária local, estimulando a economia criativa e reconhecendo os talentos que transformam comida em arte.
A primeira fase do festival consiste em uma votação popular nos estabelecimentos inscritos, cada um concorrendo com um prato em uma das quatro categorias: salgado, lanche, porção e doce. Os três mais votados em cada categoria avançam para a etapa final.
A avaliação decisiva ocorre no Centro Profissionalizante de Gastronomia Solidária, com a participação de um júri especializado. Os pratos são avaliados com base em sabor, apresentação, criatividade e originalidade.
Após a avaliação, ocorre a cerimônia de premiação revelando o 1º, 2º e 3º colocado de cada categoria.</t>
  </si>
  <si>
    <t>Campus de Tecnologia e Logística de Cajamar - Rua José Marques Ribeiro, 7195 - Guaturinho, Cajamar - SP, 07750-000</t>
  </si>
  <si>
    <t xml:space="preserve">Secretaria de Turismo e Cultura de Cajamar </t>
  </si>
  <si>
    <t>turismo@cajamar.sp.gov.br</t>
  </si>
  <si>
    <t>festival de sabores</t>
  </si>
  <si>
    <t>O Festival de Sabores acontece na Vila Agro em Assis, tradicional local de evento semanal realizado às sextas-feiras no Espaço da Ceagesp, promovido pela Prefeitura para valorizar a agricultura familiar, cultura local e gastronomia. Funciona como uma feira com produtos frescos direto do produtor, artesanato, opções gastronômicas multiculturais, shows ao vivo e lazer para famílias, visando aproximar o campo da cidade. Nessa ocasião do evento esse local é aberto para os restaurantes da cidade montarem espaços e levarem sua gastronomia para a feira.</t>
  </si>
  <si>
    <t xml:space="preserve">espaço da Ceagesp (Av. Armando Sales de Oliveira, 1111), </t>
  </si>
  <si>
    <t>Secretaria de Meio Ambiente e Agricultura de Assis</t>
  </si>
  <si>
    <t>gab.meioambiente@assis.sp.gov.br</t>
  </si>
  <si>
    <t>II Congresso Brasileiro de Biotecnologia Industrial</t>
  </si>
  <si>
    <t>De 16 a 19 de agosto de 2026,em Campos do Jordão, o II COBBIND reunirá pesquisadores nacionais e internacionais, lideranças institucionais, representantes do setor produtivo, startups, empresas e formuladores de políticas públicas para discutir os principais avanços, desafios e oportunidades da Biotecnologia Industrial e da Bioeconomia.
A programação contará com sessões plenárias, mesas-redondas, palestras internacionais, apresentações de trabalhos científicos (orais e pôsteres) e momentos de networking, promovendo a integração entre ciência, tecnologia, inovação e mercado.
Um encontro estratégico para impulsionar o futuro da biotecnologia no Brasil e no mundo.</t>
  </si>
  <si>
    <t>https://cobbind.com.br/</t>
  </si>
  <si>
    <t>Associação Brasileira de Engenharia Química (ABEQ)</t>
  </si>
  <si>
    <t>cobbind@contato.ufsc.br</t>
  </si>
  <si>
    <t>Mountain Do Campos do Jordão 2026</t>
  </si>
  <si>
    <t>Corrida entre trilhas e araucárias na montanha mais charmosa do Brasil
No dia 23 de agosto de 2026, o Mountain Do Campos do Jordão toma conta da Serra da Mantiqueira em um cenário deslumbrante, cercado por montanhas, florestas de araucárias e clima ameno.
Mais do que uma corrida, é uma experiência imersiva em um dos destinos mais procurados do país — onde o esporte se conecta à natureza, à cultura local e à energia única da montanha.
Com percursos de 5K, 10K e 20K, a prova valoriza o bioma da Mata Atlântica e convida atletas de todos os níveis a viverem um desafio em meio à biodiversidade, ao ar puro e à maior altitude do Brasil.
O charme da Mantiqueira se revela a cada passo: trilhas sombreadas pela floresta úmida, bromélias e orquídeas pelo caminho, além de encontros com a fauna local, como o esquilo-da-serra e o tangará-dançarino.
Prepare-se para correr em um dos cenários mais encantadores do país.</t>
  </si>
  <si>
    <t>Município de Campos do Jordão /SP</t>
  </si>
  <si>
    <t>https://mountaindo.com.br/trail-run/mountain-do-campos-do-jordao/</t>
  </si>
  <si>
    <t>Sports Do</t>
  </si>
  <si>
    <t>contato@sportsdo.com.br</t>
  </si>
  <si>
    <t>17º Encontro Anual da AASP</t>
  </si>
  <si>
    <t>Campos do Jordão sediará, de 27 a 29 de agosto de 2026, o 17º Encontro Anual da AASP, um dos mais relevantes eventos jurídicos do país.
O encontro tem como objetivo aproximar advogadas, advogados, profissionais e estudantes do Direito de diferentes estados brasileiros, promovendo três dias dedicados ao aprimoramento técnico, à atualização jurídica e ao fortalecimento do networking profissional.
A programação será diversificada, reunindo especialistas de destaque nas mais diversas áreas do Direito, com painéis, debates e exposições voltados aos temas contemporâneos que impactam a advocacia.
O Encontro Anual reafirma a expertise da AASP na promoção de eventos de excelência, contribuindo para a qualificação contínua da classe e para o fortalecimento institucional da advocacia no Brasil.</t>
  </si>
  <si>
    <t>https://encontroanual.aasp.org.br/</t>
  </si>
  <si>
    <t>Associação dos Advogados - AASP</t>
  </si>
  <si>
    <t xml:space="preserve"> relacionamento@aasp.org.br</t>
  </si>
  <si>
    <t>6ª Epic Race</t>
  </si>
  <si>
    <t>A 6ª edição da Epic Race será realizada de 28 a 30 de agosto de 2026, tendo como cenário o Parque Estadual Campos do Jordão (PECJ), em meio às montanhas da Serra da Mantiqueira.
O percurso atravessa regiões de altitude que variam entre 1.530 e 2.000 metros, proporcionando um trajeto técnico e desafiador, com paisagens de grande beleza cênica. Em seu novo formato, já consagrado e amplamente aprovado pelos participantes, a competição contará com dois dias de provas de mountain bike, percorrendo trilhas em meio à Mata Atlântica preservada.
A Epic Race Brasil tem como propósito consolidar-se entre as competições mais desafiadoras e marcantes do calendário nacional, unindo alto nível técnico, exigência física e mental e uma experiência esportiva diferenciada.
O trajeto contempla subidas longas e técnicas, descidas intensas, travessias por rios, áreas de floresta, cachoeiras e trilhas típicas de montanha, características que tornam a prova adequada a atletas preparados para enfrentar desafios de elevada complexidade.
Com largada no interior do Parque Estadual Campos do Jordão e estrutura preparada para receber atletas e acompanhantes, o evento também contribui para a valorização do turismo de natureza, oferecendo infraestrutura de apoio, serviços e opções de lazer que ampliam a experiência para participantes e familiares.</t>
  </si>
  <si>
    <t>Parque Estadual Campos do Jordão - Av. Pedro Paulo, s/n, Campos do Jordão - SP</t>
  </si>
  <si>
    <t>https://www.epicrace.com.br/</t>
  </si>
  <si>
    <t>Epic Race Brasil</t>
  </si>
  <si>
    <t>contato@epicrace.com.br</t>
  </si>
  <si>
    <t>Festa do Peão</t>
  </si>
  <si>
    <t>Um evento realizado há mais de 30 anos carregando uma grande memória histórica e afetiva. A Festa do Peão de Cajamar conta com shows de artistas renomados, apresentações culturais, deliciosa gastronomia e muita diversão que atrai milhares turistas todos os anos.</t>
  </si>
  <si>
    <t>4ª edição Campos do Jordão Design Festival</t>
  </si>
  <si>
    <t xml:space="preserve">
De 9 a 12 de setembro de 2026, Campos do Jordão será palco da 4ª edição do Campos do Jordão Design Festival, encontro dedicados ao design, à arquitetura, à arte e à cultura na Serra da Mantiqueira.
Com programação distribuída em diversos hubs criativos espalhados pela cidade, o festival promove quatro dias de experiências, exposições, instalações, palestras e encontros que estimulam a reflexão, a inovação e a troca de conhecimento entre profissionais, estudantes, marcas e público interessado.
A iniciativa valoriza a identidade arquitetônica e cultural do município, incentiva a ocupação qualificada dos espaços urbanos e fortalece o ecossistema da economia criativa, ampliando conexões e oportunidades no cenário nacional.</t>
  </si>
  <si>
    <t>Município de Campos do Jordão/SP</t>
  </si>
  <si>
    <t>https://cjdesignfestival.com.br/</t>
  </si>
  <si>
    <t>Carmem Alvin</t>
  </si>
  <si>
    <t>bruno@teaser.com.br</t>
  </si>
  <si>
    <t>Ultramaratona TransMantiqueira (UTM)</t>
  </si>
  <si>
    <t>Prepare-se para viver uma jornada épica pelas deslumbrantes paisagens da Serra da Mantiqueira. No dia 19 de setembro de 2025, o Parque Estadual de Campos do Jordão será o cenário e o ponto de partida de um dos desafios mais emocionantes do calendário esportivo.
Entre trilhas, montanhas e o ar puro da serra, a Ultramaratona Transmantiqueira vai testar sua força, resistência e espírito de superação. Mais do que uma prova, uma experiência intensa de conexão com a natureza e com seus próprios limites.
Aceite o desafio. Supere-se. Viva a Mantiqueira.</t>
  </si>
  <si>
    <t>Parque Estadual Campos do Jordão - Avenida Pedro Paulo, s/n - Campos do Jordão - SP</t>
  </si>
  <si>
    <t>https://www.ultrarunnereventos.com.br/</t>
  </si>
  <si>
    <t>Ultra Runner Eventos</t>
  </si>
  <si>
    <t>fernando@ultrarunnereventos.com.br</t>
  </si>
  <si>
    <t>L'Étape Campos do Jordão</t>
  </si>
  <si>
    <t>Nos dias 25, 26 e 27 de setembro de 2026, Campos do Jordão será novamente palco de uma das maiores experiências do ciclismo amador mundial: o L'Étape Brasil by Tour de France, a mais importante prova da modalidade na América Latina.
Com cenário deslumbrante e altimetria desafiadora na Serra da Mantiqueira, o evento reúne atletas de todo o país para viver a emoção e o espírito do Tour de France em um dos destinos mais icônicos do Brasil.
Dois percursos para diferentes níveis de desafio:
Percurso Longo
107 km | 2.300 m de altimetria acumulada
Percurso Curto
66 km | 1.300 m de altimetria acumulada
Prepare-se para superar limites, encarar subidas marcantes e sentir a energia única de pedalar nas montanhas de Campos do Jordão. Não fique de fora dessa experiência inesquecível!</t>
  </si>
  <si>
    <t>https://camposdojordao.letapeseries.com/</t>
  </si>
  <si>
    <t>L' Étape Brasil by Tour de France</t>
  </si>
  <si>
    <t>https://www.ticketsports.com.br/e/ltape-campos-do-jordo-by-tour-de-france-presented-by-nubank---2026-74115</t>
  </si>
  <si>
    <t>contato@letapebrasil.com.br</t>
  </si>
  <si>
    <t>Rock Cidade</t>
  </si>
  <si>
    <t>Shows de rock com apresentação de varias bandas e uma atração principal de nível nacional, no segundo dia do evento, com grande estrutura de palco/som e festival de food trucks</t>
  </si>
  <si>
    <t xml:space="preserve"> Av. Rui Barbosa, 926 - Centro, Assis - SP, CEP: 19814-900Atras da Estação Ferroviária - cobertura André Francisco de Assis, espaço Cultura</t>
  </si>
  <si>
    <t>Secretaria Municipal de Cultura - Prefeitura Municipal de Assis</t>
  </si>
  <si>
    <t>WTR Campos do Jordão 2026</t>
  </si>
  <si>
    <t>Nos dias 10 e 11 de outubro de 2026, Campos do Jordão será novamente palco de um dos maiores festivais de esportes outdoor do Brasil. A etapa que marcou a estreia da WTR em solo paulista retorna para mais um fim de semana histórico, reunindo atletas, famílias e apaixonados por natureza.
Muito mais do que uma competição, a WTR (World Trail Races) integra esporte, turismo, saúde, sustentabilidade e adrenalina em uma experiência completa na Serra da Mantiqueira.
🏃‍♂️ Trail Run – distâncias Short, Mid, Long e Ultra
🚵‍♀️ Mountain Bike – categorias Light e Pro
🔥 Duathlon – (Short &amp; Pro ou Mid &amp; Light), disputado nos dois dias
👧 Kids Race – incentivando desde cedo a prática esportiva e o contato com a natureza
A Arena WTR oferece uma programação vibrante, com shows ao vivo, food park, WTR Store, área kids, massagem gratuita, recovery com crioterapia, ativações de patrocinadores e diversas experiências para atletas e visitantes.
Para quem busca somar pontos no Ranking WTR de Trail Run e Mountain Bike, a etapa de Campos do Jordão é classificatória como WTR 10 mil. Consulte o regulamento completo na página oficial de “Ranking”.
Prepare-se para superar limites e viver a energia única das montanhas.</t>
  </si>
  <si>
    <t>Parque Capivari - Rua Eng. Diogo José de Carvalho, Capivari, 1291, Campos do Jordão, SP</t>
  </si>
  <si>
    <t>https://worldtrailraces.com/</t>
  </si>
  <si>
    <t>V3A, Speed Eventos Esportivos e AEESB</t>
  </si>
  <si>
    <t>https://worldtrailraces.com/etapa/wtr-campos-do-jordao-2026/</t>
  </si>
  <si>
    <t>sac@worldtrailraces.com</t>
  </si>
  <si>
    <t xml:space="preserve">caminhada com caminhão de som tocando louvores e cânticos gospel </t>
  </si>
  <si>
    <t xml:space="preserve">Av Rui Barbosa, catedral de Assis </t>
  </si>
  <si>
    <t>Secretaria Municipal de Cultura - Prefeitura de Assis</t>
  </si>
  <si>
    <t>Congresso de Direito e Tecnologia</t>
  </si>
  <si>
    <t>Congresso dos cursos de direito e de Tecnologia na Fundação Educacional do Municipio de Assis FEMA Imesa</t>
  </si>
  <si>
    <t>Avenida Getúlio Vargas, 1200, Vila Nova Santana, Assis/SP, CEP 19807-130</t>
  </si>
  <si>
    <t>FEMA - Fundação Educacional do Municipio de Assis</t>
  </si>
  <si>
    <t>sidney.paulo@fema.edu.br</t>
  </si>
  <si>
    <t xml:space="preserve">Costela Fogo de Chão - </t>
  </si>
  <si>
    <t>Almoço beneficente - Costela Fogo de Chão! Um evento por uma causa nobre em prol da Associação do Câncer de Assis/SP.</t>
  </si>
  <si>
    <t>Loja Renovação e Trabalho 📍 Endereço: Rua Ernesto Morelli, 54 – Jd. Canadá, Assis/SP</t>
  </si>
  <si>
    <t>Loja Renovação e Trabalho (maçonaria)</t>
  </si>
  <si>
    <t>https://www.instagram.com/p/DT_bvjwD7oT/</t>
  </si>
  <si>
    <t>Congresso Acadêmico ADM/CONT/PUBL</t>
  </si>
  <si>
    <t>Congresso acadêmico dos cursos de administração, contabilidade e publicidade e propaganda. Serão 3 dias de evento.</t>
  </si>
  <si>
    <t>idney.paulo@fema.edu.br</t>
  </si>
  <si>
    <t>Fema - Fundação Educacional do Municipio de Assis</t>
  </si>
  <si>
    <t>Carnaval 2026 - Tradição da Alegria</t>
  </si>
  <si>
    <t>Blocos pela cidade, shows na Avenida Bento de Abreu e também o concurso de marchinhas na Praça das Bandeiras estão entre as atividades gratuitas da festa promovida pela Prefeitura de Araraquara.</t>
  </si>
  <si>
    <t>Diversos locais da cidade, incluindo a Avenida Bento de Abreu</t>
  </si>
  <si>
    <t>https://www.araraquara.sp.gov.br/noticias/geral/carnaval-2026-tradicao-da-alegria-confira-a-programacao</t>
  </si>
  <si>
    <t>Prefeitura de Araraquara</t>
  </si>
  <si>
    <t>seccultura@araraquara.sp.gov.br</t>
  </si>
  <si>
    <t>Em 2026, São Pedro comemora 145 anos de uma trajetória marcada pela hospitalidade, cultura, turismo e desenvolvimento. A cidade celebra suas origens, valoriza suas tradições e segue construindo um futuro com qualidade de vida, eventos, gastronomia e belezas naturais que encantam moradores e visitantes. Um convite especial para conhecer, vivenciar e celebrar São Pedro.</t>
  </si>
  <si>
    <t>Rua José Estanislau de Oliveira, 837  -Centro</t>
  </si>
  <si>
    <t>@prefeiturasaopedro</t>
  </si>
  <si>
    <t>setur.saopedro@gmail.com</t>
  </si>
  <si>
    <t>11º Festival Curta Campos do Jordão</t>
  </si>
  <si>
    <t>O Festival Curta Campos do Jordão (FCCJ) chega à sua 11ª edição em 2026, reafirmando seu papel como um dos mais importantes eventos de cinema independente da região. De 17 a 24 de outubro, Campos do Jordão se transforma em palco da criatividade, reunindo realizadores de todo o Brasil em uma grande celebração do audiovisual.
Organizado pela Associação Cultural Cineclube Araucária em parceria com a Secretaria de Valorização da Cultura de Campos do Jordão, o festival é dedicado à difusão e valorização da produção audiovisual, com olhar especial para a Região da Mantiqueira e para o cinema brasileiro independente.
Desde 2015, o FCCJ vem revelando talentos, estimulando a criatividade e fortalecendo a produção de curtas-metragens. Além das exibições, o público poderá participar de bate-papos, oficinas e workshops, promovendo formação, troca de experiências e oportunidades para novos artistas — especialmente jovens da região.
Prepare-se para viver uma semana de histórias que emocionam, provocam e inspiram.
O cinema independente tem encontro marcado na serra!</t>
  </si>
  <si>
    <t>Espaço Cultural Dr Alem - Av. Dr. Januário Miraglia, 1582 - Abernéssia, Campos do Jordão - SP</t>
  </si>
  <si>
    <t>https://www.fccj.com.br/</t>
  </si>
  <si>
    <t>Associação Cultural Cineclube Araucária</t>
  </si>
  <si>
    <t>contato@fccj.com.br</t>
  </si>
  <si>
    <t>Rocky Mountain Games</t>
  </si>
  <si>
    <t>Viva a montanha em sua essência no Rocky Mountain Games Campos do Jordão 2026!
O Rocky Mountain Games é o único festival no Brasil dedicado exclusivamente aos esportes e à cultura de montanha, reunindo três etapas ao longo do ano e conectando diferentes tribos do universo outdoor em uma experiência completa.
Mais do que competições, o evento integra esporte, música, cinema e gastronomia, criando um ambiente vibrante que celebra o estilo de vida nas montanhas. É um encontro feito para atletas, amigos, famílias e comunidades locais, todos movidos pela mesma paixão pela natureza e pela aventura.
No dia 24 de outubro, Campos do Jordão recebe a próxima etapa, transformando a Serra da Mantiqueira em palco de superação, conexão e celebração ao ar livre.
Prepare-se para viver um dia intenso, inspirador e inesquecível nas montanhas!</t>
  </si>
  <si>
    <t>Munícipio Campos do Jordão</t>
  </si>
  <si>
    <t>https://rockymountaingames.com.br/</t>
  </si>
  <si>
    <t>Rocky Mountain Sports Content</t>
  </si>
  <si>
    <t>contato@rockymountaingames.com.br</t>
  </si>
  <si>
    <t>38º Festival da Viola "José Corrêa Cintra"</t>
  </si>
  <si>
    <t>O Festival da Viola José Corrêa Cintra é um dos mais tradicionais encontros da música sertaneja raiz na Serra da Mantiqueira. Criado em 1979 por José Corrêa Cintra, o saudoso Seu Zezinho Cintra, o festival nasceu com o propósito de valorizar a música caipira e fortalecer a identidade cultural da região.
Promovido pela Prefeitura de Campos do Jordão, por meio da Secretaria de Valorização da Cultura de Campos do Jordão, o evento acontece tradicionalmente no Espaço Cultural Dr. Além e no Auditório Claudio Santoro, reunindo violeiros e admiradores da cultura caipira em uma grande celebração da tradição brasileira.
De 12 a 14 de novembro de 2026, o festival chega à sua 38ª edição, consolidado como Patrimônio Imaterial do município desde 2011. Ao longo de sua história, tornou-se palco de revelação de talentos e ponto de encontro de artistas da Serra da Mantiqueira, do Vale do Paraíba, do Sul de Minas e de diversas regiões do Brasil.
Mais do que um concurso, o Festival da Viola é um tributo à essência da música sertaneja raiz,  um legado cultural que atravessa gerações e mantém viva a alma da viola caipira.</t>
  </si>
  <si>
    <t xml:space="preserve">Espaço Cultural Dr Alem - Av. Dr. Januário Miraglia, 1582 - Abernéssia, Campos do Jordão - SP e </t>
  </si>
  <si>
    <t>Secretaria de Valorização da Cultura de Campos do Jordão</t>
  </si>
  <si>
    <t>Natal dos Sonhos 2026</t>
  </si>
  <si>
    <t>O Natal dos Sonhos transforma Campos do Jordão em um verdadeiro cenário mágico, onde cada rua, praça e ponto turístico ganha um brilho especial. 
De 1º de novembro a 6 de janeiro, a cidade fica completamente iluminada e decorada especialmente para o Natal, criando uma atmosfera acolhedora e inesquecível na Serra da Mantiqueira.
A programação é ampla e gratuita, com o tradicional desfile que marca o emocionante acendimento das luzes, além de apresentações de dança, concertos e diversas atrações culturais que exaltam o espírito natalino. A decoração temática se espalha por vários pontos da cidade, envolvendo moradores e visitantes em um clima de encanto e celebração.
Com seu charme e o clima de montanha, Campos do Jordão se torna o destino perfeito para viver a magia do Natal cercado pela natureza, tradição e momentos que criam memórias especiais para toda a família.</t>
  </si>
  <si>
    <t>https://destinocamposdojordao.sp.gov.br/</t>
  </si>
  <si>
    <t>Secretaria de Turismo de Campos do Jordão</t>
  </si>
  <si>
    <t>4 Geek</t>
  </si>
  <si>
    <t xml:space="preserve">Evento é voltado para a cultura Geek e japonesa, contará com as várias Lojas Geek, praça de alimentação, salas temáticas, concursos de cosplay e K-Pop, torneios de vários TCG (Card Game), vídeo games e apresentações.
Atração principal: Erick Bougleux (Ator, Dublador e Diretor de dublagem).
Erick Bougleux é um grande dublador conhecido por várias trabalhos, dentre eles dublador do Aang (Avatar: A lenda de Aang), Dudley Dursley (Harry Potter), Tokito Muichiro (Demons Slayer), claro o Greg Wuliger (Todo Mundo Odeia o Chris) e vários outros personagens icônicos da cultural pop!!! </t>
  </si>
  <si>
    <t>Rua Antônio Afonso de Toledo, 595 - Jardim Sumaré</t>
  </si>
  <si>
    <t>https://www.instagram.com/4geek_eventos/</t>
  </si>
  <si>
    <t>Formiga Geek</t>
  </si>
  <si>
    <t>https://www.slticket.com/event/4geek?utm_source=ig&amp;utm_medium=social&amp;utm_content=link_in_bio&amp;fbclid=PAZXh0bgNhZW0CMTEAc3J0YwZhcHBfaWQMMjU2MjgxMDQwNTU4AAGnnZFcQpgOJDxxgnPxJ-j6FIKhNnu0fF5fT9JKjSTaX48HR8rLKMRq31u6gIQ_aem_LQMVkDJRuCTkNdul5AeRFg</t>
  </si>
  <si>
    <t xml:space="preserve"> 4geekeventos@gmail.com</t>
  </si>
  <si>
    <t>Auto de Páscoa</t>
  </si>
  <si>
    <t>O Auto de Páscoa, encenado pela Igreja Amor e Cuidado 2026 chega à 13ª edição. Um dos eventos mais tradicionais da Páscoa em Araçatuba e região.  Conta com a participação de mais de mil voluntários para retratar a história da paixão de Cristo. Só no palco, são mais de 350 pessoas envolvidas entre dançarinos, músicos e intérpretes.
 prepare-se para viver uma experiência que vai além do palco e alcança a alma. Esse ano o tema será: Quem é esse? Essa é a pergunta que atravessa séculos, corações e destinos está prestes a ecoar novamente.</t>
  </si>
  <si>
    <t>Igreja Amor e Cuidado - Campus Bela Vista 4,9</t>
  </si>
  <si>
    <t>https://amorecuidado.com.br</t>
  </si>
  <si>
    <t>Igreja Amor e Cuidado</t>
  </si>
  <si>
    <t>contato@igrejaamorecuidado.net</t>
  </si>
  <si>
    <t>Ano Novo Lunar</t>
  </si>
  <si>
    <t xml:space="preserve">Araçatuba prepare-se para uma imersão na cultura oriental com a celebração do ano novo lunar. O evento contará com atividades culturais e artísticas. Entre os destaques, dança do leão, K-pop, artes marciais, concurso de Cosplay, cantores e culinária oriental, oferecendo ao público sabores tradicionais dos países asiáticos. </t>
  </si>
  <si>
    <t>Rua Silva Manoel, 15</t>
  </si>
  <si>
    <t>https://www.instagram.com/xinnian.aracatuba/</t>
  </si>
  <si>
    <t>Cultura Chinesa</t>
  </si>
  <si>
    <t xml:space="preserve"> Igreja Messiânica de Araçatuba</t>
  </si>
  <si>
    <t>alhkfw@hotmail.com</t>
  </si>
  <si>
    <t>Desperta Araçatuba</t>
  </si>
  <si>
    <t>Um encontro de fé e palco. O Desperta Araçatuba 2026 é um encontro de cunho religioso, não um show. É uma noite especial de música, oração e experiências que vão transformar sua vida e renovar sua fé. Destaque para Padre Breno e a Banda Colo de Deus.</t>
  </si>
  <si>
    <t xml:space="preserve"> Rua: Duque de Caxias, 1900- Centro de Eventos Quarta Avenida</t>
  </si>
  <si>
    <t xml:space="preserve">
https://www.instagram.com/despertaaracatuba/</t>
  </si>
  <si>
    <t>https://despertaaracatubaoficial.manus.space/?utm_source=ig&amp;utm_medium=social&amp;utm_content=link_in_bio&amp;fbclid=PAZXh0bgNhZW0CMTEAc3J0YwZhcHBfaWQMMjU2MjgxMDQwNTU4AAGnJfl1A8pnhMM_4whoiAcm4gvj55qPslexUW073X2epJm7j69VFK1XPJ5i424_aem_Hl6iAGUzWZi9YlBGgrHT-Q</t>
  </si>
  <si>
    <t>@despertaaracatuba</t>
  </si>
  <si>
    <t>1º Congresso Brasileiro de Folcloristas</t>
  </si>
  <si>
    <t xml:space="preserve">Terra acolhedora, coração do Noroeste Paulista, Araçatuba se prepara para abrir suas portas e sua alma cultural para o I Congresso Brasileiro de Folcloristas, um grande encontro de saberes, tradições e celebrações das culturas populares do país.
Entre sabores autênticos da gastronomia interiorana, festas tradicionais, danças, cantos, artesanatos e o calor humano que marca o povo paulista, Araçatuba convida os folcloristas do Brasil a vivenciarem uma experiência inesquecível, onde o passado e o futuro dançam lado a lado. A cidade abriga o Centro de Tradições Culturais, espaço símbolo da preservação da memória e da força das expressões populares. O cenário perfeito para reflexões, trocas e apresentações que reafirmam o papel do folclorista como guardião das raízes brasileiras.
</t>
  </si>
  <si>
    <t>Centro de Tradições Culturais de Araçatuba</t>
  </si>
  <si>
    <t>https://www.instagram.com/congressofolcloristas2026/</t>
  </si>
  <si>
    <t>fabriciocastilho_ata@outlook.com</t>
  </si>
  <si>
    <t>2º Festival do Cupim Casqueirado</t>
  </si>
  <si>
    <t>Promover, valorizar e difundir o Cupim Casqueirado, como prato típico oficial de Araçatuba, fortalecendo o turismo gastronômico, incentivando a economia local e ampliando a visibilidade dos estabelecimentos gastronômicos do município. O Festival do Cupim Casqueirado é um dos principais eventos gastronômicos do município, criado para homenagear o idealizador do prato típico e consolidar Araçatuba como polo regional de turismo gastronômico, atraindo público local e regional, fortalecendo assim a economia criativa.</t>
  </si>
  <si>
    <t>Araçatuba-SP</t>
  </si>
  <si>
    <t>Secretaria Municipal de Turismo</t>
  </si>
  <si>
    <t>ABQM- 35º Congresso Brasileiro Conformação e Trabalho</t>
  </si>
  <si>
    <t>É um dos principais eventos oficiais da Associação Brasileira de Criadores de Cavalo Quarto de Milha (ABQM). Ele reúne criadores, competidores e proprietários para avaliar a beleza, estrutura física (conformação) e a aptidão funcional (trabalho) da raça Quarto de Milha.</t>
  </si>
  <si>
    <t>Av. Dr. Alcides Fagundes Chagas - Aviacao. Recinto de Exposições Clibas de Almeida Prado</t>
  </si>
  <si>
    <t>https://www.abqm.com.br/</t>
  </si>
  <si>
    <t>Associação Brasileira de Criadores de Cavalo Quarto de Milha -ABQM</t>
  </si>
  <si>
    <t xml:space="preserve"> 11 3864-0800</t>
  </si>
  <si>
    <t>27º Jogos da Melhor Idade - JOMI</t>
  </si>
  <si>
    <t>Os Jogos da Melhor Idade (JOMI) são uma competição oficial promovida pelo Governo do Estado de São Paulo, por meio da Secretaria de Esportes, voltada exclusivamente para atletas com 60 anos ou mais. O evento tem como objetivo fomentar o envelhecimento ativo, fortalecer políticas públicas voltadas à longevidade e promover integração social entre os municípios paulistas. 
Em 2026, a etapa da 6ª Região Esportiva do Estado de São Paulo contará com a participação de 63 municípios, consolidando-se como um dos principais encontros regionais do calendário esportivo voltado à terceira idade.</t>
  </si>
  <si>
    <t>6ª Região Esportiva do Estado de São Paulo</t>
  </si>
  <si>
    <t>comunicacaoesportes@sp.gov.br</t>
  </si>
  <si>
    <t xml:space="preserve">O Festival de Inverno de Franco da Rocha acontece anualmente em agosto, integrando diversas linguagens artísticas com shows, espetáculos e atividades culturais. O festival costuma oferecer atrações gratuitas, como oficinas, shows e apresentações, em polos culturais da cidade e no Parque Municipal.  </t>
  </si>
  <si>
    <t>https://www.francodarocha.sp.gov.br/</t>
  </si>
  <si>
    <t>Prefeitura Municipal de Franco da Rocha (Secretaria de Cultura)</t>
  </si>
  <si>
    <t>cultura@francodarocha.sp.gov.br</t>
  </si>
  <si>
    <t>Romaria para Pirapora do Bom Jesus</t>
  </si>
  <si>
    <t>A Romaria de Franco da Rocha a Pirapora do Bom Jesus é uma tradição religiosa e cultural que acontece desde 1942, reunindo romeiros que percorrem cerca de 45 km, partindo de Franco da Rocha até o Santuário do Senhor Bom Jesus de Pirapora. O evento é uma importante manifestação de fé popular e identidade local, além de ser considerado um patrimônio cultural imaterial da cidade. 
A concentração normalmente ocorre no Parque Municipal Benedito Bueno de Morais, geralmente a partir das 7h, com a coroação do coral local antes da saída oficial. Na chegada, os participantes participam de missa na igreja matriz, acompanhada por apresentações culturais, como a Orquestra de Viola Caipira.</t>
  </si>
  <si>
    <t xml:space="preserve"> Parque Municipal Benedito Bueno de Moraes, Franco da Rocha - SP /Pirapora do Bom Jesus - SP</t>
  </si>
  <si>
    <t>Associação dos Romeiros</t>
  </si>
  <si>
    <t>a.romeirosfrancodarocha@gmail.com</t>
  </si>
  <si>
    <t>Festa Santa Cruz dos Valos</t>
  </si>
  <si>
    <t>A Festa de Santa Cruz dos Valos é uma celebração centenária da religiosidade popular católica. Realizada anualmente, tem como destaque a romaria que liga a área urbana (Vila Ramos) à Capela dos Valos, na zona rural do Mato Dentro. A festa reúne romeiros, festeiros e rezadores, e inclui rezas, ladainhas, procissões em agradecimento às preces alcançadas. A cavalgada que conduz os fiéis com seus andores da Igreja Nossa Senhora de Fátima até a Capela Santa Cruz dos Valos. A origem da  Romaria inserida na celebração vem de uma promessa individual do senhor Emílio Hernandez que no dia de seu aniversário em 03 de maio prometeu confeccionar andores e levar as imagens de Nossa Senhora Aparecida e de São Benedito a cavalo até a Capela. O evento também envolve alimentação comunitária com barracas, fortalecendo os laços sociais e a memória coletiva local.</t>
  </si>
  <si>
    <t>Estrada da Vargem Grande, Km 5,8, no bairro Mato Dentro</t>
  </si>
  <si>
    <t>Comunidade Santa Cruz dos Valos</t>
  </si>
  <si>
    <t>pnsfvilaramos@gmail.com</t>
  </si>
  <si>
    <t xml:space="preserve">Aniversário da Fundação do município e Festa da Nossa Senhora dos Navegantes "Procissão Marítima" </t>
  </si>
  <si>
    <t>A Festa de Aniversário do Município de Cananéia é um dos principais eventos do calendário oficial da estância turística, celebrando a história, a cultura e a identidade do primeiro povoado do Brasil. Realizada anualmente no mês de agosto, em alusão à fundação de Cananéia (12 de agosto de 1531), a festividade reúne moradores, visitantes e turistas em uma programação diversificada, gratuita e aberta ao público.
A celebração acontece em pontos estratégicos do município, especialmente na região central e na Avenida Beira-Mar, valorizando o conjunto paisagístico, histórico e cultural da cidade. A programação contempla:
Shows musicais com artistas locais e regionais;
Apresentações culturais e manifestações tradicionais caiçaras;
Atividades esportivas e recreativas;
Feira de artesanato e gastronomia típica;
Cerimônias cívicas e momentos solenes em homenagem à história do município.
O evento tem como principais objetivos:
Valorizar a identidade histórica de Cananéia, reconhecida como um dos marcos iniciais da colonização portuguesa no Brasil;
Fortalecer a cultura local e incentivar os fazedores de cultura do município;
Impulsionar o turismo regional, ampliando o fluxo de visitantes;
Fomentar a economia local, beneficiando diretamente comerciantes, ambulantes, artesãos e empreendedores do setor de serviços.
Além de seu caráter festivo, a Festa de Aniversário possui relevante impacto econômico e social, contribuindo para a geração de emprego e renda, aumento da ocupação hoteleira e fortalecimento da imagem de Cananéia como destino turístico consolidado no Estado de São Paulo.
A realização do evento conta com estrutura organizada, incluindo palco, som, iluminação, segurança, apoio logístico e ações de divulgação, garantindo conforto, acessibilidade e segurança ao público participante.
Trata-se, portanto, de uma celebração que alia tradição, cultura e desenvolvimento, reafirmando o protagonismo histórico de Cananéia e seu potencial turístico no cenário estadual. 
A programação da Festa de Aniversário também se integra à tradicional Procissão Marítima e Festa em homenagem a Nossa Senhora dos Navegantes, manifestação de fé profundamente enraizada na cultura caiçara. A celebração reúne embarcações ornamentadas que percorrem as águas do Mar Pequeno em ato de devoção e agradecimento, pedindo proteção aos pescadores e navegantes da região. O momento religioso é acompanhado por fiéis, moradores e turistas, fortalecendo a identidade cultural do município e preservando uma das mais significativas tradições de Cananéia, unindo espiritualidade, história e pertencimento comunitário.</t>
  </si>
  <si>
    <t>Região central e na Avenida Beira-Mar</t>
  </si>
  <si>
    <t>Prefeitura Municipal da Estância de Cananéia</t>
  </si>
  <si>
    <t>FÁBRICA DE CHEFS SP</t>
  </si>
  <si>
    <t>A Fábrica de Chefs SP é uma experiência gastronômica imersiva que reúne apaixonados por culinária, profissionais e marcas do setor em um ambiente criativo e colaborativo. O evento promove oficinas práticas, demonstrações ao vivo, desafios culinários e conteúdos exclusivos com chefs renomados, oferecendo ao público a oportunidade de aprender técnicas, explorar sabores e vivenciar a cozinha de forma inovadora. Um espaço pensado para inspirar, conectar e transformar talentos da gastronomia.</t>
  </si>
  <si>
    <t>Av. das Nações Unidas, 22540 – Jurubatuba, São Paulo – SP, 04795-000</t>
  </si>
  <si>
    <t>https://fabricadechefs.com.br/</t>
  </si>
  <si>
    <t>ETOS CONSULTORIA ASSESSORIA E GESTAO DE PROJETOS LTDA</t>
  </si>
  <si>
    <t>https://www.ticketmaster.com.br/event/fabrica-de-chefs-suhai-music-hall</t>
  </si>
  <si>
    <t>financeirofabricadechefs@gmail.com</t>
  </si>
  <si>
    <t>Deficiência Fisica, Deficiência Visual, Deficiência Intelectual, Não possui</t>
  </si>
  <si>
    <t>Mapa Tátil, Piso Tátil, Rampa, Elevador, Braille, Banheiro Acessível, Balcão de atendimento com altura reduzida, Portas Largas para PCR (Pessoa com cadeira de rodas)</t>
  </si>
  <si>
    <t>Festa do Pescador</t>
  </si>
  <si>
    <t>A Festa do Pescador de Cananéia é um evento tradicional que celebra a cultura caiçara, a atividade pesqueira artesanal e a importância histórica e econômica dos trabalhadores do mar para o município. Realizada anualmente, a festividade homenageia os pescadores locais, reconhecendo sua contribuição para a identidade, subsistência e desenvolvimento da cidade.
A programação contempla atividades culturais, esportivas e religiosas, incluindo torneios e competições de pesca, apresentações musicais com artistas locais e regionais, manifestações folclóricas, feira de artesanato, além da valorização da gastronomia típica à base de frutos do mar. Um dos momentos mais simbólicos da celebração é a bênção das embarcações e dos pescadores, reforçando a tradição e a fé da comunidade.
O evento tem como objetivos fortalecer a cultura tradicional caiçara, fomentar o turismo regional, movimentar a economia local e promover integração entre moradores e visitantes. A Festa do Pescador também contribui para o aumento do fluxo turístico, geração de renda para comerciantes, pescadores, artesãos e empreendedores do setor de serviços.
Mais do que uma comemoração, a Festa do Pescador representa o reconhecimento do papel histórico da pesca artesanal na formação social e econômica de Cananéia, reafirmando o vínculo da cidade com o mar, os rios e seu patrimônio cultural imaterial.</t>
  </si>
  <si>
    <t>Bairro do Porto Cubatão</t>
  </si>
  <si>
    <t>CAÇAPAVA</t>
  </si>
  <si>
    <t>Festival São João de Caçapava</t>
  </si>
  <si>
    <t>O Festival São João de Caçapava é um dos mais tradicionais e relevantes eventos juninos do interior do Estado de São Paulo, realizado anualmente pela Prefeitura Municipal, por meio da Secretaria de Cultura e Turismo.
Com mais de um século de história, tendo celebrado seu centenário em 2025, o evento consolidou-se como patrimônio cultural do município e importante produto turístico do Vale do Paraíba, integrando religiosidade, cultura popular, economia criativa e desenvolvimento social.
Realizado em espaço público com entrada gratuita, o Festival reúne grandes nomes da música brasileira, artistas regionais, quadrilhas juninas, cortejo tradicional de carros de boi, programação religiosa e a Vila do Produtor Artesanal, promovendo a valorização da identidade caipira e das manifestações culturais locais.</t>
  </si>
  <si>
    <t>Avenida Brasil s/nº</t>
  </si>
  <si>
    <t>Município de Caçapava</t>
  </si>
  <si>
    <t>turismo@cacapava.sp.gov.br</t>
  </si>
  <si>
    <t>Intérprete de Libras no site do evento, Áudio Descrição no site do evento</t>
  </si>
  <si>
    <t>2º Corrida Juntos Pelo Autismo 2026</t>
  </si>
  <si>
    <t>Corra por você! Corra por quem precisa ser visto. Evento focado em inclusão e solidariedade, não apenas o desempenho. Transformando cada quilômetro em ato de conscientização. A proposta é ir além do Pace (tempo por km) é transformar a corrida em uma experiência comunitária, onde o pertencimento é o mais importante do que a velocidade.</t>
  </si>
  <si>
    <t>APAE-Araçatuba. Rua Pedro Martinês Marin, 08,  bairro Amizade,</t>
  </si>
  <si>
    <t>https://incentivoesporte.com.br/#/evento/2-corrida-juntos-pelo-autismo-2026?utm_source=ig&amp;utm_medium=social&amp;utm_content=link_in_bio&amp;fbclid=PAZXh0bgNhZW0CMTEAc3J0YwZhcHBfaWQMMjU2MjgxMDQwNTU4AAGn-ME-OqG-ImJHRUbUdJ7mUDZvgFoYgX1xmFQqzGrOHm0Lmhm3a9AoVp1J90I_aem_R-rzRdlqLlCKQmyCGd9e4w</t>
  </si>
  <si>
    <t>LEOMOSK/ASSESSORIA ESPORTIVA</t>
  </si>
  <si>
    <t>leonardomosca6635@gmail.com</t>
  </si>
  <si>
    <t>HOLAMBRA</t>
  </si>
  <si>
    <t>Carnaflores</t>
  </si>
  <si>
    <t>O Carnaflores de Holambra 2026 é a tradicional festa de Carnaval da estância turística de Holambra, realizada em fevereiro, com entrada gratuita e programação voltada para toda a família. O evento reúne shows ao vivo, matinês infantis, desfile de blocos e a animada Parada das Flores, transformando a cidade em um grande palco de cores, música e alegria.
Promovido pela Prefeitura da Estância Turística de Holambra, o Carnaflores fortalece a cultura local, valoriza a participação da comunidade e impulsiona o turismo regional, consolidando-se como um dos principais eventos do calendário municipal.</t>
  </si>
  <si>
    <t>R. Dr. Jorge Latour, 695-751 - Morada das Flores, Holambra - SP, 13825-000</t>
  </si>
  <si>
    <t>Prefeitura de Holambra</t>
  </si>
  <si>
    <t>diretoria.turismo@holambra.sp.gov.br</t>
  </si>
  <si>
    <t>CEDRAL</t>
  </si>
  <si>
    <t>Festa das nações</t>
  </si>
  <si>
    <t>Onde o sabor do mundo se encontra com a solidariedade do interior. A Festa das Nações de Cedral celebra a diversidade cultural através de pratos típicos e apresentações artísticas, unindo a população em prol de causas sociais em um ambiente familiar e festivo.</t>
  </si>
  <si>
    <t>SIM</t>
  </si>
  <si>
    <t>Av.Antônio dos Santos Galante,nº429- Centro-15895-029</t>
  </si>
  <si>
    <t>Prefeitura Municipal de Cedral,Fundo Social de Solidariedade,Entidades Assistênciais e Volundtários e Coordenadoria de Cultura e Turismo</t>
  </si>
  <si>
    <t>www.cedral.sp.gov.br</t>
  </si>
  <si>
    <t>cultura@cedral.sp.gov.br.</t>
  </si>
  <si>
    <t>Páscoa de Holambra</t>
  </si>
  <si>
    <t>A Páscoa em Holambra é um período marcado por encanto, tradição e forte apelo familiar, reforçando o título da cidade como Capital Nacional das Flores. Durante a temporada, o município se transforma com decoração temática, cores vibrantes, flores e elementos lúdicos que remetem ao espírito pascal.
A programação valoriza o convívio familiar, com atividades recreativas para crianças, oficinas temáticas, apresentações culturais e espaços instagramáveis que atraem moradores e turistas. O comércio e a gastronomia local também ganham destaque, com produtos artesanais, chocolates, confeitaria temática e pratos inspirados na tradição holandesa.
Mais do que uma celebração religiosa, a Páscoa em Holambra se consolida como um atrativo turístico sazonal, fortalecendo o fluxo de visitantes, movimentando a economia local e proporcionando uma experiência acolhedora, charmosa e repleta de significado.</t>
  </si>
  <si>
    <t>Praça dos Pioneiros</t>
  </si>
  <si>
    <t>SALES</t>
  </si>
  <si>
    <t xml:space="preserve">Comemoração de aniversário de 103 anos de fundação do município de Sales </t>
  </si>
  <si>
    <t>É um evento em Praça Publica que Movimenta a economia, gera empregos e renda, atrai turistas de toda parte do estado, fortalece o turismo local.</t>
  </si>
  <si>
    <t>Não se Aplica</t>
  </si>
  <si>
    <t>Praça da Matriz- Rua Cezário José de Castilho s/n - Centro</t>
  </si>
  <si>
    <t>www.sales.sp.gov.br</t>
  </si>
  <si>
    <t>turismo@sales.sp.gov.br</t>
  </si>
  <si>
    <t xml:space="preserve">É um evento que atrai muitos Turistas para prestigiar o evento e PRESTIGIAR a encenação da Paixão de Cristo em um momento realista com vários artistas locais que dão um show na apresentação </t>
  </si>
  <si>
    <t>Centro de Eventos Paschoal Nadarchione - km 0,5 Rodovia Vicial Jorge Nassif Tomé</t>
  </si>
  <si>
    <t>Par[oquia de São Benedito - Secretaria Municipal de Turismo</t>
  </si>
  <si>
    <t>Entrada Franca</t>
  </si>
  <si>
    <t xml:space="preserve">4º Festa das Nações </t>
  </si>
  <si>
    <t xml:space="preserve">É um evento que atraem muitas famílias de Sales e de toda região, para degustarem da culinária de vários países </t>
  </si>
  <si>
    <t xml:space="preserve">Centro de Eventos Paschoal Nadarchione, km0,5 vicinal Tenente Jorge Nassif Tomé </t>
  </si>
  <si>
    <t xml:space="preserve">36º Festa do Peão de Sales </t>
  </si>
  <si>
    <t xml:space="preserve">É a maior Festa Tradicional do Município, que a cada ano tem aumentado o público , gera emprego e rendas, desenvolve a economia local, resgata tradições e fortalrce o turismo. </t>
  </si>
  <si>
    <t xml:space="preserve">Centro de Eventos Paschoal Nadarchione - km 0,5 Vicinal Tenente Jorge Nassif Tomé </t>
  </si>
  <si>
    <t>Piso Tátil, Rampa, Elevador, Banheiro Acessível, Portas Largas para PCR (Pessoa com cadeira de rodas), Outro:</t>
  </si>
  <si>
    <t xml:space="preserve">CANTATA DE NATAL </t>
  </si>
  <si>
    <t>A tradicional Cantata de Natal de Cananéia acontece em frente à histórica Igreja Matriz São João Batista, no Centro Histórico, marcando o início das festividades com apresentações dos corais locais e da Banda Municipal. O evento contou com a presença do Papai Noel e neve artificial. 
Destaques da Cantata de Natal em Cananéia:
 Realizada na Praça Martim Afonso de Souza, em frente à Igreja Matriz São João Batista.
Atrações: Apresentações musicais do Coral da Paróquia São João Batista e da Banda Municipal de Cananéia.
Atmosfera: Chegada do Papai Noel, cenário iluminado e neve artificial para celebrar o período natalino.
A cantata é um momento de união da comunidade, cultura e fé, atraindo famílias para o centro da cidade.</t>
  </si>
  <si>
    <t xml:space="preserve">Praça Martim Afonso de Souza </t>
  </si>
  <si>
    <t>PEDRINHAS PAULISTA</t>
  </si>
  <si>
    <t>Macarronada de São Donato</t>
  </si>
  <si>
    <t>Evento religioso e gastronômico, realizado pelo Poder Público Municipal, em parceria com a Igreja Católica, que reúne cerca de 5000 pessoas, sendo aproximadamente a metade de visitantes da região, em celebração ao dia do padroeiro da cidade.</t>
  </si>
  <si>
    <t>Salão de Festas, Praça Mons. Ernesto Montagner, s/n</t>
  </si>
  <si>
    <t>Prefeitura Municipal e Igreja Católica</t>
  </si>
  <si>
    <t>turismo@pedrinhaspaulista.sp.gov.br</t>
  </si>
  <si>
    <t>74º Aniversário da Cidade</t>
  </si>
  <si>
    <t>Festejos com feira gastronômica, shows musicais, corrida pedestre e desfile cívico, que atrai cerca de 7000 pessoas, sendo 4000 visitantes, durante 3 dias.</t>
  </si>
  <si>
    <t>Praça Mons. Ernesto Montagner, s/n e Avenida Brasil</t>
  </si>
  <si>
    <t>Prefeitura Municipal de Pedrinhas Pta</t>
  </si>
  <si>
    <t>Evento aberto / gratuito</t>
  </si>
  <si>
    <t>Encontro de Motociclistas de Pedrinhas Pta</t>
  </si>
  <si>
    <t>Encontro de motociclistas, com shows musicais, gastronomia e outras atividades, que reúne cerca de 10000 participantes, sendo cerca de 90% de visitantes da região e outros estados.</t>
  </si>
  <si>
    <t>Praça Mons. Ernesto Montagner, s/n, Teatro Municipal e Arena Coliseu.</t>
  </si>
  <si>
    <t>Prefeitura Municipal e Moto Clube Stone Motors</t>
  </si>
  <si>
    <t>Evento gratuito</t>
  </si>
  <si>
    <t>Encontro Anual de Carros antigos</t>
  </si>
  <si>
    <t xml:space="preserve"> 
Realizado anualmente pela Prefeitura de Praia Grande em parceria com Clube Antigos do Litoral, o Encontro Anual de Carros é realizado no Pavilhão de Eventos Jair Rodrigues, ocorrendo preferencialmente no primeiro final de semana do mês de fevereiro. A programação conta com exposição de veículos antigos, apresentações musicais e praça de alimentação.
Para mais informações acompanhe nossas redes: @palaciodasartespg / @prefpraiagrande / turismo.praiagrande.sp.gov.br</t>
  </si>
  <si>
    <t>A Paixão de Cristo é um Patrimônio Cultural e Imaterial de Praia Grande e o espetáculo é conhecido por lotar o teatro, sendo realizado de forma musical desde 2018 com uso de tecnologia de projeção mapeada. O evento é uma realização do Palácio das Artes e da prefeitura local</t>
  </si>
  <si>
    <t>Lei 1911/2018 lei municipal</t>
  </si>
  <si>
    <t>Teatro Serafim Gonzalez - Palácio das Artes, Av. Pres. Costa e Silva, 1.600, Boqueirão.</t>
  </si>
  <si>
    <t>https://www.praiagrande.sp.gov.br/atendimento/CulturaTurismo/EncenacaoDaPaixaoDeCristo.asp</t>
  </si>
  <si>
    <t>Secretaria de Turismo da Prefeitura de Praia Grande</t>
  </si>
  <si>
    <t>Ingresso solidário (Alimentos não perecíveis e Itens de Higiene) na Bilheteria do Palácio das Artes</t>
  </si>
  <si>
    <t>secturplanejamento@praiagrande.sp.gov.br // secturgestaocultural@praiagrande.sp.gov.br</t>
  </si>
  <si>
    <t>Aniversária da Cidade juntamente com a Festa do Pdroeiro São Sebastião</t>
  </si>
  <si>
    <t>aniversário da cidade 37 anos de emancipação politica/ Festa Tradicional de São Sebastiao Padroeiro da cidade com mais 100 anos de comemorações.</t>
  </si>
  <si>
    <t>não</t>
  </si>
  <si>
    <t>Nao possui</t>
  </si>
  <si>
    <t>Igreja Catolica/ Prefeitura</t>
  </si>
  <si>
    <t>nao</t>
  </si>
  <si>
    <t>gabinete@motuca.sp.gov.br</t>
  </si>
  <si>
    <t>Encontro de Carros Tunados e Rebaixados</t>
  </si>
  <si>
    <t>Este evento é para quem ama o universo automobilístico! No dia 19/04 das 09 às 17 horas, será realizado o 45 Encontro Anual de Carros Tunados e Rebaixados em Praia Grande. Com entrada gratuita, mas com a sugestão de doação de 1 kg de alimento não perecível, a edição acontecerá no Pavilhão de Eventos Jair Rodrigues, no bairro Quietude, e contará com a exposição de diversos carros incríveis.
O evento também terá espaço de alimentação, área para crianças e muito mais, nesta quinta edição, alguns expositores vão falar sobre os carros personalizados e as peças automotivas. Este ano, serão exibidos aproximadamente 300 carros ao público, com diversos atrativos para toda a família aproveitar o evento</t>
  </si>
  <si>
    <t>Lei 2001/2020</t>
  </si>
  <si>
    <t>Pavilhão de Eventos Jair Rodrigues R. Savério Fittipaldi, s/nº - Quietude, Praia Grande - SP, 11718-180</t>
  </si>
  <si>
    <t>Baladacar com apoio da Prefeitura</t>
  </si>
  <si>
    <t>Entrada solidária (doação de 1Kg de Alimento não perecível ou itens de higiene)</t>
  </si>
  <si>
    <t>secturplanejamento@praiagrande.sp.gov.br</t>
  </si>
  <si>
    <t>NOVA LUZITÂNIA</t>
  </si>
  <si>
    <t>36ª Festa do Peão de Nova Luzitânia 2026</t>
  </si>
  <si>
    <t>A Festa do Peão de Nova Luzitânia é um dos eventos mais tradicionais e aguardados do município, reunindo todos os anos um grande público em momentos de lazer, cultura e entretenimento. A festa já se consolidou no calendário de eventos da cidade, atraindo visitantes de diversos municípios da região.
Realizada sempre no mês de junho, em comemoração ao aniversário de Nova Luzitânia, a festa se tornou uma importante celebração que valoriza as tradições do interior e fortalece o sentimento de pertencimento da população.
O evento conta com grandes atrações da música sertaneja, trazendo artistas de renome nacional que garantem noites de muita animação e shows marcantes para o público. Além da programação musical, a festa também preserva a tradição do rodeio, com emocionantes montarias em touros e cavalos, que são um dos momentos mais esperados da programação.
Outro grande destaque é que a entrada é gratuita, permitindo que toda a população e visitantes possam participar e aproveitar as festividades.
Com uma estrutura preparada para receber bem o público, a Festa do Peão de Nova Luzitânia se consolida como um dos maiores eventos do município, promovendo integração, entretenimento e a valorização da cultura sertaneja.</t>
  </si>
  <si>
    <t>Avenida da Saudade, 1336 - Distrito Industrai - NOva Luzitânia-SP</t>
  </si>
  <si>
    <t>Prefeitura de Nova Luzitânia</t>
  </si>
  <si>
    <t>culturaeturismo@novaluzitânia.sp.gov.br</t>
  </si>
  <si>
    <t>62 aniverssário de Barra Do Turvo</t>
  </si>
  <si>
    <t>desfile civico , cultura e rodeio qualify em comemoração ao aniversário da cidade</t>
  </si>
  <si>
    <t>recinto do rodeio</t>
  </si>
  <si>
    <t>prefeitura municipal de Barra do Turvo</t>
  </si>
  <si>
    <t>cultura@barradoturvo.sp.gov.br</t>
  </si>
  <si>
    <t>Feira de Artesanato Itinerante</t>
  </si>
  <si>
    <t>O evento tem como objetivo valorizar o trabalho de artesãos e empreendedores locais, oferecendo ao público uma variedade de produtos artesanais e alimentícios. A feira promove lazer e cultura para moradores e visitantes, incentivando a economia criativa e o comércio local.</t>
  </si>
  <si>
    <t>Praça Duque de Caxias - Canto do Forte</t>
  </si>
  <si>
    <t>https://turismo.praiagrande.sp.gov.br/2021/08/04/feira-de-artesanato-itinerante/</t>
  </si>
  <si>
    <t>secturartesanato@praiagrande.sp.gov.br</t>
  </si>
  <si>
    <t>Festival de Chorinho</t>
  </si>
  <si>
    <t>Um festival de chorinho é um evento cultural dedicado à celebração, difusão e preservação do choro, considerado o primeiro gênero musical urbano tipicamente brasileiro. Esses festivais costumam reunir músicos renomados, novos talentos, pesquisadores e amantes do gênero em uma programação que mistura apresentações ao vivo, oficinas, rodas de choro e atividades educativas.
Para mais informações acompanhe nossas redes: @palaciodasartespg / @prefpraiagrande / turismo.praiagrande.sp.gov.br
(Evento sujeito a alterações).</t>
  </si>
  <si>
    <t>Av: Presidente Costa e Silva, 1.600 - Boqueirão - Praia Grande</t>
  </si>
  <si>
    <t>https://turismo.praiagrande.sp.gov.br/2021/05/27/fotos-festival-de-chorinho/</t>
  </si>
  <si>
    <t>Gratuito - Distribuição de ingressos 1 hora antes do espetáculo no Palácio das Artes</t>
  </si>
  <si>
    <t>secturgestaocultural@praiagrande.sp.gov.br</t>
  </si>
  <si>
    <t>Elevador, Portas Largas para PCR (Pessoa com cadeira de rodas)</t>
  </si>
  <si>
    <t>SÃO JOSÉ DO RIO PRETO</t>
  </si>
  <si>
    <t>Show Internacional Guns N´Roses</t>
  </si>
  <si>
    <t>Show internacional do Guns,  a abertura do Show será realizada pela Banda Raimundos.</t>
  </si>
  <si>
    <t>R. Daniel Antônio de Freitas, 115 - Distrito Industrial, São José do Rio Preto - SP, 15035-540</t>
  </si>
  <si>
    <t>https://gunsnroses.com/pages/tour</t>
  </si>
  <si>
    <t>00000</t>
  </si>
  <si>
    <t>Prefeitura Municipal São José do Rio Preto</t>
  </si>
  <si>
    <t>https://www.viagogo.com/br/Ingressos-Shows/Pop-Rock/Album-Rock/Guns-N-Roses-Ingressos?=&amp;PCID=PSBRADWHOME43351040802433&amp;MetroRegionID=&amp;psc=&amp;ps=&amp;ps_p=0&amp;ps_c=21103190093&amp;ps_ag=175767021510&amp;ps_tg=kwd-2284243381831&amp;ps_ad=783279568280&amp;ps_adp=&amp;ps_fi=&amp;ps_li=&amp;ps_lp=9100642&amp;ps_n=g&amp;ps_d=c&amp;ps_ex=&amp;pscpag=&amp;gad_source=1&amp;gad_campaignid=21103190093&amp;gbraid=0AAAAAD3dCeBYKNPl2TNJqurRFKQzXX-Dq&amp;gclid=Cj0KCQjw9-PNBhDfARIsABHN6-08S_9gxXVk2-w8QeZf5K6Mjvz-JcZgx54ZJ6w7IU-jK-RXqPpHSbwaAumUEALw_wcB&amp;ct=</t>
  </si>
  <si>
    <t>turismo.semdec@riopreto.sp.gov.br</t>
  </si>
  <si>
    <t>Aniversário da cidade</t>
  </si>
  <si>
    <t>Aniversário da cidade de São José do Rio Preto, com shows, corte de bolo, diversão e tarifa zero no transporte público.</t>
  </si>
  <si>
    <t>https://www.riopreto.sp.gov.br/noticias/prefeitura-divulga-atracoes-do-aniversario-de-rio-preto</t>
  </si>
  <si>
    <t>Prefeitura Municipal de São José do Rio Preto</t>
  </si>
  <si>
    <t>Mapa Tátil, Piso Tátil, Rampa, Braille, Banheiro Acessível, Balcão de atendimento com altura reduzida, Portas Largas para PCR (Pessoa com cadeira de rodas)</t>
  </si>
  <si>
    <t>FIT- Festival Internacional de Teatro</t>
  </si>
  <si>
    <t>Festival Internacional de Teatro de São José do Rio Preto) é um dos maiores e mais importantes eventos de artes cênicas do Brasil, realizado anualmente. O festival transforma a cidade em um grande palco, oferecendo espetáculos nacionais e internacionais, com grande parte da programação gratuita e focada na democratização da cultura.</t>
  </si>
  <si>
    <t>Praça Jornalista Leonardo Gomes, 1 - Centro, São José do Rio Preto - SP, 15061-005</t>
  </si>
  <si>
    <t>https://www.fitriopreto.com.br/</t>
  </si>
  <si>
    <t>cultura@riopreto.sp.gov.br</t>
  </si>
  <si>
    <t>Atendimento em Línguas de Sinais, Mapa Tátil, Piso Tátil, Rampa, Elevador, Braille, Banheiro Acessível, Balcão de atendimento com altura reduzida, Portas Largas para PCR (Pessoa com cadeira de rodas)</t>
  </si>
  <si>
    <t xml:space="preserve">Corrida Verde </t>
  </si>
  <si>
    <t xml:space="preserve">Em comemoração à Semana do Meio Ambiente, a Secretaria de Turismo promove a Corrida Verde de Cajamar fomentando o turismo esportivo e o ecoturismo, atraindo turistas de toda a região. </t>
  </si>
  <si>
    <t>A largada será às 8h, no Ginásio Lamartine de Paula Lima (Av. Professor Walter Ribas de Andrade, 300 – Centro), com chegada na Estrada Flavio Beneduce, na altura dos fornos do Ponunduva.</t>
  </si>
  <si>
    <t xml:space="preserve">Prefeitura de Cajamar - Secretaria de Turismo e Cultura de Cajamar </t>
  </si>
  <si>
    <t>PEDREIRA</t>
  </si>
  <si>
    <t>4º Festival de Rock e Moto Clubes de Pedreira</t>
  </si>
  <si>
    <t>O evento reúne vários grupos de Moto Clubes provenientes de diversas localidades do Estado de São Paulo e do Brasil, contando com praça de alimentação e shows musicais de renomadas bandas.</t>
  </si>
  <si>
    <t>Rua Miguel Sarkis, s/nº - Distrito Industrial</t>
  </si>
  <si>
    <t>Prefeitura Municipal de Pedreira/ Moto Clube Pé Estradeiro</t>
  </si>
  <si>
    <t>turismo@pedreira.sp.gov.br</t>
  </si>
  <si>
    <t>Páscoa Iluminada</t>
  </si>
  <si>
    <t>Evento de páscoa, realizado em dois finais de semanas, com muitas luzes decorativas, decorações temáticas, Shows musicais, de danças e artísticos, com feira gastronômica no local.</t>
  </si>
  <si>
    <t>Avenida dos Estudantes, 360 - Centro - Caieiras - SP</t>
  </si>
  <si>
    <t>https://www.instagram.com/prefeituradecaieiras/</t>
  </si>
  <si>
    <t>Prefeitura de Caieiras</t>
  </si>
  <si>
    <t>Paixão de Cristo</t>
  </si>
  <si>
    <t>Encenação da Paixão de Cristo, realizada num campo de futebol, no estádio municipal, onde na arquibancada cabem mais 5.000 pessoas</t>
  </si>
  <si>
    <t>AGUDOS</t>
  </si>
  <si>
    <t>3ª Via Sacra da Família</t>
  </si>
  <si>
    <t>um momento especial de oração, fé e espiritualidade franciscana.</t>
  </si>
  <si>
    <t>Seminario Santo Antonio de Agudos</t>
  </si>
  <si>
    <t>fr.james@franciscanos.org.br</t>
  </si>
  <si>
    <t>Piso Tátil, Banheiro Acessível, Portas Largas para PCR (Pessoa com cadeira de rodas)</t>
  </si>
  <si>
    <t>PIQUETE</t>
  </si>
  <si>
    <t>Piquete, tradicionalmente, realiza o carnaval de rua. Conta com a participação de duas escolas de samba que atendem pelos respectivos nomes: Escola de Samba Imperio do Bras e Escola de Samba Unidos da Vila Célia. Ambas agremiações apresentam todos os anos desfiles com alas e carros alegóricos, tornando-se atrativos para o evento. Realizamos também o concurso que elege a côrte carnavalesca, bem como os melhores e mais bonitos bois de carnaval (cultura de Piquete; boi feito de bambu revestido por panos que saem pelas ruas para brincar de atacar as pessoas). E, para finalizar, contamos com os blocos que abrilhantam as quatro noites de carnaval na avenida. No palco, contamos com bandas que priorizam o repertório de marchinhas, onde atraem as famílias para a praça.</t>
  </si>
  <si>
    <t>Praça Duque de Caxias, centro</t>
  </si>
  <si>
    <t>Prefeitura Municipal de Piquete</t>
  </si>
  <si>
    <t>turismo@piquete.sp.gov.br</t>
  </si>
  <si>
    <t>ESPÍRITO SANTO DO PINHAL</t>
  </si>
  <si>
    <t>Feira do Agronegócio</t>
  </si>
  <si>
    <t>Feira de Agronegócio: espaço para networking, exposição de maquinários, tecnologias e inovações para o campo.Experiência Completa: Envolve degustações, cafés especiais, méis, azeites e, frequentemente, masterclasses com especialistas.</t>
  </si>
  <si>
    <t xml:space="preserve">Rodovia Campinas/Águas da Prata, s/n - Zona Rural, Espírito Santo do Pinhal </t>
  </si>
  <si>
    <t>www.turisagro.com.br</t>
  </si>
  <si>
    <t>Turisagro</t>
  </si>
  <si>
    <t>@turisagrooficial</t>
  </si>
  <si>
    <t>PWRD By Coffee Games</t>
  </si>
  <si>
    <t>PWRD by COFFEE GAMES é um campeonato esportivo que funciona como uma das maiores arenas de competições de cross training do Brasil, atraindo centenas a milhares de participantes e equipes inscritas.Mais de 1.800 atletas de diferentes estados brasileiros e até internacionais já estiveram presentes em edições recentes, competindo em trio ou outras formações, dependendo da organização da prova. O evento é conhecido por sua atmosfera vibrante, mistura de esportividade e interação social — com público, competidores, música e ambiente voltado para a celebração da cultura fitnes.</t>
  </si>
  <si>
    <t xml:space="preserve"> Avenida Doutor Rafael Oricchio Neto</t>
  </si>
  <si>
    <t>@pwrdbycoffeegames</t>
  </si>
  <si>
    <t>PWRD by Coffee</t>
  </si>
  <si>
    <t>V Encontro de Carros Antigos de Espírito Santo do Pinhal</t>
  </si>
  <si>
    <t>O Encontro de Carros Antigos de Espírito Santo do Pinhal é um evento anual que reúne colecionadores, expositores e admiradores do antigo mobilismo para celebrar a história e a cultura automotiva. Realizado tradicionalmente na Estação Ferroviária, o encontro apresenta veículos clássicos de diversas épocas, muitos com mais de 30 anos, além de promover a troca de experiências entre os participantes.</t>
  </si>
  <si>
    <t>ESTAÇÃO FERROVIÁRIA</t>
  </si>
  <si>
    <t>www.carroantigodopinhal.com.br</t>
  </si>
  <si>
    <t>GRUPO CARRO ANTIGO DO PINHAL</t>
  </si>
  <si>
    <t>II Fórum Regional de Turismo de Espírito Santo do Pinhal</t>
  </si>
  <si>
    <t>O II Fórum de Turismo de Espírito Santo do Pinhal será um momento especial de encontro, troca de ideias e construção coletiva para o fortalecimento do turismo local. O evento reunirá representantes do poder público, empresários, profissionais do setor e a comunidade para discutir tendências, oportunidades e estratégias para o desenvolvimento do turismo no município.
A programação contará com apresentações, debates e compartilhamento de experiências, abordando temas como qualificação, promoção do destino e iniciativas inovadoras, incluindo ações do Observatório de Turismo.
Mais do que um evento, o Fórum é um convite à participação ativa de todos que acreditam no potencial turístico de Espírito Santo do Pinhal como motor de desenvolvimento econômico, valorização cultural e geração de oportunidades.</t>
  </si>
  <si>
    <t>Estação Ferroviária</t>
  </si>
  <si>
    <t xml:space="preserve">Departamento de Turismo </t>
  </si>
  <si>
    <t>turismo@pinhal.sp.gov.br</t>
  </si>
  <si>
    <t>Feira Gastronômica Especial Dia do Trabalhador</t>
  </si>
  <si>
    <t>A Feira Gastronômica de Espírito Santo do Pinhal é um dos principais eventos de valorização da gastronomia local e fortalecimento da economia criativa do município. Realizada regularmente na Praça da Independência, reúne cerca de 46 feirantes que oferecem um cardápio diversificado, com opções para todos os públicos, além de produtos artesanais e culturais.
O evento também conta com atrações musicais ao vivo e proporciona um ambiente de convivência, lazer e entretenimento para moradores e visitantes, consolidando-se como um importante ponto de encontro da comunidade. Além de promover a cultura e os sabores locais, a feira contribui diretamente para a geração de renda e o desenvolvimento do turismo na cidade.</t>
  </si>
  <si>
    <t>Praça da Independência</t>
  </si>
  <si>
    <t>Prefeitura Municipal de Espírito Santo do Pinhal</t>
  </si>
  <si>
    <t>Banheiro Acessível, Não possui</t>
  </si>
  <si>
    <t>EMBU DAS ARTES</t>
  </si>
  <si>
    <t>Encenação teatral ao ar livre,em parque publico da Paixão de Cristo.</t>
  </si>
  <si>
    <t>Pque do Lago Francisco Rizzo-R Alberto Giosa,320,Embu das Artes</t>
  </si>
  <si>
    <t>https://cidadeembudasartes.sp.gov.br/parque-do-lago-francisco-rizzo</t>
  </si>
  <si>
    <t>Secretaria de Cultura</t>
  </si>
  <si>
    <t>nao possui</t>
  </si>
  <si>
    <t>cultura@embudasartes.sp.gov.br</t>
  </si>
  <si>
    <t>Atendimento em Línguas de Sinais, Portas Largas para PCR (Pessoa com cadeira de rodas)</t>
  </si>
  <si>
    <t xml:space="preserve">35ª FEJUPI - Festa Junina de Pirapozinho </t>
  </si>
  <si>
    <t xml:space="preserve">FEJUPI, Festa Junina de Pirapozinho, é uma celebração tradicional que acontece na cidade de Pirapozinho, geralmente no mês de junho durante 4 dias, publico participante mais de 120mil pessoas durante a festa,  o Evento ocorre no Município de Pirapozinho SP para celebrar com  danças, comidas típicas, brincadeiras e muita música com show de grandes artistas de renome nacional. As festas juninas são conhecidas por suas tradições, como as quadrilhas e as fogueiras. A Fejupi certamente traz um clima festivo e acolhedor para todos os participantes. De acordo com a Lei nº13.410, de 15 janeiro de 2009, Foi incluída no Calendário Turístico do Estado a Festa Junina de Pirapozinho – FEJUPI (Festa Junina de Pirapozinho) e tem o Projeto de lei nº 692 /2025  que Declara o Município de Pirapozinho "Capital Estadual da Fogueira". É um evento realizado anualmente no município de Pirapozinho, localizado na região de  Presidente Prudente. A festa é conhecida por sua grandiosidade, atraindo milhares de visitantes de diversas cidades do estados e do Brasil. </t>
  </si>
  <si>
    <t>Lei nº13.410, de 15 janeiro de 2009</t>
  </si>
  <si>
    <t>Parque do Povo de Pirapozinho</t>
  </si>
  <si>
    <t>https://www.instagram.com/fejupi.2025/</t>
  </si>
  <si>
    <t>Festa de São Pedro</t>
  </si>
  <si>
    <t>Festa em louvor do padroeiro da cidade, durante todo mês de junho na Praça Francisco Alves Negrão com quermesse e eventos religiosos.</t>
  </si>
  <si>
    <t>Igreja Católia com apoio da Prefeitura</t>
  </si>
  <si>
    <t>Portas Largas para PCR (Pessoa com cadeira de rodas)</t>
  </si>
  <si>
    <t>FAPI - Festa do Peão e Feira Agropecuária de Itararé</t>
  </si>
  <si>
    <t>Rodeio e apresentações musicais em comemoração ao aniversário do município</t>
  </si>
  <si>
    <t>Centro de Eventos de Itararé - antiga Estação Ferroviária</t>
  </si>
  <si>
    <t>Prefeitura de Itararé</t>
  </si>
  <si>
    <t>Feira das Naçôes</t>
  </si>
  <si>
    <t>Evento gastronômico com comercializaçãoes de pratos e apresentações musicais em prol de entidades filantrópicas da cidade.</t>
  </si>
  <si>
    <t>Praça Cel. Jordão</t>
  </si>
  <si>
    <t>Prefeitura Municipal de Itararé em conjunto com as entidades filantrópicas do município</t>
  </si>
  <si>
    <t>Feira do Empreendedor de Itararé</t>
  </si>
  <si>
    <t>Encontro de comerciários, empresários e estabelecimentos comerciais de Itararé</t>
  </si>
  <si>
    <t>Centreo de Eventos de Itararé</t>
  </si>
  <si>
    <t>Prefeitura de Itararé e Associação Comercial e Industrial de Itararé</t>
  </si>
  <si>
    <t>Festa gastronômica com comercialização de pratos, doces e bebidas tendo o milho como principal ingrediente</t>
  </si>
  <si>
    <t>Associação dos Moradores da Vila Santa Terezinha</t>
  </si>
  <si>
    <t>Associação dos Moradores da Vila Santa Terezinha com apoio da Prefeitura</t>
  </si>
  <si>
    <t>GUAIÇARA</t>
  </si>
  <si>
    <t>102 Festa de São João Batista</t>
  </si>
  <si>
    <t>A Festa de São João de Guaiçara é uma das tradições mais importantes do município, realizada anualmente durante o mês de junho. Trata-se de uma celebração junina que mistura fé, cultura popular e entretenimento, em homenagem a São João Batista.
O evento acontece geralmente aos finais de semana e reúne milhares de pessoas, contando com apresentações culturais, quadrilhas, shows musicais, comidas típicas e parque de diversões. Além disso, também possui uma forte programação religiosa, reforçando seu caráter tradicional e comunitário.
Com mais de um século de história, a festa é considerada a principal do calendário da cidade, destacando-se pelo clima de união entre moradores e visitantes, que celebram juntos as tradições juninas com muita alegria e participação popular.</t>
  </si>
  <si>
    <t>Praça 13 de dezembro Guaiçara - SP</t>
  </si>
  <si>
    <t>Comissão da Festa De São João de Guaiçara e Prefeitura Mnuicipal de Guaiçara</t>
  </si>
  <si>
    <t>culturaeturismo@guaicara.sp.gov.br e paroquia .guaicara@gmail.com</t>
  </si>
  <si>
    <t>Festa da Batata</t>
  </si>
  <si>
    <t>Festival gastronômico tendo a batata como ingrediente principal, com apresentaçãoes musicais. Feita em conjunto com a Feira do Empreendedor.</t>
  </si>
  <si>
    <t>Carnaval de Rua e Desfile de Escolas de Samba  convidadas</t>
  </si>
  <si>
    <t>Festa do Milho em Sousas</t>
  </si>
  <si>
    <t>A Comunidade Imaculada Conceição, em Sousas, promove um evento gratuito com comidas à base de milho, música ao vivo e ambiente familiar. Durante dois dias, o público poderá aproveitar diversas opções gastronômicas, incluindo pratos típicos, porções, doces e bebidas.</t>
  </si>
  <si>
    <t xml:space="preserve">RUA CARLOS GIOMETTI S/N. Nova Sousas. Sousas. </t>
  </si>
  <si>
    <t xml:space="preserve"> Comunidade Imaculada Conceição em Sousas</t>
  </si>
  <si>
    <t>PAIXÃO DE CRISTO NO CORINTINHA</t>
  </si>
  <si>
    <t>O espetáculo “Paixão de Cristo” será apresentado na Sexta-feira Santa, 3 de abril, às 20h, na região do Ouro Verde, com entrada gratuita mediante doação de 1 kg de alimento. Realizada desde 2003, a encenação reúne cerca de 140 atores e grande estrutura, com expectativa de público superior a 18 mil pessoas.</t>
  </si>
  <si>
    <t>CAMPO DO CORINTINHA - RUA MÔNICA SILVEIRA PISANE - DISTRITO DO OURO VERDE</t>
  </si>
  <si>
    <t>Companhia Santa Inês de Teatro Amador (CSITA)</t>
  </si>
  <si>
    <t>BOI FALÔ</t>
  </si>
  <si>
    <t>A Festa do Boi Falô é uma celebração tradicional e cultural realizada anualmente na Sexta-feira Santa no distrito de Barão Geraldo, em Campinas (SP), desde 1988. A festa celebra uma famosa lenda local de 1888, na qual um boi teria falado a um escravizado, Toninho, que aquele não era dia de trabalhar, gerando um dia de descanso.</t>
  </si>
  <si>
    <t>Praça do Coco - Distrito de Barão Geraldo</t>
  </si>
  <si>
    <t>Secretaria Municipal de Cultura e Turismo, SubPrefeitura de Barão Geraldo, e Comunidade</t>
  </si>
  <si>
    <t>St. Patrick's Day da Ficus</t>
  </si>
  <si>
    <t>O St. Patrick’s Day da Ficus será realizado no dia 28 de março, a partir das 20h, no Parque das Águas, em Piraju. O evento contará com ambientação temática, oferta de chopp artesanal e apresentações musicais ao vivo com Mad Max e Irmãos da Estrada.
A iniciativa tem como objetivo promover lazer e entretenimento, além de fomentar o turismo e valorizar os espaços públicos do município.</t>
  </si>
  <si>
    <t>Parque das Águas</t>
  </si>
  <si>
    <t>Cervejaria Artesanal FICUS e Associação Municipal de Esportes Náuticos - APEN</t>
  </si>
  <si>
    <t>ficusexpresspiraju@gmail.com</t>
  </si>
  <si>
    <t>FESTIVAL COMIDA DI BUTECO</t>
  </si>
  <si>
    <t>O Comida di Buteco nasceu em 2000 com o objetivo de resgatar os butecos autênticos, aqueles que todo mundo tem no coração. Há anos, a cidade de Campinas se tornou uma tradicional participante do concurso que movimenta a economia do setor de alimentação. No ano de 2022,  um boteco da cidade, foi o vencedor nacional da competição.</t>
  </si>
  <si>
    <t>https://comidadibuteco.com.br/butecos/campinas/</t>
  </si>
  <si>
    <t xml:space="preserve"> Comida di Buteco Produções Gastronômicas Ltda. </t>
  </si>
  <si>
    <t>SEMANA ITALIANA</t>
  </si>
  <si>
    <t>Organizada pela Elo Produções, Casa D’Itália, com o apoio da Prefeitura de Campinas, e do Vice-Consulado da Itália. A Semana Italiana foi criada com o objetivo de valorizar as tradições italianas tão marcantes no País e também na Região Metropolitana de Campinas, com festividade apresentações musicais e pratos típicos.</t>
  </si>
  <si>
    <t>Praça Arautos da Paz - Taquaral</t>
  </si>
  <si>
    <t>Elo Produções</t>
  </si>
  <si>
    <t>eventos@eloproducoes.com.br</t>
  </si>
  <si>
    <t>LAVAGEM DAS ESCADARIAS DA CATEDRAL METROPOLITANA DE CAMPINAS</t>
  </si>
  <si>
    <t>A Lavagem das Escadarias da Catedral Metropolitana de Campinas, acontece todos os anos, desde 1985, no Sábado de Aleluia. O evento é uma mistura de fé, religião, tradição, cultura, e celebra a resistência dos povos negros vindos de todas as partes do território africano, com seu rico legado cultural e religioso.</t>
  </si>
  <si>
    <t>Av. Francisco Glicério - Praça José Bonifácio - Centro</t>
  </si>
  <si>
    <t>ASSOCIAÇÃO CULTURAL E BENEFICENTE “INZO DIA MUSUMBU KAIANGO M’BOTI OFULA”</t>
  </si>
  <si>
    <t>Open Náutico de Canoagem – Copa Brasil de Canoagem Slalom e Caiaque Cross</t>
  </si>
  <si>
    <t>O Open Náutico de Canoagem – Copa Brasil de Canoagem Slalom e Caiaque Cross é um evento esportivo oficial da canoagem, que reúne atletas de diversas regiões do país para competir em provas de alto nível técnico nas corredeiras naturais do Rio Paranapanema.</t>
  </si>
  <si>
    <t>Parque FECAPI - Garganta do Diabo</t>
  </si>
  <si>
    <t>Departamento Municipal de Esportes</t>
  </si>
  <si>
    <t>https://canoagem.org.br/calendario?modalidade=slalom</t>
  </si>
  <si>
    <t>FESTA DAS NAÇÕES EM JOAQUIM EGÍDIO</t>
  </si>
  <si>
    <t>A Festa das Nações é um evento que reúne cultura, gastronomia, artesanato de diferentes países e solidariedade. Tem como objetivo unir e democratizar as culturas de diferentes países, representando-as em um local aberto ao público</t>
  </si>
  <si>
    <t>Praça Dom Agnelo Rossi, Joaquim Egídio</t>
  </si>
  <si>
    <t>Comunidade de Joaquim Egídio</t>
  </si>
  <si>
    <t>AMERICANA</t>
  </si>
  <si>
    <t>AMERICANA, CAFÉ &amp; VIOLA</t>
  </si>
  <si>
    <t>O "Americana, Café &amp; Viola" é um evento itinerante que percorrerá espaços naturais e ecológicos da cidade. A cada edição, uma nova localização será escolhida, proporcionando aos participantes a oportunidade de descobrir ou redescobrir diferentes paisagens e ambientes naturais do nosso município.
Esse evento propõe uma pausa na rotina urbana, enquanto violeiros apresentam um repertório entre clássicos da música caipira e composições autorais. A programação é aberta a toda a família, com atividades para adultos e crianças.</t>
  </si>
  <si>
    <t>Itinerante, com programação a ser divulgada.</t>
  </si>
  <si>
    <t>Prefeitura de Americana</t>
  </si>
  <si>
    <t>https://www.americana.sp.gov.br</t>
  </si>
  <si>
    <t>Feira de Artesanato</t>
  </si>
  <si>
    <t>Uma feira de artesanato é um evento que reúne artesãos para expor e vender produtos feitos à mão, como peças decorativas, acessórios e itens culturais. Além de valorizar os artistas locais, promove a cultura, a economia criativa e oferece ao público uma experiência de lazer e convivência.</t>
  </si>
  <si>
    <t>Parque FECAPI</t>
  </si>
  <si>
    <t>Pira Na Arte</t>
  </si>
  <si>
    <t>aureaguiar1973@gmail.com</t>
  </si>
  <si>
    <t>FESTA NORDESTINA</t>
  </si>
  <si>
    <t>A Festa Nordestina é um evento cultural típico do Nordeste brasileiro, marcado por música animada (como forró), danças tradicionais, comidas típicas (como milho, carne de sol , buchada de bode, sarapatel, tapioca e etc...) decoração colorida. O ambiente é alegre, acolhedor e celebra as tradições, a cultura e a culinária da região.</t>
  </si>
  <si>
    <t>Markron Produções</t>
  </si>
  <si>
    <t>adm@mkproducoes.com.br</t>
  </si>
  <si>
    <t>ROTA CERVEJEIRA DE AMERICANA</t>
  </si>
  <si>
    <t>O 4ª Rota Cervejeira de Americana é um dos eventos mais aguardados do ano e já faz parte do Calendário Oficial do Município de Americana, consolidando-se como um impulsionador do setor de cerveja artesanal e do turismo regional.
Realizado pela Prefeitura de Americana, em parceria com o Polo Cervejeiro da Região Metropolitana de Campinas (RMC), com o apoio do Conselho Municipal do Turismo (Comtur) e da Região Turística Bem Viver, o evento oferece uma experiência completa que combina gastronomia, cultura, música e entretenimento.</t>
  </si>
  <si>
    <t>Centro de Cultura e Lazer (CCL), Av. Brasil, 1293 - Americana/SP.</t>
  </si>
  <si>
    <t>CELEBRA AMERICANA – FESTIVAL GOSPEL</t>
  </si>
  <si>
    <t>O Celebra Americana é um festival gospel que vai reunir louvor, adoração e celebração da fé em um ambiente festivo e acolhedor. Com uma programação diversificada, o evento promete momentos de reflexão, música e comunhão. Idealizado pela Prefeitura de Americana, por meio da Secretaria de Cultura e Turismo, o evento é mais uma novidade na agenda do ano.</t>
  </si>
  <si>
    <t>PARADA LGBT</t>
  </si>
  <si>
    <t>A Parada LGBT é um evento que celebra a diversidade, o orgulho e os direitos da comunidade LGBTQIA+. Reúne milhares de pessoas em um ambiente festivo, com música, cores, performances e manifestações por igualdade, respeito e inclusão social.</t>
  </si>
  <si>
    <t>Av. Francisco Glicério - Centro</t>
  </si>
  <si>
    <t xml:space="preserve"> Associação da Parada e Apoio LGBT de Campinas</t>
  </si>
  <si>
    <t>diretoria.apalgbt@gmail.com</t>
  </si>
  <si>
    <t>ROCK DAY FESTIVAL</t>
  </si>
  <si>
    <t>O 4º Rock Day vem se renovando e esse ano tem novidades. É uma experiência que já conquistou seu lugar de destaque no Calendário Oficial de Americana, celebrando em grande estilo o Dia Mundial do Rock, o festival reúne um line-up com bandas consagradas dividindo o palco com os talentos mais promissores da região.
Idealizado pela Prefeitura de Americana, o Rock Day recebe desde os veteranos que viveram a era de ouro do rock aos jovens que mantêm viva a chama deste movimento cultural.</t>
  </si>
  <si>
    <t>Encontro de Carros Antigos</t>
  </si>
  <si>
    <t>O Encontro de Carros Antigos é um evento que reúne colecionadores, expositores e apaixonados por veículos clássicos, proporcionando ao público a oportunidade de apreciar modelos históricos bem conservados e restaurados. Além da exposição, o evento promove a troca de experiências, valorização da cultura automotiva e momentos de lazer para toda a família.</t>
  </si>
  <si>
    <t>Associação de Carros Antigos de Piraju</t>
  </si>
  <si>
    <t>Feira do pôr do Sol</t>
  </si>
  <si>
    <t>A Feira Pôr do Sol realizada no bairro é uma forma de integrar a comunidade, valorizar e promover o desenvolvimento social e econômico, em um ambiente propício para o descanso, convívio social e familiar. A intenção é fazer com que o público conheça as manifestações artísticas local e a gastronomia de forma interativa e participativa.  Uma oportunidade para fomentar, apoiar e divulgar o trabalho e a arte dos Artistas, Artesões e Mestres da Culinária, à toda população.</t>
  </si>
  <si>
    <t xml:space="preserve"> Ginásio de Esportes do Polvilho Antonio Carlos Tramassi - R. Creusa Ferreira de Araújo, n° 120 - Bela Vista, Cajamar - SP, 07750-000</t>
  </si>
  <si>
    <t>ANIVERSÁRIO DA CIDADE E ROTEIRO GASTRONÔMICO</t>
  </si>
  <si>
    <t>O Roteiro Gastronômico é o maior evento de Americana, e faz parte do Calendário Oficial da semana de comemoração ao aniversário da cidade em 27 de agosto. Com uma programação de 3 dias, reúne o melhor da gastronomia, num concurso de sabores e muitos shows, de diversos estilos, tomando o portal de entrada da cidade.</t>
  </si>
  <si>
    <t>Portal de entrada da cidade, Av. Antônio Pinto Duarte - Americana/SP.</t>
  </si>
  <si>
    <t>Cajamar Vintage</t>
  </si>
  <si>
    <t>Um encontro de veículos clássicos (geralmente com mais de 30 anos), onde o público pode ver modelos históricos, trocar experiências e reviver a nostalgia do automobilismo. Além da exposição, o evento costuma ter música ao vivo, praça de alimentação e até premiações para os carros em destaque.</t>
  </si>
  <si>
    <t>CHEFS CAMPINAS</t>
  </si>
  <si>
    <t>O Chefs Campinas é um dos mais tradicionais eventos gastronômicos da Região Metropolitana de Campinas (RMC), realizado pelo Visite Campinas (Campinas e Região Convention &amp; Visitors Bureau – CRC&amp;VB) e pela Prefeitura Municipal de Campinas, por meio da Secretaria Municipal de Cultura e Turismo. O encontro gastronômico está inserido no calendário anual de eventos da cidade.</t>
  </si>
  <si>
    <t>Praça Carlos Gomes - Centro</t>
  </si>
  <si>
    <t>CRC7VB e Prefeitura de Campinas - Secretaria de Cultura e Turismo</t>
  </si>
  <si>
    <t>ENCANTOS E LUZES DE NATAL</t>
  </si>
  <si>
    <t>Essa será a quinta edição do EnCantos e Luzes de Natal, um evento pensado para resgatar a magia do Natal, trabalhando o imaginário das crianças e a nostalgia dos adultos. Com iluminações especiais em pontos icônicos da cidade, shows e árvore de natal na praça, o evento proporciona uma experiência lúdica e envolvente para toda a família.
Idealizado pela Prefeitura de Americana, por meio da Secretaria de Cultura e Turismo, o evento é sucesso de público na cidade.</t>
  </si>
  <si>
    <t>Praça Hermann Muller e outros locais pela cidade - Americana/SP.</t>
  </si>
  <si>
    <t>Piso Tátil, Rampa, Banheiro Acessível, Outro:</t>
  </si>
  <si>
    <t>Festa de Santo Antônio</t>
  </si>
  <si>
    <t>Tradicional festa em homenagem ao padroeiro da cidade. Ao todo, serão 16 noites de festas. Além de shows musicais, são destaques na programação do evento as diversas opções para alimentação, bingo e espaço com brinquedos para crianças.</t>
  </si>
  <si>
    <t>Rua Vieira Bueno, nº 150- Centro</t>
  </si>
  <si>
    <t>Diocese de Limeira</t>
  </si>
  <si>
    <t>https://www.americana.sp.gov.br/americana-index.php</t>
  </si>
  <si>
    <t>FESTA DE SANT’ANA</t>
  </si>
  <si>
    <t>Festa de Sant'Ana em Sousas Rio. É uma tradicional celebração católica com entrada gratuita, oferecendo músicas e comidas típicas (pernil, calabresa, torresmo), e atividades religiosas, como missas e procissão em homenagem à padroeira, que esse ano comemora sua 128ª edição.</t>
  </si>
  <si>
    <t>Praça Beira Rio - Sousas</t>
  </si>
  <si>
    <t xml:space="preserve">A Paróquia Sant'Ana Sousas </t>
  </si>
  <si>
    <t>Ilumina Piraju</t>
  </si>
  <si>
    <t>O Projeto Ilumina Piraju é uma iniciativa voltada à valorização dos espaços públicos por meio de iluminação decorativa e cênica, promovendo o embelezamento da cidade e incentivando o turismo local. A proposta busca transformar pontos estratégicos em ambientes mais atrativos, seguros e acolhedores, especialmente durante períodos festivos, proporcionando lazer à população e fortalecendo o comércio e a economia do município.</t>
  </si>
  <si>
    <t>Prefeitura Municipal de Piraju</t>
  </si>
  <si>
    <t>MOJI MIRIM</t>
  </si>
  <si>
    <t>Festa Italiana Della Mamma</t>
  </si>
  <si>
    <t>A festa tem como propósito celebrar o Dia das Mães por meio de uma programação especial voltada às famílias, com atrações culturais, musicais, gastronômicas e ações de valorização do comércio local. O evento integra o calendário oficial do município, fortalecendo o turismo de eventos, incentivando a economia criativa e promovendo a geração de emprego e renda.
A realização da Festa Della Mamma reafirma o compromisso da administração pública com o desenvolvimento do turismo local e regional, em consonância com o Plano Municipal de Turismo e com as diretrizes estabelecidas pela Lei Estadual nº 1.261/2015, que orienta os Municípios de Interesse Turístico (MIT).</t>
  </si>
  <si>
    <t>Lei 10.727/2001</t>
  </si>
  <si>
    <t>Parkshopping Mogi Mirim - Rua João Mantovani, 373 - Lot. Santa Ana, Mogi Mirim - SP</t>
  </si>
  <si>
    <t>Prefeitura de Mogi Mirim</t>
  </si>
  <si>
    <t>edturismologo@gmail.com</t>
  </si>
  <si>
    <t>O show de Réveillon é um evento festivo realizado para celebrar a chegada do novo ano, reunindo música ao vivo, animação e grande participação do público. A programação é pensada para proporcionar momentos de alegria e confraternização, com contagem regressiva e um clima de celebração coletiva. Além de promover lazer e entretenimento, o evento fortalece o turismo e movimenta a economia local, atraindo moradores e visitantes.</t>
  </si>
  <si>
    <t>detur@estanciadepiraju.sp.gpv.br</t>
  </si>
  <si>
    <t>FESTA DE SÃO JOAQUIM E SÃO ROQUE</t>
  </si>
  <si>
    <t xml:space="preserve">A Tradicional "Festa de São Joaquim  e São Roque" celebra sua 156ª edição no distrito de Joaquim Egídio. A programação diversificada inclui atividades religiosas, apresentações culturais, praça de alimentação com várias opções e tradicional feira de artesanato. </t>
  </si>
  <si>
    <t>Igreja São Joaquim e São Roque - Rua José Inácio, 136-206, Joaquim Egídio</t>
  </si>
  <si>
    <t>Paróquia Sant’Ana de Sousas</t>
  </si>
  <si>
    <t>POLO BEER FESTIVAL - EDIÇÃO DE INVERNO</t>
  </si>
  <si>
    <t xml:space="preserve">O Polo Beer Festival - Edição Inverno é organizado pelo Polo Cervejeiro da Região Metropolitana de Campinas, seu objetivo é buscar cada vez mais representatividade no mercado cervejeiro. Outra meta é disseminar a cultura artesanal e oferecer acesso aos mais variados estilos de cervejas, proporcionando enorme diversidade de aromas, cores e sabores. </t>
  </si>
  <si>
    <t>Polo Cervejeiro da RMC e Secretaria Municipal de Cultura e Turismo</t>
  </si>
  <si>
    <t>TAURUS FESTIVAL.</t>
  </si>
  <si>
    <t>O maior festival aberto de assadores e churrasqueiros do interior paulista.</t>
  </si>
  <si>
    <t>WB Produções</t>
  </si>
  <si>
    <t>sergiorossimt@hotmail.com</t>
  </si>
  <si>
    <t>MÊS CARLOS GOMES</t>
  </si>
  <si>
    <t>As comemorações em homenagem à vida e obra do compositor campineiro tiveram início em 1996, no centenário de seu falecimento, devido à necessidade de difundir cada vez mais a obra de Carlos Gomes e a vasta oferta de material, a comissão organizadora estendeu a programação para todo o mês de setembro. O Mês Carlos Gomes foi instituído pela Lei Municipal Nº 14.909 de 2014. O evento conta com diversas atrações em diverso lugares.</t>
  </si>
  <si>
    <t>Secretaria Municipal de Cultura e Turismo e Comissão Organizadora</t>
  </si>
  <si>
    <t>OKTOBER POLO</t>
  </si>
  <si>
    <t>O Oktober Polo é organizado pelo Polo Cervejeiro da Região Metropolitana de Campinas. Seu objetivo é buscar cada vez mais representatividade no mercado cervejeiro. Outra meta é disseminar a cultura artesanal e oferecer acesso aos mais variados estilos de cervejas, proporcionando enorme diversidade de aromas, cores e sabores.</t>
  </si>
  <si>
    <t>Praça carlos Gomes- Centro</t>
  </si>
  <si>
    <t>FESTIVAL DE HIP HOP</t>
  </si>
  <si>
    <t>Festival de Hip Hop é um evento cultural que reúne música, dança, arte e expressão da cultura urbana. Nele acontecem apresentações de rappers e DJs, batalhas de rima, rodas de breakdance e criação de grafites ao vivo. Também pode incluir competições de dança, feiras de roupas streetwear, food trucks e oficinas culturais. Mais do que entretenimento, o festival celebra a criatividade, a comunidade e a identidade da cultura hip hop.</t>
  </si>
  <si>
    <t>A definir</t>
  </si>
  <si>
    <t>Secretaria da Cultura, Economia e Indústria Criativas do Estado de São Paulo, com correalização da Secretaria da Cultura e Turismo de Campinas e gestão e produção da Associação Paulista dos Amigos da Arte (APAA)</t>
  </si>
  <si>
    <t>FEIRA HIPPIE DE NATAL</t>
  </si>
  <si>
    <t>As barracas distribuídas pelo local têm exposição de artesanatos, acessórios, costura criativa, roupas, calçados, terrários, produtos sustentáveis, antiquários, esotéricos, e gastronomia. Até o Natal, são comercializados produtos próprios desta época. O evento conta ainda com patrocínio de empresas privadas e tem também atrações musicais.</t>
  </si>
  <si>
    <t>Centro de Convivência Cultural - Praça Imprensa Fluminense - Cambuí</t>
  </si>
  <si>
    <t xml:space="preserve"> Festa do Peão de Americana </t>
  </si>
  <si>
    <t>A Festa do Peão de Americana é um dos maiores e mais tradicionais rodeios do Brasil, realizado anualmente em junho no Parque de Eventos CCA, em Americana/SP. O evento reúne grandes nomes da música sertaneja, montarias em touros e cavalos (cutiano), além dos Três Tambores, atraindo milhares de visitantes com uma megaestrutura</t>
  </si>
  <si>
    <t>Parque de Eventos  Rodovia Anhanguera, Km 121 — Americana/SP</t>
  </si>
  <si>
    <t>https://festadopeaodeamericana.com.br/</t>
  </si>
  <si>
    <t>Clube dos Cavaleiros e Prefeitura de Americana</t>
  </si>
  <si>
    <t>https://blog.vitoriahoteis.com.br/eventos-e-cultura/rodeio-de-americana</t>
  </si>
  <si>
    <t>SÃO CAETANO DO SUL</t>
  </si>
  <si>
    <t>Festa Italiana</t>
  </si>
  <si>
    <t>A Festa Italiana é a celebração mais emblemática da cidade, ocupando as ruas do Bairro Fundação durante todos os finais de semana do mês de agosto. O evento é uma imersão profunda na herança dos imigrantes italianos, oferecendo uma das melhores experiências gastronômicas do estado com pratos como massas frescas, fogazzas, polentas e os tradicionais canolis. 
Além da comida, a festa é famosa por sua programação cultural, que traz tenores, grupos de dança folclórica e bandas típicas.</t>
  </si>
  <si>
    <t>Praça Comendador Ermelino Matarazzo, 83, no bairro Fundação, próximo à Paróquia São Caetano</t>
  </si>
  <si>
    <t>Prefeitura Municipal de São Caetano do Sul</t>
  </si>
  <si>
    <t>sedeti@saocaetanodosul.sp.gov.br</t>
  </si>
  <si>
    <t>BROTAS</t>
  </si>
  <si>
    <t>Festival Jacaré Rock &amp; Blues</t>
  </si>
  <si>
    <t>Festival de música ao ar livre, realizado no feriado de Corpus Christ desde 2022, com 2 palcos ao ar livre com música do tipo rock ou blues, 1 palco no calçadão turístico e outro palco na praça de alimentação do Parque dos Saltos, além de uma apresentação itinerante e interativa com os visitantes.</t>
  </si>
  <si>
    <t>Calçadão Turístico da Avenida Mário Pinotti e Praça de Alimentação do Parque dos Saltos</t>
  </si>
  <si>
    <t>www.brotas.tur.br</t>
  </si>
  <si>
    <t>sectur@brotas.sp.gov.br</t>
  </si>
  <si>
    <t>Encontro de Violeiros</t>
  </si>
  <si>
    <t>Tradicional encontro de violeiros. Evento ocorre há mais de 30 anos, com encontro de aproximadamente 40 duplas sertanejas em Brotas.</t>
  </si>
  <si>
    <t>Vila Vicentina Brotas - Avenida Pedro Saturnino de Oliveira, 456</t>
  </si>
  <si>
    <t>Vila Vicentina e Prefeitura Municipal</t>
  </si>
  <si>
    <t>sectur@brotas.sp.gov.br/cultura@brotas.sp.gov.br</t>
  </si>
  <si>
    <t>Brotas Gourmet - Festival de Gastronomia e Música</t>
  </si>
  <si>
    <t>O evento ocorre desde 2012, está em sua 12ª edição. Festival de gastronomia e música com tendas gastronômicas, área kids e apresentações musicais no palco.</t>
  </si>
  <si>
    <t>Avenida Pedro Saturnino de Oliveira, 456 - Vila Vicentina</t>
  </si>
  <si>
    <t>www.brotasgourmet.com.br</t>
  </si>
  <si>
    <t>Abrotur e Prefeitura Municipal</t>
  </si>
  <si>
    <t>14 3653-8667</t>
  </si>
  <si>
    <t>Haka Race - 3ª etapa classificatória</t>
  </si>
  <si>
    <t>Campeonato sul-americano de Corrida de Aventura, uma das etapas ocorre em Brotas desde 2018, atraindo competidores de todas as partes do país e até estrangeiros. Corrida de orientação, desafios verticais, mountain bike, natação e outras modalidades de esportes de aventura e natureza.</t>
  </si>
  <si>
    <t>Praça do CIAM - Avenida Lorival Jaubert da Silva Braga</t>
  </si>
  <si>
    <t>https://hakarace.com.br/evento/14</t>
  </si>
  <si>
    <t>https://hakarace.com.br/login?redirect=/evento/14&amp;openEnrollment=true</t>
  </si>
  <si>
    <t>Trirex Endurance</t>
  </si>
  <si>
    <t>Final de semana de esportes ao ar livre. No sábado, trail run, maratona aquática e no domingo provas de duathlon, triathlon e aquathlon. Prova tradicional do calendário turístico de Brotas, ocorrendo desde 2013.</t>
  </si>
  <si>
    <t>Represa do Patrimônio de São Sebastião da Serra - Centro Comunitário</t>
  </si>
  <si>
    <t>https://www.trirex.com.br/2etapa</t>
  </si>
  <si>
    <t>Chelso Sports e Prefeitura Municipal</t>
  </si>
  <si>
    <t>https://site.ticketsports.com.br/Inscricao/categoria.aspx?__idEvento=73833&amp;origem=novo-site&amp;lang=pt-BR</t>
  </si>
  <si>
    <t>contato@chelso.com.br</t>
  </si>
  <si>
    <t>10º Torrinha Motor Rock</t>
  </si>
  <si>
    <t>Encontro de Mototurismo e Colecionadores de Carros Antigos, com exposição e vendas de artesanato e "mercado de pulgas", praça de alimentação e bandas de rock. Em sua 10ª edição, o evento vem se consolidando como um dos principais eventos de mototurismo do interior, reconhecido, inclusive, no Guia de Mototurismo do Estado de São Paulo.</t>
  </si>
  <si>
    <t>Avenida Antonio Amalfi, s/n</t>
  </si>
  <si>
    <t>PEDREGULHO</t>
  </si>
  <si>
    <t>Feira de Artes e Sabores do Fundo Social de Solidariedade de Pedregulho/SP</t>
  </si>
  <si>
    <t>Exposição de Artesanatos, Quadros, Telas em pinturas a óleo, Temperos caseiros, Flores (suculentas), Bolsas e comidas típicas</t>
  </si>
  <si>
    <t>Praça 18 de Março, s/nº - Centro - PEDREGULHO/SP</t>
  </si>
  <si>
    <t>Fundo Social Municipal</t>
  </si>
  <si>
    <t>turismo@pedregulho.sp.gov.br</t>
  </si>
  <si>
    <t xml:space="preserve">Circuito SESC de Arte </t>
  </si>
  <si>
    <t>-Artes na Rua para todas as pessoas - Artes visuais e Tecnologias, Cinema, Circo, Danças, Literatura, Música e Teatro</t>
  </si>
  <si>
    <t>Praça 18 de Março, s/nº - Centro - Pedregulho/SP</t>
  </si>
  <si>
    <t>SESCSP.ORG.BR/CIRCUITO</t>
  </si>
  <si>
    <t xml:space="preserve"> CIRCUITO SESC DE ARTE</t>
  </si>
  <si>
    <t>É o maior evento tradicional do município, atraem turistas de parte do estado, movimenta a economia, gera renda e empregos.</t>
  </si>
  <si>
    <t>Vicinal Tenente Jorge Nassif Tomé km 0,50</t>
  </si>
  <si>
    <t>www.sales.sp.gov.br - intagram festadopeaodesalesoficial</t>
  </si>
  <si>
    <t xml:space="preserve">Secretaria de turismo, Esportes, Eventos e Lazer </t>
  </si>
  <si>
    <t>ENTRADA FRANCA</t>
  </si>
  <si>
    <t>turismo@sales.sp.gov.br  (17) 3557.9100</t>
  </si>
  <si>
    <t>TAPIRAÍ</t>
  </si>
  <si>
    <t>Expo Gengibre 2026</t>
  </si>
  <si>
    <t>A Expo gengibre 2026 é a festa mais aguardada da região, sempre acontece no 2° final de semana de Julho que promete trazer uma experiência única ao público, um palco de grandes atrações musicais, gastronomia típica, negócios, inovação junto com a Feira Agrícola trará uma grande variedade de produtos da cidade e da região, disponíveis para compra ao final do evento, com a venda dos produtos em exposição, o valor arrecadado é revertido em prol a Santa Casa de Misericórdia de Tapiraí,  e muito mais!</t>
  </si>
  <si>
    <t>Praça de Eventos "Matheus Ricciardi" localizado na Avenida: Profº Nathan Chaves, S/N</t>
  </si>
  <si>
    <t xml:space="preserve">Prefeitura Municipal de Tapiraí </t>
  </si>
  <si>
    <t>turismo@tapirai.sp.gov.br</t>
  </si>
  <si>
    <t xml:space="preserve">2° Parada Cultura de Tapiraí </t>
  </si>
  <si>
    <t xml:space="preserve">A Segunda edição da Parada Cultural de Tapiraí, é um evento voltado a cultura local e regional, com varias expressões culturais, Cortejo, apresentações, espetáculos, economia criativa e a valorização das culturas locais.  </t>
  </si>
  <si>
    <t>Espaço Cultural "Diosne Miguel Batista" na Avenida Prof° Nathan Chaves, 312</t>
  </si>
  <si>
    <t>Prefeitura Municipal de Tapiraí</t>
  </si>
  <si>
    <t>cultura@tapirai.sp.gov.br</t>
  </si>
  <si>
    <t xml:space="preserve">AVISTAÍ 2° Festival de Avistamento de Aves do vale do Ribeira </t>
  </si>
  <si>
    <t xml:space="preserve">O AVISTAÍ é um evento que busca destacar a riqueza da avifauna local e promover o turismo sustentável e ecológico na nossa região, reconhecida pela sua biodiversidade única e paisagens naturais deslumbrantes. Este projeto promete trazer uma experiência 
única aos moradores e visitantes, de 14 a 16 de agosto de 2026, a cidade 
receberá muitos turistas, será palco de grandes nomes da modalidade do 
Birdwatching (avistamento de aves), palestrantes renomados no âmbito nacional 
e estadual, biólogos e entusiastas da natureza de todo o Brasil e de outros 
países, gastronomia típica, negócios e muito mais. </t>
  </si>
  <si>
    <t>Praça de Eventos "Matheus Ricciardi" na Avenida Profº Nathan Chaves, S/N</t>
  </si>
  <si>
    <t>CAJATI</t>
  </si>
  <si>
    <t xml:space="preserve">Encenação Da Paixão De Cristo </t>
  </si>
  <si>
    <t xml:space="preserve">O espetáculo  faz parte do calendário cultural do Município, (Lei 1.650 de 10/4/19),  e é executado pela Prefeitura de Cajati com participação da Paróquia Santo Antônio. É  um evento tradicional da comunidade Católica que foi crescendo e conquistando seu espaço junto a comunidade de Cajati e Vale do Ribeira. Voluntários, simpatizantes e fiéis unem-se para representar personagens bíblicos e emocionar com a cena da ressureição de Cristo. </t>
  </si>
  <si>
    <t>Rua Aracajú 16 - 38 Bico do Pato</t>
  </si>
  <si>
    <t>Prefeitura Municipal de Cajati</t>
  </si>
  <si>
    <t>cultura@cajati.sp.gov.br</t>
  </si>
  <si>
    <t xml:space="preserve">O evento conta com 4 dias de festa e recebe publicos variados. O Dia do Motociclista atrai visitantes de várias regiões. A "Festa da Banana/Saberes e Sabores" mostra variadas  receitas culinárias repassadas de geração em geraçao para uma verdadeira festa do sabor regional na Terra da Banana,  e são produzidas e trazidas pelas escolas municipais. O "Festival de Viola" com músicos de Cajati e toda região valoriza a cultura caipira; e os   "Arteiros de Cajati" com suas artes visuais  e expressões artísticas demonstram o poder da Arte  como mediadora e transformadora das realidades socias. </t>
  </si>
  <si>
    <t>Espaço Multiuso  e  Centro de Eventos</t>
  </si>
  <si>
    <t>Atendimento em Línguas de Sinais, Piso Tátil, Braille, Banheiro Acessível</t>
  </si>
  <si>
    <t>Ela está de volta! A mais tradicional, 20ª edição da Festa do Milho da Paróquia Bom Jesus de Ribeirão Grande.
Venha participar desse grande evento, com muitas atrações e deliciosos pratos derivados do milho.
Você não pode ficar de fora dessa grandiosa festa!
📅 Dias 10, 11 e 12 de abril
Esperamos por você e sua família! 🌽🎉🙏</t>
  </si>
  <si>
    <t>Praça Bom Jesus, Centro, Ribeirão Grande, SP</t>
  </si>
  <si>
    <t>https://www.instagram.com/paroquiabomjesusrg/</t>
  </si>
  <si>
    <t>Paróquia Bom Jesus de Ribeirão Grande</t>
  </si>
  <si>
    <t>mdi.paroquiabomjesus@gmail.com</t>
  </si>
  <si>
    <t>Festa de Santo Expedito</t>
  </si>
  <si>
    <t>A Festa de Santo Expedito em São Pedro é uma celebração religiosa bastante tradicional, reunindo fiéis e visitantes todos os anos, especialmente no mês de abril.
📅 Quando acontece
A festa geralmente ocorre próximo ao dia 19 de abril, que é o dia de Santo Expedito, conhecido como o santo das causas urgentes.
🙏 O que tem na festa
Missas e celebrações religiosas
Procissão em homenagem ao santo
Barracas com comidas típicas
Música ao vivo e apresentações culturais
Ambiente familiar e comunitário
📍 Local
A celebração costuma acontecer na igreja ou comunidade dedicada ao santo, podendo incluir praça ou espaço público próximo.</t>
  </si>
  <si>
    <t>Endereço: Av. dos Antúrios, Lote 07 Quadra 36 - Bairro Alpes das Águas</t>
  </si>
  <si>
    <t>paroquiasaopedrosp@gmail.com</t>
  </si>
  <si>
    <t>Como funciona esse tipo de evento
A “Festa das Nações” é um modelo de evento que reúne:
🍝 Comidas típicas de vários países
🎶 Música e apresentações culturais
👨‍👩‍👧‍👦 Ambiente familiar e turístico
É comum cada barraca representar um país (Itália, Alemanha, Japão, Brasil, etc.).</t>
  </si>
  <si>
    <t xml:space="preserve"> R. Ariston de Azevedo - V Estela, São Pedro - SP, 13520-000</t>
  </si>
  <si>
    <t>@Setursaopedro</t>
  </si>
  <si>
    <t>Secretária de Turismo e Cultura</t>
  </si>
  <si>
    <t>Moto &amp; Rock na Serra</t>
  </si>
  <si>
    <t>O evento Moto &amp; Rock na Serra, em São Pedro, é um encontro que mistura motociclismo, música rock e turismo, e já vem acontecendo em diferentes edições na cidade.</t>
  </si>
  <si>
    <t xml:space="preserve">Largo Santo Antônio, s/nº, Bairro Alto da Serra. </t>
  </si>
  <si>
    <t>Reda Eventos</t>
  </si>
  <si>
    <t>A Festa de Santo Antônio em São Pedro é uma das celebrações religiosas mais tradicionais da cidade, acontecendo todos os anos no mês de junho, com forte participação da comunidade local.</t>
  </si>
  <si>
    <t>A Capela de Santo Antônio em São Pedro (SP) está localizada no Largo Santo Antônio, s/nº, no bairro Alto da Serra</t>
  </si>
  <si>
    <t>Paróquia Sao Pedro</t>
  </si>
  <si>
    <t>A Festa de São Pedro, em São Pedro, é a principal celebração religiosa e cultural do município, já que São Pedro é o padroeiro da cidade.</t>
  </si>
  <si>
    <t>Praça São Pedro, 616 – Centro</t>
  </si>
  <si>
    <t>Paróquia São Pedro</t>
  </si>
  <si>
    <t>Expo Motos Show</t>
  </si>
  <si>
    <t>A Expo Moto Show em São Pedro é um dos maiores eventos de motociclismo do interior paulista, reunindo milhares de motociclistas e turistas todos os anos.</t>
  </si>
  <si>
    <t>Parque Hípico e de Rodeio Itagiba Leite Filho  Avenida Paschoal Antonelli Bairro: Colina de São Pedro</t>
  </si>
  <si>
    <t>@expomoto_redaeventos</t>
  </si>
  <si>
    <t>@expomoto_redaeventos: “Moto &amp; Rock</t>
  </si>
  <si>
    <t>camisetasallboy@hotmail.com</t>
  </si>
  <si>
    <t>O Festival de Inverno em São Pedro é um evento relativamente recente, mas que já se tornou um dos principais atrativos turísticos da cidade durante o mês de julho.</t>
  </si>
  <si>
    <t xml:space="preserve">Alto da Serra </t>
  </si>
  <si>
    <t>13º Festa Italiana</t>
  </si>
  <si>
    <t>A Festa Italiana em São Pedro é um evento gastronômico e cultural que vem ganhando destaque recente no calendário turístico da cidade.</t>
  </si>
  <si>
    <t>Endereço: R. Ariston de Azevedo - V Estela, São Pedro - SP, 13520-000</t>
  </si>
  <si>
    <t>@setursaopedro</t>
  </si>
  <si>
    <t>Secretaria de Turismo e Cultura</t>
  </si>
  <si>
    <t xml:space="preserve">As festividades são caracterizadas por uma programação diversificada e gratuita para todas as idades. Apresentações musicais diárias com artistas locais e nacionais.Área com brinquedos infláveis, área kids e cinema gratuito com pipoca e refrigerante.Atividades Esportivas e Lazer: Realização da corrida oficial do município, integrando atletas e famílias.
Pesca Solidária: Atividade de pesca esportiva realizada em diversos horários no lago do parque.
Cultura e Economia: Espaço dedicado às empreendedoras locais, feira de artesanato e praça de alimentação com foco em comerciantes da cidade. </t>
  </si>
  <si>
    <t>Parque da Cidade - Avenida Emilio Checchinato 706 - Itupeva SP.</t>
  </si>
  <si>
    <t>Prefeitura de Itupeva</t>
  </si>
  <si>
    <t>Atendimento em Línguas de Sinais, Piso Tátil, Rampa, Banheiro Acessível</t>
  </si>
  <si>
    <t>A Marcha para Jesus faz parte do calendário festivo de Franco da Rocha, consolidando-se como uma importante manifestação de fé no município. Promovido pela Prefeitura, o evento busca promover valores como a paz e a fraternidade por meio de celebrações cristãs e atos públicos de adoração</t>
  </si>
  <si>
    <t>Parque Municipal Benedito Bueno de Moraes</t>
  </si>
  <si>
    <t>@prefeituradefranco</t>
  </si>
  <si>
    <t>Prefeitura Municipal de franco da Rocha</t>
  </si>
  <si>
    <t xml:space="preserve">turismo@francodarocha.sp.gov.br </t>
  </si>
  <si>
    <t>Franco Axé</t>
  </si>
  <si>
    <t xml:space="preserve">O Franco Axé consolidou-se como um marco no calendário cultural de Franco da Rocha, celebrando a ancestralidade e o respeito à diversidade. O evento une representantes de terreiros, casas de axé, coletivos culturais, organizações da sociedade civil, lideranças religiosas e artistas em torno de uma missão central: promover o diálogo inter-religioso, a cultura de paz e o reconhecimento das tradições de matriz africana no município.
</t>
  </si>
  <si>
    <t xml:space="preserve"> Parque Municipal Benedito Bueno de Morais</t>
  </si>
  <si>
    <t>Prefeitura Municipal de Franco da Rocha</t>
  </si>
  <si>
    <t>Franco Celebra</t>
  </si>
  <si>
    <t>A atividade consiste em uma missa campal com a participação das paróquias do município e da comunidade, promovendo um momento de fé, união e celebração coletiva.</t>
  </si>
  <si>
    <t>Parque Municipal Benedito Bueno de Morais</t>
  </si>
  <si>
    <t>Festival Gastrônomico e Turístico de Itupeva</t>
  </si>
  <si>
    <t xml:space="preserve">Festival Gastronômico e Turístico de Itupeva  uma iniciativa da Prefeitura de Itupeva para valorizar a identidade local e movimentar o turismo na região com um variado roteriro de experiências.
O evento integra diversos setores do turismo rural: visitas a adega, alambique e apiário.
Gastronomia: Participação de restaurantes, bares, cafeterias e cervejarias com cardápios especiais e promocionais.
Atividades Culturais e de Lazer: caminhada ecológica, oficinas, palestras e feiras de artesanato.
Experiências: Degustações guiadas e encontros de atividades de aventura. </t>
  </si>
  <si>
    <t>Itupeva - Em mais de 30 estabelecimentos</t>
  </si>
  <si>
    <t>CESÁRIO LANGE</t>
  </si>
  <si>
    <t>Festa do Peão de Cesário Lange</t>
  </si>
  <si>
    <t xml:space="preserve">Montaria de touros e prova de tambor com premiações; shows com artistas renomados e praça de alimentação.  </t>
  </si>
  <si>
    <t xml:space="preserve">Centro Municipal de Eventos "João Batista da Silva". Bairro Aleluia. </t>
  </si>
  <si>
    <t>www.cesariolange.sp.gov.br</t>
  </si>
  <si>
    <t>Prefeitura Municipal de Cesário Lange</t>
  </si>
  <si>
    <t>turismo@cesariolange.sp.gov.br; cultura@cesariolange.sp.gov.br</t>
  </si>
  <si>
    <t>10º Pedal da Amizade</t>
  </si>
  <si>
    <t xml:space="preserve">Encontro de MTB em comemoração ao aniversário do Município de Cesário Lange. Com café da manhã comunitário, dois circuitos de cicloturismo por rotas municipais rurais, sendo um mais longo e outro mais curto para iniciantes. Show com artistas locais e praça de alimentação. Brindes servidos pelos patrocinadores e organizadores, medalhas de participação para todos os inscritos. </t>
  </si>
  <si>
    <t>não se aplica.</t>
  </si>
  <si>
    <t xml:space="preserve">Praça Padre Adolfo Testa, em frente a prefeitura. </t>
  </si>
  <si>
    <t>cultura@cesariolange.sp.gov.br</t>
  </si>
  <si>
    <t>LORENA</t>
  </si>
  <si>
    <t xml:space="preserve">Adora Lorena / Padroeira/ </t>
  </si>
  <si>
    <t>Alem de outros eventos da cidade em paroquias do municipio, temos estas duas festas grandes ja no calendario anual, o Adora Lorena o 4 ano, e a Padroeira ja amais de 40 anos. festa que vem pessoas de diversas cidades ao redor do vale com comidas barracas e cantores conhecidos. ADORA em Junho/Julho Padroeira AGOSTO</t>
  </si>
  <si>
    <t>sim</t>
  </si>
  <si>
    <t>Praça Arnolfo de Azevedo Centro Lorena</t>
  </si>
  <si>
    <t>https://www.facebook.com/prefeituradelorena/?locale=pt_BR  https://www.google.com/search?q=adora+lorena&amp;oq=adora+lorena&amp;gs_lcrp=EgZjaHJvbWUyBggAEEUYOTIICAEQABgWGB4yCAgCEAAYFhgeMggIAxAAGBYYHjIICAQQABgWGB4yBwgFEAAY7wUyBwgGEAAY7wUyCggHEAAYgAQYogQyCggIEAAYgAQYogQyBwgJEAAY7wXSAQgxNzA0ajFqOagCBrACAfEFG596ss41Vv0&amp;sourceid=chrome&amp;ie=UTF-8</t>
  </si>
  <si>
    <t>PREFEITURA/CULTURA/TURISMO</t>
  </si>
  <si>
    <t>CULTURA@LORENA.SP.GOV.BR</t>
  </si>
  <si>
    <t>ALTINÓPOLIS</t>
  </si>
  <si>
    <t xml:space="preserve">Forró da Lua Cheia 
</t>
  </si>
  <si>
    <t>É um festival  cultural que acontece  anualmente em  Altinópolis-SP ,em meio a natureza do Vale Das Grutas.Com mais de 30 anos de história,o evento reúne milhares de pessoas para viver dias intensos de música,danças,oficinas artísticas e convivencia coletiva.</t>
  </si>
  <si>
    <t>Fazenda Florada-Km33,Zona Rural de Altinópolis-SP</t>
  </si>
  <si>
    <t>www.festivalforrodaluacheia.com.br</t>
  </si>
  <si>
    <t>é organizado por produtores culturais</t>
  </si>
  <si>
    <t>Mapa Tátil, Banheiro Acessível, Portas Largas para PCR (Pessoa com cadeira de rodas)</t>
  </si>
  <si>
    <t>Festa de Santos Reis</t>
  </si>
  <si>
    <t>Uma tradição onde é celebrado a fé, cultura e folclore,com destaque maior para a apresentação das Companhias de Reis .</t>
  </si>
  <si>
    <t>A festa é Patrimônio Cultural Imaterial com a Lei 2198 de 5 de outubro de 2022</t>
  </si>
  <si>
    <t>Praça da Matriz.Centro da cidade</t>
  </si>
  <si>
    <t>NÃO COBRA INGRESSO</t>
  </si>
  <si>
    <t>anafmenossi@gmail.com</t>
  </si>
  <si>
    <t>Expoal</t>
  </si>
  <si>
    <t>Festa agropecuária com geração de oportunidades de negócios e valorização da cultura sertaneja.</t>
  </si>
  <si>
    <t>Parque Santa Cruz</t>
  </si>
  <si>
    <t>@expoal-altinopolis</t>
  </si>
  <si>
    <t>prefeitura municipal</t>
  </si>
  <si>
    <t>no local</t>
  </si>
  <si>
    <t>cultura@altinopolis.sp.gov.br</t>
  </si>
  <si>
    <t>Natal Luz</t>
  </si>
  <si>
    <t>Decoração tema Natal com esculturas diversas iluminadas</t>
  </si>
  <si>
    <t>Praça da Matriz. Centro</t>
  </si>
  <si>
    <t>1 Festival Turismo e Cultura Livre</t>
  </si>
  <si>
    <t xml:space="preserve">01 Festival de Turismo e Cultura Livre 
O nome “01º Festival de Turismo e Cultura Livre” foi escolhido por representar um marco inédito no município de Guaíra, já que é a primeira edição de um evento voltado especificamente para o turismo guairense.
O festival tem como propósito valorizar e promover as maravilhas turísticas de Guaíra e região, por meio de estandes temáticos, apresentações artísticas e culturais, e a participação dos artesãos locais, além de destacar nossa rica gastronomia.
Na dimensão da cultura livre, o evento contempla todas as expressões culturais do município, com apresentações de dança, viola, teatro infantil, capoeira, dança de catira, contação de histórias, workshops e outras manifestações que refletem a identidade e o talento do nosso povo.
</t>
  </si>
  <si>
    <t>Sim</t>
  </si>
  <si>
    <t xml:space="preserve">Praça Bom Jesus </t>
  </si>
  <si>
    <t>guaíra sp gov.br</t>
  </si>
  <si>
    <t xml:space="preserve">Diretora Cultura Turismo Esporte e Lazer </t>
  </si>
  <si>
    <t>Nao</t>
  </si>
  <si>
    <t>diretoradeisegarcia@gmail.com</t>
  </si>
  <si>
    <t>Piso Tátil, Rampa, Elevador, Banheiro Acessível</t>
  </si>
  <si>
    <t xml:space="preserve">CARNAGUAIRA </t>
  </si>
  <si>
    <t xml:space="preserve">Baseia-se na sua alta relevância cultural, social e econômica, promovendo a apropriação do espaço urbano e gerando renda. A festa atua como importante manifestação de identidade popular, movimentando o turismo e o comércio, além de fomentar a diversidade cultural e a colaboração social. 
</t>
  </si>
  <si>
    <t>Rua 10 altura casa de cultura</t>
  </si>
  <si>
    <t>Guaira.sp.gov.br</t>
  </si>
  <si>
    <t xml:space="preserve">Prefeitura </t>
  </si>
  <si>
    <t>Caminhos de Artes e Natureza no Parque Ecológico Maracá</t>
  </si>
  <si>
    <t>Turismo Caminhos de Arte e Natureza no Parque Ecológico Maracá
Durante o percurso, é possível entrar em contato com elementos naturais e culturais do local, espaço que reúne trilhas, lago e áreas de convivência. O projeto paisagístico do parque foi desenvolvido por Roberto Burle Marx, artista plástico e paisagista brasileiro responsável por diversos projetos em áreas verdes no país. O público também conhece o Museu Aberto de Esculturas, instalado no parque e composto por obras de diferentes artistas, entre eles Tomie Ohtake.
APOIO
Turismo
Prefeituras Municipais
REALIZAÇÃO
SESC | 80 anos</t>
  </si>
  <si>
    <t xml:space="preserve">Parque maracá </t>
  </si>
  <si>
    <t>guaira.sp.gov.br</t>
  </si>
  <si>
    <t>SESC Franca</t>
  </si>
  <si>
    <t xml:space="preserve">31 Festa do Peão </t>
  </si>
  <si>
    <t>A 31ª Festa do Peão de Guaíra (SP) 2026 ocorrerá de 14 a 17 de maio de 2026, prometendo ser uma das maiores da região. O evento, realizado pela Arena Eventos com apoio da prefeitura, acontecerá no Parque de Exposições Ademir Jovanini Augusto, com shows de João Bosco &amp; Vinícius, Nattan, Eduardo Costa e Bruno &amp; Marrone</t>
  </si>
  <si>
    <t xml:space="preserve">Parque de Exposições Ademir Jovanini Augusto </t>
  </si>
  <si>
    <t xml:space="preserve">Desfile 18 maio aniversário da cidade de Guaíra SP </t>
  </si>
  <si>
    <t>Desfile cívico aniversário da cidade 18 maio O desfile cívico em comemoração ao aniversário da cidade, celebrado em 18 de maio, é uma tradicional manifestação de orgulho e identidade local. O evento reúne escolas, instituições, entidades e a comunidade em geral, destacando a história, a cultura e os valores do município. Além de celebrar mais um ano de conquistas, o desfile fortalece o sentimento de pertencimento e união entre os cidadãos, valorizando o passado, celebrando o presente e projetando o futuro da cidade.</t>
  </si>
  <si>
    <t>guaíra.sp.gov.br</t>
  </si>
  <si>
    <t>Guaíra.sp.gov.sp</t>
  </si>
  <si>
    <t xml:space="preserve">Undokai é uma tradicional gincana esportiva japonesa (significando literalmente "encontro de esportes" ou "reunião de exercícios"). Mais que competição, foca na integração familiar e comunitária, promovendo atividades lúdicas para todas as idades, como cabo de guerra, corrida de saco e corrida com colher, fortalecendo laços e celebrando a cultura. </t>
  </si>
  <si>
    <t>Kaikan Clube e Eventos rua 26, Guaira, SP CEP 14790-0000</t>
  </si>
  <si>
    <t>contato@kaikanguaira.com.br</t>
  </si>
  <si>
    <t>ACENB E DIRETORIA DE CULTURA E TURISMO</t>
  </si>
  <si>
    <t xml:space="preserve">dirtoradeisegarcia@gmail.com </t>
  </si>
  <si>
    <t xml:space="preserve">Casa do Artesão </t>
  </si>
  <si>
    <t>Casa do Artesão convida você para uma tarde especial, dedicada à valorização da cultura e do talento local. Venha conhecer de perto o artesanato da nossa cidade, com peças únicas feitas por nossos artesãos, que expressam tradição, criatividade e identidade.
E para tornar esse momento ainda mais especial, teremos um animado show de prêmios, com muitas surpresas para o público.
Participe e prestigie o que é nosso!</t>
  </si>
  <si>
    <t>TORNEIO TAKESHI UEMURA</t>
  </si>
  <si>
    <t xml:space="preserve">
 Considerado um dos eventos mais importantes da modalidade no calendário esportivo nacional, o torneio atrai anualmente centenas de atletas de diversos estados brasileiros.
Realizado pela Prefeitura Municipal de Guaíra, por meio da Diretoria de Cultura, Turismo, Esportes e Lazer, com o apoio estratégico da Federação Paulista de Judô e do Instituto Meninos de Ouro, o evento promove intensas disputas em todas as categorias. O torneio se destaca não apenas pelo alto nível técnico dos participantes, mas também por reforçar os valores fundamentais do judô: disciplina, respeito e superação</t>
  </si>
  <si>
    <t xml:space="preserve">GINÁSIO DE ESPORTES JOSÉ FIGUEIREDO </t>
  </si>
  <si>
    <t>Diretoria de Cultura.  Turismo.  Esporte e lazer</t>
  </si>
  <si>
    <t xml:space="preserve">diretoradeisegarcia@gmail.com </t>
  </si>
  <si>
    <t>27 Romaria do Pindoba</t>
  </si>
  <si>
    <t>A Romaria à Capela do Pindoba é uma celebração que une moradores e visitantes em um momento de espiritualidade e tradição. A jornada promove a integração entre diferentes setores da cidade, reforçando o papel da fé como elemento de coesão social.</t>
  </si>
  <si>
    <t>Capela do Pindoba</t>
  </si>
  <si>
    <t>Diretoria de cultura turismo esporte e lazer</t>
  </si>
  <si>
    <t xml:space="preserve">Verão Saúde em movimento </t>
  </si>
  <si>
    <t>O projeto visa integrar esporte, saúde, lazer e cultura para promover hábitos saudáveis.</t>
  </si>
  <si>
    <t>Complexo Ricardo Graner Lelis Parque Maraca</t>
  </si>
  <si>
    <t>PANORAMA</t>
  </si>
  <si>
    <t>FESTA DA PIPOCA</t>
  </si>
  <si>
    <t xml:space="preserve">EVENTO COMEMORATIVO REFERENTE AO MES DAS FESTAS JUNINAS ONDE É DISTRIBUIDO AMENDOIN, PIPOCA, REFRIGERANTE, APRESENTAÇÃO DE DANÇA DE QUADRILHA </t>
  </si>
  <si>
    <t>AVENIDA PRESTES MAIA " PRAÇA DO POVO"</t>
  </si>
  <si>
    <t>www.panorama.sp.gov.br</t>
  </si>
  <si>
    <t>SECRETARIA MUNICIPAL DE TURISMO, ESPORTE CULTURA E DESENVOLVIMENTO ECONOMICO DE PANORAMA</t>
  </si>
  <si>
    <t>turismopanoramasp@gmail.com</t>
  </si>
  <si>
    <t>TRAVESSIA DO RIO PARANÁ A NADO</t>
  </si>
  <si>
    <t>EVENTO TRADICIONAL ESTANDO NA 59º EDIÇÃO, REALIZADO NO FINAL DE SEMANA DA SEMANA DA PATRIA, CONSISTE EM UMA COMPETIÇÃO A NADO REALIZANDO UMA PROVA DE 3 KM, COM LARGADA NAS MARGENS DO ESTADO DO MATO GROSSO DO SUL ATÉ O BALNEARIO DA CIDADE DE PANORAMA</t>
  </si>
  <si>
    <t>BALNEARIO MUNICIPAL DE PANORAMA</t>
  </si>
  <si>
    <t>SECRETARIA DE TURISMO, ESPORTE, CULTURA E DESENVOLVIMENTO ECONOMICO DO MUNICIPIO DE PANORAMA</t>
  </si>
  <si>
    <t>turismopanorasp@gmail.com</t>
  </si>
  <si>
    <t>CORRIDA DA INDEPENDENCIA</t>
  </si>
  <si>
    <t>EVENTO ESPORTIVO REALIZADO NO DIA 7 DE SETEMBRO E COMEMORAÇÃO A INDEPENDENCIA DO BRASIL, ESSE EVENTO ESTA NA 9ª EDIÇÃO.</t>
  </si>
  <si>
    <t>AV. QUINTINO MAUDONET, "BIBLIOTECA MUNICIPAL"</t>
  </si>
  <si>
    <t>BILAC</t>
  </si>
  <si>
    <t>Festa das Nações de Bilac</t>
  </si>
  <si>
    <t>A Festa das Nações de Bilac é a celebração gastronômica da história fundadora do município, reunindo as nações que formaram a população bilaquense - e também regional - valorizando sua cultura e sua gastronomia.</t>
  </si>
  <si>
    <t>Praça da Matriz, s/n, Centro - Bilac/SP</t>
  </si>
  <si>
    <t>Prefeitura Municipal de Bilac através do Fundo Social de Solidariedade</t>
  </si>
  <si>
    <t>turismo@bilac.sp.gov.br</t>
  </si>
  <si>
    <t>Festa Junina São João da Mata</t>
  </si>
  <si>
    <t xml:space="preserve">Festa junina tradicional com fogueira, terço, comidas típicas, shows e culinária. </t>
  </si>
  <si>
    <t>Fazenda centeária São João da Mata</t>
  </si>
  <si>
    <t>@saojoaodamata_fazenda</t>
  </si>
  <si>
    <t>Fazenda São João da Mata</t>
  </si>
  <si>
    <t>(16) 36650216</t>
  </si>
  <si>
    <t>AGROfESTIVAL BEST COFFE</t>
  </si>
  <si>
    <t>Uma exposição de mostragem de tipo e sabores de café da região. Com palestras temáticas e profissionais especializados na área.</t>
  </si>
  <si>
    <t>PARQUE DE EXPOSIÇÕES SANTA CRUZ</t>
  </si>
  <si>
    <t>apoio Prefeitura municipal</t>
  </si>
  <si>
    <t>Uma oportunidade de mostrar carros antigos para visitantes e população local.</t>
  </si>
  <si>
    <t>Parque de Exposição Santa Cruz</t>
  </si>
  <si>
    <t>Apoio Prefeitura Municipal</t>
  </si>
  <si>
    <t>Quermesse da Padroeira</t>
  </si>
  <si>
    <t>Quermesse em comemoração a Padroeira da cidade Nossa Senhora da Piedade</t>
  </si>
  <si>
    <t>Paróquia Nossa Senhora da Piedade</t>
  </si>
  <si>
    <t>cultura@altinópolis.sp.gov.br</t>
  </si>
  <si>
    <t>REGISTRO</t>
  </si>
  <si>
    <t>ExpoBeer - Encontro dos Cervejeiros Artesanais do Vale do Ribeira</t>
  </si>
  <si>
    <t>A Expobeer é uma feira de  exposição festiva que tem como objetivo fomentar a Cadeia Produtiva do Lúpulo no Vale do Ribeira bem como qualificar os empresários e lideranças das micro e pequenas empresas do Vale do Ribeira-SP. O evento promove cervejas artesanais produzidas na região, bem como outros produtos que utilizam lúpulo, valorizando também a gastronomia, artesanato locais e o turismo através de rotas das cervejas artesanais. A iniciativa estimula o engajamento produtivo e a ampliação do mercado, beneficiando desde os produtores de lúpulo e microcervejarias até os empreendimentos ligados à culinária regional. Dessa forma, a Expobeer fortalece uma cadeia produtiva diversificada, que envolve microempresas, empresas de pequeno porte e microempreendedores individuais</t>
  </si>
  <si>
    <t>Não tem</t>
  </si>
  <si>
    <t>A Praça Beira Rio localizada a Rua José  Suguinoshita, 126-210 - Vila Alay Jose Correa, Registro - SP</t>
  </si>
  <si>
    <t>turismo@registro.sp.gov.br</t>
  </si>
  <si>
    <t>Encontro de Antigomobilismo Antigos da Rota SP 350</t>
  </si>
  <si>
    <t xml:space="preserve">O 11º edição do Encontro de Antigomobilsmo Antigos da Rota SP 350 acontece ente os dias 8 e 12 de julho de 2026, na Praça Barão do Rio Branco - Mercado Cultural, reunindo colecionadores e amantes de carros, motos e caminhões clássicos, verdadeiras relíquias sobre rodas em exposição que encantam os visitantes. Durante o evento, acontecem shows musicais, feira de antiguidades, praça de alimentação e artesanato. </t>
  </si>
  <si>
    <t>Praça Barão do Rio Branco - Centro de São José do Rio Pardo</t>
  </si>
  <si>
    <t xml:space="preserve">vemprariopardo.sp.gov.br </t>
  </si>
  <si>
    <t>Clube Antigos da Rota SP 350</t>
  </si>
  <si>
    <t>Semana Euclidiana</t>
  </si>
  <si>
    <t>A 88ª edição da Semana Euclidiana acontece em São José do Rio Pardo, entre os dias 9 e 15 de agosto, envolvendo diretamente mais de 2 mil participantes, entre alunos e familiares, professores, pesquisadores, conferencistas de São José do Rio Pardo e de outras cidades e Estados, e indiretamente cerca de 12 mil pessoas em todas as atividades voltadas para a população de forma aberta e gratuita. A Semana Euclidiana é o mais longevo movimento cultural brasileiro dedicado a um personagem da literatura nacional, tendo ligações com universidades de São Paulo, Rio de Janeiro e Bahia, principalmente, além de pesquisadores do Brasil e do exterior, que vêm à São José do Rio Pardo, há muito reconhecida como a Meca do Euclidianismo e o Berço d’Os Sertões, e certamente um dos eventos mais importantes da cidade, com repercussão nacional e internacional, com previsão para atrair visitantes das cidades vizinhas e do público da cidade para uma extensa agenda de eventos culturais, artísticos e de entretenimento, movimentando a cadeia econômica da cultura e do turismo no município.</t>
  </si>
  <si>
    <t>Rua Marechal Floriano, 105 - Centro</t>
  </si>
  <si>
    <t>vemprariopardo.sp.gov.br</t>
  </si>
  <si>
    <t>Realizado no distrito de Venda Branca, o Festival do Milho é muito mais do que um evento gastronômico. Além de oferecer o melhor da culinária à base de milho, o festival valoriza e preserva as tradições locais, reunindo uma grande variedade de pratos e produtos típicos. A programação é diversificada, com shows e apresentações culturais.</t>
  </si>
  <si>
    <t>Endereço: Praça Eugenia de Jesus Pinto – Distrito de Venda Branca – Casa Branca - SP</t>
  </si>
  <si>
    <t>turismo@casabranca.sp.gov.br</t>
  </si>
  <si>
    <t>FERNANDÓPOLIS</t>
  </si>
  <si>
    <t>EXPÔ 2026</t>
  </si>
  <si>
    <t xml:space="preserve">Exposição agropecuária, veículos, móveis, artesanato, rodeio, gastronomia, parque de diversão e leilão de gado. </t>
  </si>
  <si>
    <t>Recinto de exposição Percy Valdir Semeguini</t>
  </si>
  <si>
    <t>@expofernandopolis</t>
  </si>
  <si>
    <t>5/15/0206</t>
  </si>
  <si>
    <t>Sindicato Rural de Fernandópolis</t>
  </si>
  <si>
    <t>marceloasus76Gmail.com</t>
  </si>
  <si>
    <t xml:space="preserve">Festival Divino Inverno </t>
  </si>
  <si>
    <t>O Festival Divino Inverno tem como objetivo promover a cultura, o turismo, a gastronomia, o lazer e o entretenimento durante o período de inverno no Município, fomentando a economia local e proporcionando momentos de diversão para a população.
Contará com uma programação diversificada, que incluirá atividades culturais, artísticas, musicais, gastronômicas.</t>
  </si>
  <si>
    <t xml:space="preserve">a definir </t>
  </si>
  <si>
    <t>Festival de Rock</t>
  </si>
  <si>
    <t>O Festival de Rock de Cajamar é um evento cultural promovido pela Prefeitura Municipal, realizado anualmente no Centro de Eventos Professor Walter Ribas de Andrade (Boiódromo), com o objetivo de valorizar a cena musical local e celebrar o Dia Mundial do Rock, comemorado em 13 de julho.
A programação reúne bandas e artistas independentes do município e da região, contemplando diferentes vertentes do rock, além de oferecer estrutura completa ao público, com praça de alimentação, área de convivência e acesso democrático, frequentemente com entrada gratuita ou solidária.
O evento integra o calendário oficial do município e visa incentivar a cultura, fomentar novos talentos e ampliar as opções de lazer para a população, consolidando o Boiódromo como espaço de grandes manifestações culturais na cidade.</t>
  </si>
  <si>
    <t>Centro de Eventos Professor Walter Ribas de Andrade (Boiódromo) - Av. Deovair Cruz de Oliveira, 466, Jardim Nova Jordanésia – Cajamar/SP, CEP: 07750-000. Referência: próximo ao KM 39 da Rodovia Anhanguera.</t>
  </si>
  <si>
    <t>Prefeitura de Cajamar</t>
  </si>
  <si>
    <t>turismo@cajamar.gov.br</t>
  </si>
  <si>
    <t>Copa FBR Mountain Bike</t>
  </si>
  <si>
    <t>A etapa da Copa FBR Mountain Bike em Cajamar é uma competição de ciclismo off-road que reúne atletas amadores e profissionais para vivenciar a emoção do mountain bike em percursos desafiadores, com obstáculos naturais e paisagens de grande beleza cênica. O evento promove o esporte, incentiva o turismo local e proporciona integração entre os participantes em meio à natureza, consolidando-se como uma importante atividade esportiva regional.</t>
  </si>
  <si>
    <t xml:space="preserve">Ginásio de Esportes Lamartine de Paula Lima:  Av. Prof. Walter Ribas de Andrade, 300, Centro - Cajamar </t>
  </si>
  <si>
    <t>FBR Sports Eventos Esportivos</t>
  </si>
  <si>
    <t>Corrida Kids</t>
  </si>
  <si>
    <t>A Corrida Kids em Cajamar é um evento esportivo infantil que promove a prática da corrida entre crianças e adolescentes em um ambiente seguro, recreativo e familiar. A atividade tem como objetivo incentivar hábitos saudáveis, o desenvolvimento esportivo desde a infância e a integração entre participantes e familiares, com percursos adaptados por faixa etária e foco na participação e diversão.</t>
  </si>
  <si>
    <t>Prefeitura do Município de Cajamar</t>
  </si>
  <si>
    <t>Feira Cultural</t>
  </si>
  <si>
    <t>Evento cultural promovido no município com foco em apresentações artísticas, manifestações culturais locais, artesanato, gastronomia e atividades de valorização da cultura regional.</t>
  </si>
  <si>
    <t>Praça Beneduto Martins da Cruz (Centro) Cajamar</t>
  </si>
  <si>
    <t>Desfile Cívico</t>
  </si>
  <si>
    <t>O Desfile Cívico de 7 de Setembro em Cajamar é uma celebração da Independência do Brasil que reúne escolas, instituições e projetos sociais do município em apresentações cívicas e culturais realizadas em espaço público, promovendo cidadania, educação e integração comunitária.</t>
  </si>
  <si>
    <t>Distrito Sede (Centro) - Centro da cidade de Cajamar (região central / via pública principal do desfile). Praça José Rodrigues do Nascimento, 30 – Bairro Água Fria – Centro – Cajamar/SP</t>
  </si>
  <si>
    <t>Festival Gastronômico da Mandioca</t>
  </si>
  <si>
    <t>O Festival Gastronômico da Mandioca de Cajamar é um evento oficial do município que valoriza a culinária à base de mandioca, reunindo gastronomia regional, pratos típicos, feira de alimentos e apresentações culturais. O evento promove a cultura local, incentiva a agricultura familiar e fortalece o turismo e a economia criativa da cidade.</t>
  </si>
  <si>
    <t>Romaria Feminina de Cajamar</t>
  </si>
  <si>
    <t>A Romaria Feminina de Cajamar é uma manifestação religiosa católica que reúne mulheres em um percurso de fé e devoção, com destino a um ponto religioso do município ou região. O evento promove espiritualidade, integração comunitária e fortalecimento de tradições religiosas locais, atraindo participantes de Cajamar e cidades vizinhas.</t>
  </si>
  <si>
    <t>Paróquias e comunidades religiosas de Cajamar (Apoio: Prefeitura do Município de Cajamar)</t>
  </si>
  <si>
    <t>Festa Nordestina</t>
  </si>
  <si>
    <t>A Festa Nordestina de Cajamar é um evento cultural e gastronômico que celebra a cultura do Nordeste brasileiro por meio de apresentações musicais, danças típicas, culinária regional e manifestações culturais. O evento promove integração cultural, lazer e valorização das tradições nordestinas, atraindo moradores e visitantes da região.</t>
  </si>
  <si>
    <t>Centro de Eventos Professor Walter Ribas de Andrade (Boiódromo) - Av. Deovair Cruz de Oliveira, 466, Jardim Nova Jordanésia – Cajamar/SP, CEP: 07750-000. Visão geral criada por IA O Centro de Eventos Boiódromo em Cajamar está localizado na Avenida Deovair Cruz de Oliveira, 466 – Jardim Nova Jordanésia, Cajamar/SP. O local é referência para grandes eventos, como o Cajamar Rodeo Fest, e fica próximo à Rodovia Anhanguera (Km 39).  Informações principais:      Endereço: Av. Deovair Cruz de Oliveira, 466, Jardim Nova Jordanésia – Cajamar/SP, CEP: 07750-000.     Localização: Jordanésia.     Referência: próximo ao KM 39 da Rodovia Anhanguera.</t>
  </si>
  <si>
    <t>Concurso Miss e Mister Melhor Idade</t>
  </si>
  <si>
    <t>O Concurso Miss e Mister Melhor Idade de Cajamar é um evento social que valoriza a autoestima, a convivência e o protagonismo da pessoa idosa por meio de desfile, apresentações e atividades culturais. A iniciativa promove inclusão, bem-estar e integração social, reunindo participantes da melhor idade em uma celebração de respeito e valorização da longevidade.</t>
  </si>
  <si>
    <t>Centro de Eventos Professor Walter Ribas de Andrade (Boiódromo) - Av. Deovair Cruz de Oliveira, 466, Jardim Nova Jordanésia – Cajamar/SP, CEP: 07750-000. próximo ao KM 39 da Rodovia Anhanguera.</t>
  </si>
  <si>
    <t>Moda</t>
  </si>
  <si>
    <t>Festa do Dia das Crianças</t>
  </si>
  <si>
    <t>A Festa do Dia das Crianças de Cajamar é um evento comemorativo promovido pelo município com atividades recreativas, culturais e esportivas voltadas ao público infantil. A programação inclui brincadeiras, apresentações, distribuição de brinquedos e ações de lazer, promovendo integração familiar e social.</t>
  </si>
  <si>
    <t>Centro de Eventos Professor Walter Ribas de Andrade (Boiódromo) - Av. Deovair Cruz de Oliveira, 466, Jardim Nova Jordanésia – Cajamar/SP, CEP: 07750-000. Av. Deovair Cruz de Oliveira, 466, Jardim Nova Jordanésia – Cajamar/SP, CEP: 07750-000. Av. Deovair Cruz de Oliveira, 466, Jardim Nova Jordanésia – Cajamar/SP, CEP: 07750-000. Av. Deovair Cruz de Oliveira, 466, Jardim Nova Jordanésia – Cajamar/SP, CEP: 07750-000. Av. Deovair Cruz de Oliveira, 466, Jardim Nova Jordanésia – Cajamar/SP, CEP: 07750-000. Referência: próximo ao KM 39 da Rodovia Anhanguera.</t>
  </si>
  <si>
    <t>Caminhada outubro Rosa e novembro Azul</t>
  </si>
  <si>
    <t>A Caminhada Outubro Rosa e Novembro Azul de Cajamar é um evento de conscientização em saúde que promove a prevenção do câncer de mama e do câncer de próstata por meio de uma caminhada orientada, atividades educativas e ações de orientação à população. O evento reforça a importância do diagnóstico precoce e incentiva hábitos de vida saudáveis, reunindo moradores em uma mobilização coletiva de caráter social e comunitário.</t>
  </si>
  <si>
    <t>Distrito de Jordanésia</t>
  </si>
  <si>
    <t>Vozes Negras que vencem</t>
  </si>
  <si>
    <t>O evento Vozes Negras que Vencem é uma ação cultural e educativa que promove a valorização da cultura afro-brasileira, a representatividade da população negra e o debate sobre igualdade racial, em celebração ao Dia da Consciência Negra. A programação inclui apresentações culturais, rodas de conversa, manifestações artísticas e atividades de conscientização, fortalecendo a inclusão, a diversidade e o combate ao racismo.</t>
  </si>
  <si>
    <t>Centro Cultnural do Polvilho - Rua Jean Anastace Kovelis, nº 1835, no bairro Portal dos Ipês, distrito do Polvilho, em Cajamar</t>
  </si>
  <si>
    <t>Expo Artesanatos de Natal</t>
  </si>
  <si>
    <t>A Expo Artesanatos de Natal de Cajamar é um evento cultural e comercial que reúne expositores locais com foco em artesanato temático natalino, produtos manuais e economia criativa. A programação promove o incentivo ao empreendedorismo, a valorização dos artesãos locais e o espírito natalino, com atividades culturais e ambientação temática de fim de ano.</t>
  </si>
  <si>
    <t>Centro de Eventos Professor Walter Ribas de Andrade (Boiódromo) - Av. Deovair Cruz de Oliveira, 466, Jardim Nova Jordanésia – Cajamar/SP, CEP: 07750-000. Referência: próximo ao KM 39 da Rodovia Anhanguera</t>
  </si>
  <si>
    <t>Programa de Governo - Natal Cajamar Feliz</t>
  </si>
  <si>
    <t>O Natal Cajamar Feliz é um programa municipal de fim de ano que reúne ações culturais, entrega de brinquedos, decoração natalina e atividades recreativas em diferentes pontos da cidade. A programação inclui apresentações artísticas, chegada do Papai Noel, atividades para crianças e iniciativas de convivência comunitária, promovendo o espírito natalino, o turismo local e a valorização dos espaços públicos.</t>
  </si>
  <si>
    <t>LARANJAL PAULISTA</t>
  </si>
  <si>
    <t>142º FESTA DE SÃO JOÃO BATISTA</t>
  </si>
  <si>
    <t>A Festa de São João de Laranjal Paulista é uma das tradições mais antigas e marcantes do interior de SP, com mais de 140 anos de história. Realizado na Praça Armando Sales de Oliveira, o evento combina fé, com procissões e quermesse, a shows de renome, sendo considerada um dos maiores São João de rua do estado de sp, com entrada gratuita.</t>
  </si>
  <si>
    <t xml:space="preserve">LEI Nº 5.040, DE 17 DE ABRIL DE 1986 </t>
  </si>
  <si>
    <t>PRAÇA ARMANDO DE SALLES OLIVEIRA E LARGO SÃO JÃO-CENTRO</t>
  </si>
  <si>
    <t>SANTUÁRIO ARQUIDIOCESANO SAO JOAO BATISTA E PREFEITURA MUNICIPAL</t>
  </si>
  <si>
    <t>turismo@laranjalpaulista.sp.gov.br</t>
  </si>
  <si>
    <t>8ª EXPOBEL - CIDADE EMPREENDEDORA</t>
  </si>
  <si>
    <t xml:space="preserve">A EXPOBEL (Exposição de Produtos de Santa Isabel), é promovida anualmente pela Prefeitura Municipal de Santa Isabel, através da Secretaria de Turismo, Empreendedorismo e Desenvolvimento Econômico e parceiros do terceiro setor, criando diversos dias de evento um espaço comum de comercialização para associações, grupos e coletivos, artesãos e artesãs, parceiros locais e regionais, o festival gera possibilidade de emprego e renda por meio de suas atividades voltadas a Economia Criativa e Cultural. Um ambiente de troca, para que esses empreendimentos se conheçam melhor, estejam mais próximos e se fortaleçam mutualmente, incentivando pequenos negócios. Oferecendo uma área de exposição com tendas e área para apresentações culturais, rodas de conversa e divulgação dos trabalhos, espera-se novos contatos para comercialização de produtos e serviços, disseminação do conceito de economia criativa e solidária, valorização da cultura e integração das identidades culturais. </t>
  </si>
  <si>
    <t>Terminal Rodoviário Urbano – Rua Pref. José Raymundo Lobo, s/n, Jd. Monte Serrat – Santa Isabel – CEP 07500-000</t>
  </si>
  <si>
    <t>https://www.instagram.com/expobelsi/</t>
  </si>
  <si>
    <t>PREFEITURA MUNICIPAL DE SANTA ISABEL</t>
  </si>
  <si>
    <t>adm.turismo@santaisabel.sp.gov.br</t>
  </si>
  <si>
    <t>Cidades</t>
  </si>
  <si>
    <t>Região Adm</t>
  </si>
  <si>
    <t>ADAMANTINA</t>
  </si>
  <si>
    <t>Presidente Prudente</t>
  </si>
  <si>
    <t>1J6Ri7y&lt;23m&gt;</t>
  </si>
  <si>
    <t>ADOLFO</t>
  </si>
  <si>
    <t>São José do Rio Preto</t>
  </si>
  <si>
    <t>1J6Rc{Uyy@Y-</t>
  </si>
  <si>
    <t>AGUAÍ</t>
  </si>
  <si>
    <t>Campinas</t>
  </si>
  <si>
    <t>1J6tGUKPi9*p</t>
  </si>
  <si>
    <t>ÁGUAS DA PRATA</t>
  </si>
  <si>
    <t>1J6tiG7K;PBf</t>
  </si>
  <si>
    <t>ÁGUAS DE LINDÓIA</t>
  </si>
  <si>
    <t>1J6tj=\;eTlf</t>
  </si>
  <si>
    <t>ÁGUAS DE SANTA BÁRBARA</t>
  </si>
  <si>
    <t>Sorocaba</t>
  </si>
  <si>
    <t>1J6RY)i8{nQf</t>
  </si>
  <si>
    <t>1J6tHiP,SUj&gt;</t>
  </si>
  <si>
    <t>Bauru</t>
  </si>
  <si>
    <t>1J6RU=B:H*Jp</t>
  </si>
  <si>
    <t>ALAMBARI</t>
  </si>
  <si>
    <t>1J6tm?j)w.z&gt;</t>
  </si>
  <si>
    <t>ALFREDO MARCONDES</t>
  </si>
  <si>
    <t>1J6RiJ+G&lt;;]&gt;</t>
  </si>
  <si>
    <t>ALTAIR</t>
  </si>
  <si>
    <t>Barretos</t>
  </si>
  <si>
    <t>1J6Rd?Bd@iH-</t>
  </si>
  <si>
    <t>Ribeirão Preto</t>
  </si>
  <si>
    <t>1J6t]MMKE3;f</t>
  </si>
  <si>
    <t>ALTO ALEGRE</t>
  </si>
  <si>
    <t>Araçatuba</t>
  </si>
  <si>
    <t>1J6Rbw^:,\G&gt;</t>
  </si>
  <si>
    <t>ALUMÍNIO</t>
  </si>
  <si>
    <t>1J6tM?BX&lt;{&lt;-</t>
  </si>
  <si>
    <t>ÁLVARES FLORENCE</t>
  </si>
  <si>
    <t>1J6R3yJGlu]f</t>
  </si>
  <si>
    <t>ÁLVARES MACHADO</t>
  </si>
  <si>
    <t>1J6RijXLXQ1&gt;</t>
  </si>
  <si>
    <t>ÁLVARO DE CARVALHO</t>
  </si>
  <si>
    <t>Marília</t>
  </si>
  <si>
    <t>1J6RRhzKrM=p</t>
  </si>
  <si>
    <t>ALVINLÂNDIA</t>
  </si>
  <si>
    <t>1J6RS]nzo9b&gt;</t>
  </si>
  <si>
    <t>1J6thLYg1]L-</t>
  </si>
  <si>
    <t>AMÉRICO BRASILIENSE</t>
  </si>
  <si>
    <t>Central</t>
  </si>
  <si>
    <t>1J6RT9+nTuS&gt;</t>
  </si>
  <si>
    <t>AMÉRICO DE CAMPOS</t>
  </si>
  <si>
    <t>1J6R4Ld6lK;-</t>
  </si>
  <si>
    <t>AMPARO</t>
  </si>
  <si>
    <t>1J6tjL{:j^Gp</t>
  </si>
  <si>
    <t>ANALÂNDIA</t>
  </si>
  <si>
    <t>1J6tgWjdEA;&gt;</t>
  </si>
  <si>
    <t>ANDRADINA</t>
  </si>
  <si>
    <t>1J6R{Odt&lt;Uwp</t>
  </si>
  <si>
    <t>ANGATUBA</t>
  </si>
  <si>
    <t>Itapeva</t>
  </si>
  <si>
    <t>1J6Rz;KK]QY&gt;</t>
  </si>
  <si>
    <t>ANHEMBI</t>
  </si>
  <si>
    <t>1J6Ruz_]W@:&gt;</t>
  </si>
  <si>
    <t>ANHUMAS</t>
  </si>
  <si>
    <t>1J6Rj;YlGb=f</t>
  </si>
  <si>
    <t>São José dos Campos</t>
  </si>
  <si>
    <t>1J6tv24ZES&lt;f</t>
  </si>
  <si>
    <t>APARECIDA D'OESTE</t>
  </si>
  <si>
    <t>1J6R+:+icQGp</t>
  </si>
  <si>
    <t>APIAÍ</t>
  </si>
  <si>
    <t>1J6S6Wb{Q8zf</t>
  </si>
  <si>
    <t>1J6tLXMX\W&lt;p</t>
  </si>
  <si>
    <t>1J6Rb\{zgeD&gt;</t>
  </si>
  <si>
    <t>ARAÇOIABA DA SERRA</t>
  </si>
  <si>
    <t>1J6tm8:43Ub-</t>
  </si>
  <si>
    <t>ARAMINA</t>
  </si>
  <si>
    <t>Franca</t>
  </si>
  <si>
    <t>1J6t,=R1M2&lt;f</t>
  </si>
  <si>
    <t>ARANDU</t>
  </si>
  <si>
    <t>1J6RYi6dGbj-</t>
  </si>
  <si>
    <t>ARAPEÍ</t>
  </si>
  <si>
    <t>1J6tUHM^UOe&gt;</t>
  </si>
  <si>
    <t>1J6RTd3.MPuf</t>
  </si>
  <si>
    <t>1J6th.HGMuz-</t>
  </si>
  <si>
    <t>ARCO-ÍRIS</t>
  </si>
  <si>
    <t>1J6RQ,m_MYl&gt;</t>
  </si>
  <si>
    <t>1J6RtrA4O2jf</t>
  </si>
  <si>
    <t>1J6tSQUiW^Gf</t>
  </si>
  <si>
    <t>AREIÓPOLIS</t>
  </si>
  <si>
    <t>1J6RUuzdwzQp</t>
  </si>
  <si>
    <t>ARIRANHA</t>
  </si>
  <si>
    <t>1J6Red:Z)_mf</t>
  </si>
  <si>
    <t>ARTUR NOGUEIRA</t>
  </si>
  <si>
    <t>1J6thJTeg&lt;O-</t>
  </si>
  <si>
    <t>ARUJÁ</t>
  </si>
  <si>
    <t>RMSP</t>
  </si>
  <si>
    <t>1J6tnzGB.G_&gt;</t>
  </si>
  <si>
    <t>ASPÁSIA</t>
  </si>
  <si>
    <t>1J6R@Qb_7]Kf</t>
  </si>
  <si>
    <t>1J6RrHW.Q9P-</t>
  </si>
  <si>
    <t>ATIBAIA</t>
  </si>
  <si>
    <t>1J6tnblcMz*&gt;</t>
  </si>
  <si>
    <t>AURIFLAMA</t>
  </si>
  <si>
    <t>1J6R+eeSoX*p</t>
  </si>
  <si>
    <t>AVAÍ</t>
  </si>
  <si>
    <t>1J6RRz){A6_f</t>
  </si>
  <si>
    <t>AVANHANDAVA</t>
  </si>
  <si>
    <t>1J6RbUy8?gP-</t>
  </si>
  <si>
    <t>AVARÉ</t>
  </si>
  <si>
    <t>1J6RYbr;l_uf</t>
  </si>
  <si>
    <t>BADY BASSITT</t>
  </si>
  <si>
    <t>1J6RBWQ=:dS-</t>
  </si>
  <si>
    <t>BALBINOS</t>
  </si>
  <si>
    <t>1J6RReU*UWyp</t>
  </si>
  <si>
    <t>BÁLSAMO</t>
  </si>
  <si>
    <t>1J6RBJ8@E;Lf</t>
  </si>
  <si>
    <t>BANANAL</t>
  </si>
  <si>
    <t>1J6tUL6+_*n&gt;</t>
  </si>
  <si>
    <t>BARÃO DE ANTONINA</t>
  </si>
  <si>
    <t>1J6RX+Tz]dwp</t>
  </si>
  <si>
    <t>BARBOSA</t>
  </si>
  <si>
    <t>1J6Rbe6r4^wp</t>
  </si>
  <si>
    <t>BARIRI</t>
  </si>
  <si>
    <t>1J6RtUz4zoh&gt;</t>
  </si>
  <si>
    <t>BARRA BONITA</t>
  </si>
  <si>
    <t>1J6Ru_&lt;X8USp</t>
  </si>
  <si>
    <t>BARRA DO CHAPÉU</t>
  </si>
  <si>
    <t>1J6S6KLnvH?p</t>
  </si>
  <si>
    <t>Registro</t>
  </si>
  <si>
    <t>1J6S9?hG4z1-</t>
  </si>
  <si>
    <t>1J6RD.n:?3O&gt;</t>
  </si>
  <si>
    <t>BARRINHA</t>
  </si>
  <si>
    <t>1J6REd4=lY\-</t>
  </si>
  <si>
    <t>BARUERI</t>
  </si>
  <si>
    <t>1J6tM96AT^jf</t>
  </si>
  <si>
    <t>BASTOS</t>
  </si>
  <si>
    <t>1J6RJbP@]o)f</t>
  </si>
  <si>
    <t>BATATAIS</t>
  </si>
  <si>
    <t>1J6t\Y?tArPp</t>
  </si>
  <si>
    <t>BAURU</t>
  </si>
  <si>
    <t>1J6RU?+?uLQ&gt;</t>
  </si>
  <si>
    <t>BEBEDOURO</t>
  </si>
  <si>
    <t>1J6RDnPuH&lt;,-</t>
  </si>
  <si>
    <t>1J6R==@hv@o&gt;</t>
  </si>
  <si>
    <t>BERNARDINO DE CAMPOS</t>
  </si>
  <si>
    <t>1J6RWB_Rc]Qf</t>
  </si>
  <si>
    <t>BERTIOGA</t>
  </si>
  <si>
    <t>Santos</t>
  </si>
  <si>
    <t>1J6tPhS*u{h&gt;</t>
  </si>
  <si>
    <t>1J6R=TZPJ?3-</t>
  </si>
  <si>
    <t>BIRIGUI</t>
  </si>
  <si>
    <t>1J6Rb_R3Gzvf</t>
  </si>
  <si>
    <t>BIRITIBA-MIRIM</t>
  </si>
  <si>
    <t>1J6tP?yPG*=f</t>
  </si>
  <si>
    <t>BOA ESPERANÇA DO SUL</t>
  </si>
  <si>
    <t>1J6RTJWl9Zo&gt;</t>
  </si>
  <si>
    <t>BOCAINA</t>
  </si>
  <si>
    <t>1J6RTLunn]3p</t>
  </si>
  <si>
    <t>BOFETE</t>
  </si>
  <si>
    <t>1J6RycK).ywf</t>
  </si>
  <si>
    <t>1J6tlW*483;&gt;</t>
  </si>
  <si>
    <t>BOM JESUS DOS PERDÕES</t>
  </si>
  <si>
    <t>1J6tnR:)BXEp</t>
  </si>
  <si>
    <t>BOM SUCESSO DE ITARARÉ</t>
  </si>
  <si>
    <t>1J6S6_vT\Ebp</t>
  </si>
  <si>
    <t>BORÁ</t>
  </si>
  <si>
    <t>1J6RK6TBlv=f</t>
  </si>
  <si>
    <t>1J6RtZJ4d&lt;ip</t>
  </si>
  <si>
    <t>BORBOREMA</t>
  </si>
  <si>
    <t>1J6Reow+2ZXf</t>
  </si>
  <si>
    <t>BOREBI</t>
  </si>
  <si>
    <t>1J6RUJT*tRdf</t>
  </si>
  <si>
    <t>BOTUCATU</t>
  </si>
  <si>
    <t>1J6Ry:y4UMQ-</t>
  </si>
  <si>
    <t>BRAGANÇA PAULISTA</t>
  </si>
  <si>
    <t>1J6tn3jg,2b-</t>
  </si>
  <si>
    <t>BRAÚNA</t>
  </si>
  <si>
    <t>1J6RbLDe&lt;]Y-</t>
  </si>
  <si>
    <t>BREJO ALEGRE</t>
  </si>
  <si>
    <t>1J6Rb@WW644f</t>
  </si>
  <si>
    <t>1J6t\XJ:2{Rp</t>
  </si>
  <si>
    <t>1J6Ru7L*YgPf</t>
  </si>
  <si>
    <t>BURI</t>
  </si>
  <si>
    <t>1J6Rzgz\2YM&gt;</t>
  </si>
  <si>
    <t>1J6Rb1G8GRl-</t>
  </si>
  <si>
    <t>BURITIZAL</t>
  </si>
  <si>
    <t>1J6t,QX2yS&lt;&gt;</t>
  </si>
  <si>
    <t>CABRÁLIA PAULISTA</t>
  </si>
  <si>
    <t>1J6RSE)6&lt;w;-</t>
  </si>
  <si>
    <t>1J6tLv=^]h4&gt;</t>
  </si>
  <si>
    <t>1J6tOEiyj8l-</t>
  </si>
  <si>
    <t>1J6tSHW_@{Tp</t>
  </si>
  <si>
    <t>CACONDE</t>
  </si>
  <si>
    <t>1J6t&lt;nUE)]t&gt;</t>
  </si>
  <si>
    <t>1J6RR+b{^lo&gt;</t>
  </si>
  <si>
    <t>CAIABU</t>
  </si>
  <si>
    <t>1J6RiS6m.\:f</t>
  </si>
  <si>
    <t>1J6tnM1r_HY-</t>
  </si>
  <si>
    <t>CAIUÁ</t>
  </si>
  <si>
    <t>1J6RG+U^hiZ&gt;</t>
  </si>
  <si>
    <t>1J6tLz2ReX+f</t>
  </si>
  <si>
    <t>1J6S99+1:un-</t>
  </si>
  <si>
    <t>CAJOBI</t>
  </si>
  <si>
    <t>1J6RdY)@=3Yf</t>
  </si>
  <si>
    <t>CAJURU</t>
  </si>
  <si>
    <t>1J6t_&lt;\dt^vf</t>
  </si>
  <si>
    <t>CAMPINA DO MONTE ALEGRE</t>
  </si>
  <si>
    <t>1J6Rz{;AJwOf</t>
  </si>
  <si>
    <t>1J6tL4:8Z?Sf</t>
  </si>
  <si>
    <t>CAMPO LIMPO PAULISTA</t>
  </si>
  <si>
    <t>1J6tnh:={R?p</t>
  </si>
  <si>
    <t>1J6trlyb{Ztf</t>
  </si>
  <si>
    <t>CAMPOS NOVOS PAULISTA</t>
  </si>
  <si>
    <t>1J6RrtM=y.*f</t>
  </si>
  <si>
    <t>1J6U,h6oUiU-</t>
  </si>
  <si>
    <t>CANAS</t>
  </si>
  <si>
    <t>1J6tSl,.D;*&gt;</t>
  </si>
  <si>
    <t>CÂNDIDO MOTA</t>
  </si>
  <si>
    <t>1J6RrLm?@J+p</t>
  </si>
  <si>
    <t>CÂNDIDO RODRIGUES</t>
  </si>
  <si>
    <t>1J6RE^P_b)4-</t>
  </si>
  <si>
    <t>CANITAR</t>
  </si>
  <si>
    <t>1J6RW]^3?Mz-</t>
  </si>
  <si>
    <t>1J6Rzwh{nZnp</t>
  </si>
  <si>
    <t>CAPELA DO ALTO</t>
  </si>
  <si>
    <t>1J6tm1i8BtS-</t>
  </si>
  <si>
    <t>1J6tlD+6^vv&gt;</t>
  </si>
  <si>
    <t>1J6tw+iAPggp</t>
  </si>
  <si>
    <t>CARAPICUÍBA</t>
  </si>
  <si>
    <t>1J6to,&lt;.*;Kp</t>
  </si>
  <si>
    <t>CARDOSO</t>
  </si>
  <si>
    <t>1J6R3E&lt;4D:.&gt;</t>
  </si>
  <si>
    <t>1J6tG4mZ^Rw-</t>
  </si>
  <si>
    <t>CÁSSIA DOS COQUEIROS</t>
  </si>
  <si>
    <t>1J6t_=E=BGK&gt;</t>
  </si>
  <si>
    <t>1J6R{jP^_)=p</t>
  </si>
  <si>
    <t>1J6Re@eZ]vwp</t>
  </si>
  <si>
    <t>CATIGUÁ</t>
  </si>
  <si>
    <t>1J6Re:d,OKMp</t>
  </si>
  <si>
    <t>1J6RByDLlTPf</t>
  </si>
  <si>
    <t>CERQUEIRA CÉSAR</t>
  </si>
  <si>
    <t>1J6RY]jvR9]&gt;</t>
  </si>
  <si>
    <t>CERQUILHO</t>
  </si>
  <si>
    <t>1J6tlQi2QM1&gt;</t>
  </si>
  <si>
    <t>1J6tlh+6c:gp</t>
  </si>
  <si>
    <t>CHARQUEADA</t>
  </si>
  <si>
    <t>1J6tH=UvDu6f</t>
  </si>
  <si>
    <t>CHAVANTES</t>
  </si>
  <si>
    <t>1J6RW{HG.4;-</t>
  </si>
  <si>
    <t>CLEMENTINA</t>
  </si>
  <si>
    <t>1J6Rbm*SXg&lt;p</t>
  </si>
  <si>
    <t>COLINA</t>
  </si>
  <si>
    <t>1J6RD_X*Uzu&gt;</t>
  </si>
  <si>
    <t>COLÔMBIA</t>
  </si>
  <si>
    <t>1J6R8TROEcWf</t>
  </si>
  <si>
    <t>CONCHAL</t>
  </si>
  <si>
    <t>1J6th@dSPQup</t>
  </si>
  <si>
    <t>CONCHAS</t>
  </si>
  <si>
    <t>1J6tl\ccP{3&gt;</t>
  </si>
  <si>
    <t>CORDEIRÓPOLIS</t>
  </si>
  <si>
    <t>1J6th^\P3\M&gt;</t>
  </si>
  <si>
    <t>COROADOS</t>
  </si>
  <si>
    <t>1J6Rbi+l3BP&gt;</t>
  </si>
  <si>
    <t>CORONEL MACEDO</t>
  </si>
  <si>
    <t>1J6RXDj_Udbp</t>
  </si>
  <si>
    <t>CORUMBATAÍ</t>
  </si>
  <si>
    <t>1J6tgXYw\++-</t>
  </si>
  <si>
    <t>COSMÓPOLIS</t>
  </si>
  <si>
    <t>1J6thKQ{ozPp</t>
  </si>
  <si>
    <t>COSMORAMA</t>
  </si>
  <si>
    <t>1J6RB*h]y)Pf</t>
  </si>
  <si>
    <t>COTIA</t>
  </si>
  <si>
    <t>1J6tMD\b.^Zp</t>
  </si>
  <si>
    <t>1J6t^Q@+T&lt;m-</t>
  </si>
  <si>
    <t>CRISTAIS PAULISTA</t>
  </si>
  <si>
    <t>1J6t.mr^9mAp</t>
  </si>
  <si>
    <t>CRUZÁLIA</t>
  </si>
  <si>
    <t>1J6RKOWMmOi-</t>
  </si>
  <si>
    <t>CRUZEIRO</t>
  </si>
  <si>
    <t>1J6tSGj@)49f</t>
  </si>
  <si>
    <t>CUBATÃO</t>
  </si>
  <si>
    <t>1J6toW7\:r\f</t>
  </si>
  <si>
    <t>1J6tW_{6ig^-</t>
  </si>
  <si>
    <t>DESCALVADO</t>
  </si>
  <si>
    <t>1J6tgcuM,E2p</t>
  </si>
  <si>
    <t>DIADEMA</t>
  </si>
  <si>
    <t>1J6to=_J\]gf</t>
  </si>
  <si>
    <t>DIRCE REIS</t>
  </si>
  <si>
    <t>1J6R+6G)7;tp</t>
  </si>
  <si>
    <t>DIVINOLÂNDIA</t>
  </si>
  <si>
    <t>1J6ti*ci{+.&gt;</t>
  </si>
  <si>
    <t>DOBRADA</t>
  </si>
  <si>
    <t>1J6REObm8\i-</t>
  </si>
  <si>
    <t>DOIS CÓRREGOS</t>
  </si>
  <si>
    <t>1J6Ru@WuSeOf</t>
  </si>
  <si>
    <t>DOLCINÓPOLIS</t>
  </si>
  <si>
    <t>1J6R@EotMt{p</t>
  </si>
  <si>
    <t>DOURADO</t>
  </si>
  <si>
    <t>1J6RTvcH:Y.-</t>
  </si>
  <si>
    <t>1J6R&lt;L6nHX1&gt;</t>
  </si>
  <si>
    <t>DUARTINA</t>
  </si>
  <si>
    <t>1J6RSd_l@v8-</t>
  </si>
  <si>
    <t>DUMONT</t>
  </si>
  <si>
    <t>1J6t^]hZBA{&gt;</t>
  </si>
  <si>
    <t>ECHAPORÃ</t>
  </si>
  <si>
    <t>1J6Rr+JWlHvp</t>
  </si>
  <si>
    <t>ELDORADO</t>
  </si>
  <si>
    <t>1J6S7yJRYTDf</t>
  </si>
  <si>
    <t>ELIAS FAUSTO</t>
  </si>
  <si>
    <t>1J6tL]LH7Xe&gt;</t>
  </si>
  <si>
    <t>ELISIÁRIO</t>
  </si>
  <si>
    <t>1J6Re?lJGJJ-</t>
  </si>
  <si>
    <t>EMBAÚBA</t>
  </si>
  <si>
    <t>1J6RdXe,j_2&gt;</t>
  </si>
  <si>
    <t>1J6to\M*G*yp</t>
  </si>
  <si>
    <t>EMBU-GUAÇU</t>
  </si>
  <si>
    <t>1J6toHASy:U&gt;</t>
  </si>
  <si>
    <t>EMILIANÓPOLIS</t>
  </si>
  <si>
    <t>1J6Ri{KTZ?,f</t>
  </si>
  <si>
    <t>ENGENHEIRO COELHO</t>
  </si>
  <si>
    <t>1J6th=&lt;w+27p</t>
  </si>
  <si>
    <t>1J6tiMQiTKcp</t>
  </si>
  <si>
    <t>ESPÍRITO SANTO DO TURVO</t>
  </si>
  <si>
    <t>1J6RSW8JoBn-</t>
  </si>
  <si>
    <t>ESTIVA GERBI</t>
  </si>
  <si>
    <t>1J6th6tLrd]p</t>
  </si>
  <si>
    <t>ESTRELA DO NORTE</t>
  </si>
  <si>
    <t>1J6Rj^^Ohwo&gt;</t>
  </si>
  <si>
    <t>ESTRELA D'OESTE</t>
  </si>
  <si>
    <t>1J6R3l8;7\?-</t>
  </si>
  <si>
    <t>EUCLIDES DA CUNHA PAULISTA</t>
  </si>
  <si>
    <t>1J6RHJBSK;@p</t>
  </si>
  <si>
    <t>FARTURA</t>
  </si>
  <si>
    <t>1J6RWwcR{HP-</t>
  </si>
  <si>
    <t>FERNANDO PRESTES</t>
  </si>
  <si>
    <t>1J6ReE3T7HJp</t>
  </si>
  <si>
    <t>1J6R3n7GP;E-</t>
  </si>
  <si>
    <t>FERNÃO</t>
  </si>
  <si>
    <t>1J6RS3rYruWf</t>
  </si>
  <si>
    <t>FERRAZ DE VASCONCELOS</t>
  </si>
  <si>
    <t>1J6to8bWE)6p</t>
  </si>
  <si>
    <t>FLORA RICA</t>
  </si>
  <si>
    <t>1J6Ri;U@@{_&gt;</t>
  </si>
  <si>
    <t>FLOREAL</t>
  </si>
  <si>
    <t>1J6RAb{]j,Ep</t>
  </si>
  <si>
    <t>FLÓRIDA PAULISTA</t>
  </si>
  <si>
    <t>1J6R&lt;ZW_?jRp</t>
  </si>
  <si>
    <t>FLORÍNIA</t>
  </si>
  <si>
    <t>1J6RO1wOSem&gt;</t>
  </si>
  <si>
    <t>FRANCA</t>
  </si>
  <si>
    <t>1J6t],eK*ODf</t>
  </si>
  <si>
    <t>FRANCISCO MORATO</t>
  </si>
  <si>
    <t>1J6tnhXem^\p</t>
  </si>
  <si>
    <t>1J6tnLt.yS8f</t>
  </si>
  <si>
    <t>GABRIEL MONTEIRO</t>
  </si>
  <si>
    <t>1J6R=YUb,Pjp</t>
  </si>
  <si>
    <t>GÁLIA</t>
  </si>
  <si>
    <t>1J6RS1LP,y1p</t>
  </si>
  <si>
    <t>1J6RRoY:.l+-</t>
  </si>
  <si>
    <t>GASTÃO VIDIGAL</t>
  </si>
  <si>
    <t>1J6RAJX@oQ]f</t>
  </si>
  <si>
    <t>GAVIÃO PEIXOTO</t>
  </si>
  <si>
    <t>1J6RT{LTQz,f</t>
  </si>
  <si>
    <t>GENERAL SALGADO</t>
  </si>
  <si>
    <t>1J6RA]PGl4Lf</t>
  </si>
  <si>
    <t>GETULINA</t>
  </si>
  <si>
    <t>1J6RQD]]2Q\f</t>
  </si>
  <si>
    <t>GLICÉRIO</t>
  </si>
  <si>
    <t>1J6RbJKJ6KXf</t>
  </si>
  <si>
    <t>1J6Rcmz\u:zf</t>
  </si>
  <si>
    <t>GUAIMBÊ</t>
  </si>
  <si>
    <t>1J6RQEv2HP]f</t>
  </si>
  <si>
    <t>1J6R9vRh6ePf</t>
  </si>
  <si>
    <t>GUAPIAÇU</t>
  </si>
  <si>
    <t>1J6Rdgwdzl\f</t>
  </si>
  <si>
    <t>GUAPIARA</t>
  </si>
  <si>
    <t>1J6S7]61h*3p</t>
  </si>
  <si>
    <t>GUARÁ</t>
  </si>
  <si>
    <t>1J6t\;*;iW^&gt;</t>
  </si>
  <si>
    <t>GUARAÇAÍ</t>
  </si>
  <si>
    <t>1J6R&lt;6)T^Hrf</t>
  </si>
  <si>
    <t>GUARACI</t>
  </si>
  <si>
    <t>1J6Rd1oHDJJp</t>
  </si>
  <si>
    <t>GUARANI D'OESTE</t>
  </si>
  <si>
    <t>1J6R3_Bijzo-</t>
  </si>
  <si>
    <t>GUARANTÃ</t>
  </si>
  <si>
    <t>1J6RR=QeBdmp</t>
  </si>
  <si>
    <t>GUARARAPES</t>
  </si>
  <si>
    <t>1J6R=c2*e^r-</t>
  </si>
  <si>
    <t>GUARAREMA</t>
  </si>
  <si>
    <t>1J6tOoy+jnlp</t>
  </si>
  <si>
    <t>1J6trZLu]3bp</t>
  </si>
  <si>
    <t>GUAREÍ</t>
  </si>
  <si>
    <t>1J6RyZ@lvX*-</t>
  </si>
  <si>
    <t>1J6RERc8J,of</t>
  </si>
  <si>
    <t>GUARUJÁ</t>
  </si>
  <si>
    <t>1J6tPmG:mi+p</t>
  </si>
  <si>
    <t>1J6to1J*4;^f</t>
  </si>
  <si>
    <t>GUATAPARÁ</t>
  </si>
  <si>
    <t>1J6t^l?cS3:-</t>
  </si>
  <si>
    <t>GUZOLÂNDIA</t>
  </si>
  <si>
    <t>1J6R+BPLBemf</t>
  </si>
  <si>
    <t>HERCULÂNDIA</t>
  </si>
  <si>
    <t>1J6RQGmwyl,p</t>
  </si>
  <si>
    <t>1J6thS&lt;zQ&lt;lf</t>
  </si>
  <si>
    <t>HORTOLÂNDIA</t>
  </si>
  <si>
    <t>1J6tL;_24g2&gt;</t>
  </si>
  <si>
    <t>IACANGA</t>
  </si>
  <si>
    <t>1J6Rt=i;GW.&gt;</t>
  </si>
  <si>
    <t>IACRI</t>
  </si>
  <si>
    <t>1J6RJc)?,2H-</t>
  </si>
  <si>
    <t>IARAS</t>
  </si>
  <si>
    <t>1J6RY*Jbri?p</t>
  </si>
  <si>
    <t>IBATÉ</t>
  </si>
  <si>
    <t>1J6tggdOYJdp</t>
  </si>
  <si>
    <t>IBIRÁ</t>
  </si>
  <si>
    <t>1J6Re)jU)QXp</t>
  </si>
  <si>
    <t>IBIRAREMA</t>
  </si>
  <si>
    <t>1J6RrXL]yT+-</t>
  </si>
  <si>
    <t>IBITINGA</t>
  </si>
  <si>
    <t>1J6Rt4UrK6O-</t>
  </si>
  <si>
    <t>IBIÚNA</t>
  </si>
  <si>
    <t>1J6tM+MU*]Xp</t>
  </si>
  <si>
    <t>ICÉM</t>
  </si>
  <si>
    <t>1J6R8lz:Py7f</t>
  </si>
  <si>
    <t>IEPÊ</t>
  </si>
  <si>
    <t>1J6RjuY9L7_&gt;</t>
  </si>
  <si>
    <t>IGARAÇU DO TIETÊ</t>
  </si>
  <si>
    <t>1J6Ru_O;\6uf</t>
  </si>
  <si>
    <t>IGARAPAVA</t>
  </si>
  <si>
    <t>1J6t,ALhzz{&gt;</t>
  </si>
  <si>
    <t>1J6tOGPM^=vp</t>
  </si>
  <si>
    <t>1J6U,6ZoR&lt;B&gt;</t>
  </si>
  <si>
    <t>ILHA COMPRIDA</t>
  </si>
  <si>
    <t>1J6U,8e_2i?p</t>
  </si>
  <si>
    <t>ILHA SOLTEIRA</t>
  </si>
  <si>
    <t>1J6R{1:+??c-</t>
  </si>
  <si>
    <t>ILHABELA</t>
  </si>
  <si>
    <t>1J6twQl1Xuup</t>
  </si>
  <si>
    <t>INDAIATUBA</t>
  </si>
  <si>
    <t>1J6tL={W_g^f</t>
  </si>
  <si>
    <t>INDIANA</t>
  </si>
  <si>
    <t>1J6RiX3oBi*p</t>
  </si>
  <si>
    <t>INDIAPORÃ</t>
  </si>
  <si>
    <t>1J6R3{:9*hwp</t>
  </si>
  <si>
    <t>INÚBIA PAULISTA</t>
  </si>
  <si>
    <t>1J6RJ.o7QQQ-</t>
  </si>
  <si>
    <t>IPAUSSU</t>
  </si>
  <si>
    <t>1J6RW+MKPSAp</t>
  </si>
  <si>
    <t>IPERÓ</t>
  </si>
  <si>
    <t>1J6tlvze^76f</t>
  </si>
  <si>
    <t>IPEÚNA</t>
  </si>
  <si>
    <t>1J6tHAv4]Tlf</t>
  </si>
  <si>
    <t>IPIGUÁ</t>
  </si>
  <si>
    <t>1J6RBe?66UXp</t>
  </si>
  <si>
    <t>IPORANGA</t>
  </si>
  <si>
    <t>1J6S7mDz@\+-</t>
  </si>
  <si>
    <t>IPUÃ</t>
  </si>
  <si>
    <t>1J6t\)3T^hz-</t>
  </si>
  <si>
    <t>IRACEMÁPOLIS</t>
  </si>
  <si>
    <t>1J6tHThrT9Qf</t>
  </si>
  <si>
    <t>IRAPUÃ</t>
  </si>
  <si>
    <t>1J6Rce\R6@j&gt;</t>
  </si>
  <si>
    <t>IRAPURU</t>
  </si>
  <si>
    <t>1J6R&lt;w.t6&lt;Af</t>
  </si>
  <si>
    <t>ITABERÁ</t>
  </si>
  <si>
    <t>1J6RZhSrtLlp</t>
  </si>
  <si>
    <t>1J6RYoOrwwDp</t>
  </si>
  <si>
    <t>ITAJOBI</t>
  </si>
  <si>
    <t>1J6Re&lt;YK&lt;Z&lt;p</t>
  </si>
  <si>
    <t>ITAJU</t>
  </si>
  <si>
    <t>1J6RttHztjyp</t>
  </si>
  <si>
    <t>1J6U:\7bhJ?f</t>
  </si>
  <si>
    <t>1J6S8237rK;&gt;</t>
  </si>
  <si>
    <t>1J6to^L]J:6f</t>
  </si>
  <si>
    <t>ITAPETININGA</t>
  </si>
  <si>
    <t>1J6tm\*UvLOf</t>
  </si>
  <si>
    <t>ITAPEVA</t>
  </si>
  <si>
    <t>1J6RZX]nmuTp</t>
  </si>
  <si>
    <t>ITAPEVI</t>
  </si>
  <si>
    <t>1J6tM9g{ZW1&gt;</t>
  </si>
  <si>
    <t>ITAPIRA</t>
  </si>
  <si>
    <t>1J6tj\v:@L\&gt;</t>
  </si>
  <si>
    <t>ITAPIRAPUÃ PAULISTA</t>
  </si>
  <si>
    <t>1J6S6M.t9{+f</t>
  </si>
  <si>
    <t>ITÁPOLIS</t>
  </si>
  <si>
    <t>1J6ReZg^B:=&gt;</t>
  </si>
  <si>
    <t>1J6RXcH1e3dp</t>
  </si>
  <si>
    <t>ITAPUÍ</t>
  </si>
  <si>
    <t>1J6RU7:]_Wbp</t>
  </si>
  <si>
    <t>ITAPURA</t>
  </si>
  <si>
    <t>1J6R{{lUbZyp</t>
  </si>
  <si>
    <t>ITAQUAQUECETUBA</t>
  </si>
  <si>
    <t>1J6to6toB\*p</t>
  </si>
  <si>
    <t>1J6S29)Jh3)p</t>
  </si>
  <si>
    <t>ITARIRI</t>
  </si>
  <si>
    <t>1J6U*=ero=&lt;-</t>
  </si>
  <si>
    <t>1J6tn\{r;71f</t>
  </si>
  <si>
    <t>ITATINGA</t>
  </si>
  <si>
    <t>1J6Ry^S@HyK-</t>
  </si>
  <si>
    <t>ITIRAPINA</t>
  </si>
  <si>
    <t>1J6tH;]u:Su-</t>
  </si>
  <si>
    <t>ITIRAPUÃ</t>
  </si>
  <si>
    <t>1J6t]+LZruHp</t>
  </si>
  <si>
    <t>ITOBI</t>
  </si>
  <si>
    <t>1J6tG8b\SWPp</t>
  </si>
  <si>
    <t>ITU</t>
  </si>
  <si>
    <t>1J6tLjL&lt;1U6&gt;</t>
  </si>
  <si>
    <t>1J6tLR+&lt;QWRf</t>
  </si>
  <si>
    <t>ITUVERAVA</t>
  </si>
  <si>
    <t>1J6t,OY\ytbp</t>
  </si>
  <si>
    <t>JABORANDI</t>
  </si>
  <si>
    <t>1J6RD=&lt;Sw,*p</t>
  </si>
  <si>
    <t>JABOTICABAL</t>
  </si>
  <si>
    <t>1J6REb13dctf</t>
  </si>
  <si>
    <t>JACAREÍ</t>
  </si>
  <si>
    <t>1J6tOODghJ2-</t>
  </si>
  <si>
    <t>JACI</t>
  </si>
  <si>
    <t>1J6RBO7hH]@&gt;</t>
  </si>
  <si>
    <t>JACUPIRANGA</t>
  </si>
  <si>
    <t>1J6U,)Z*6c3-</t>
  </si>
  <si>
    <t>JAGUARIÚNA</t>
  </si>
  <si>
    <t>1J6thY+LmYWf</t>
  </si>
  <si>
    <t>JALES</t>
  </si>
  <si>
    <t>1J6R@Uz)=MZ-</t>
  </si>
  <si>
    <t>JAMBEIRO</t>
  </si>
  <si>
    <t>1J6tOur=i4cp</t>
  </si>
  <si>
    <t>JANDIRA</t>
  </si>
  <si>
    <t>1J6tM9+ieX)f</t>
  </si>
  <si>
    <t>JARDINÓPOLIS</t>
  </si>
  <si>
    <t>1J6t\Pzctr.-</t>
  </si>
  <si>
    <t>JARINU</t>
  </si>
  <si>
    <t>1J6tn_S*Httf</t>
  </si>
  <si>
    <t>JAÚ</t>
  </si>
  <si>
    <t>1J6Ru*P:hvL&gt;</t>
  </si>
  <si>
    <t>JERIQUARA</t>
  </si>
  <si>
    <t>1J6t,Y&lt;v?A2-</t>
  </si>
  <si>
    <t>JOANÓPOLIS</t>
  </si>
  <si>
    <t>1J6tn9dSn\cf</t>
  </si>
  <si>
    <t>JOÃO RAMALHO</t>
  </si>
  <si>
    <t>1J6RK;DdJWD&gt;</t>
  </si>
  <si>
    <t>JOSÉ BONIFÁCIO</t>
  </si>
  <si>
    <t>1J6Rc:+l8L4f</t>
  </si>
  <si>
    <t>JÚLIO MESQUITA</t>
  </si>
  <si>
    <t>1J6RRH7zX2;p</t>
  </si>
  <si>
    <t>JUMIRIM</t>
  </si>
  <si>
    <t>1J6tl=AM8Y\f</t>
  </si>
  <si>
    <t>JUNDIAÍ</t>
  </si>
  <si>
    <t>1J6tLTW;Yb7p</t>
  </si>
  <si>
    <t>JUNQUEIRÓPOLIS</t>
  </si>
  <si>
    <t>1J6R&lt;O^T?B6p</t>
  </si>
  <si>
    <t>JUQUIÁ</t>
  </si>
  <si>
    <t>1J6U)cWvb7Gf</t>
  </si>
  <si>
    <t>1J6tMWHvA.+f</t>
  </si>
  <si>
    <t>1J6tve_DZT3p</t>
  </si>
  <si>
    <t>1J6tl+mOP9D&gt;</t>
  </si>
  <si>
    <t>LAVÍNIA</t>
  </si>
  <si>
    <t>1J6R=,ntXbOp</t>
  </si>
  <si>
    <t>LAVRINHAS</t>
  </si>
  <si>
    <t>1J6tSiGBbwW-</t>
  </si>
  <si>
    <t>LEME</t>
  </si>
  <si>
    <t>1J6tGmEdU&lt;yf</t>
  </si>
  <si>
    <t>LENÇÓIS PAULISTA</t>
  </si>
  <si>
    <t>1J6RUtM4LvY-</t>
  </si>
  <si>
    <t>LIMEIRA</t>
  </si>
  <si>
    <t>1J6thge=v*n-</t>
  </si>
  <si>
    <t>1J6tj&lt;X:3n6p</t>
  </si>
  <si>
    <t>1J6RR*Qh&lt;^8-</t>
  </si>
  <si>
    <t>1J6tryhg3Ug-</t>
  </si>
  <si>
    <t>LOURDES</t>
  </si>
  <si>
    <t>1J6RAP.AogS-</t>
  </si>
  <si>
    <t>LOUVEIRA</t>
  </si>
  <si>
    <t>1J6tLeeDWQE-</t>
  </si>
  <si>
    <t>LUCÉLIA</t>
  </si>
  <si>
    <t>1J6RJ,B*wQR&gt;</t>
  </si>
  <si>
    <t>LUCIANÓPOLIS</t>
  </si>
  <si>
    <t>1J6RSArJt*3&gt;</t>
  </si>
  <si>
    <t>LUÍS ANTÔNIO</t>
  </si>
  <si>
    <t>1J6t^vZWiM?p</t>
  </si>
  <si>
    <t>LUIZIÂNIA</t>
  </si>
  <si>
    <t>1J6RQ*tY_XH&gt;</t>
  </si>
  <si>
    <t>LUPÉRCIO</t>
  </si>
  <si>
    <t>1J6RS\bUA&lt;Zf</t>
  </si>
  <si>
    <t>LUTÉCIA</t>
  </si>
  <si>
    <t>1J6Rr.g.BHvf</t>
  </si>
  <si>
    <t>MACATUBA</t>
  </si>
  <si>
    <t>1J6RUEjEbwDp</t>
  </si>
  <si>
    <t>MACAUBAL</t>
  </si>
  <si>
    <t>1J6RAtXw1Mu-</t>
  </si>
  <si>
    <t>MACEDÔNIA</t>
  </si>
  <si>
    <t>1J6R3JAR)^m&gt;</t>
  </si>
  <si>
    <t>MAGDA</t>
  </si>
  <si>
    <t>1J6RA+M;Qm8p</t>
  </si>
  <si>
    <t>MAIRINQUE</t>
  </si>
  <si>
    <t>1J6tM@RbeBRp</t>
  </si>
  <si>
    <t>MAIRIPORÃ</t>
  </si>
  <si>
    <t>1J6tnOQEj+lf</t>
  </si>
  <si>
    <t>MANDURI</t>
  </si>
  <si>
    <t>1J6RWD{&lt;rjM&gt;</t>
  </si>
  <si>
    <t>MARABÁ PAULISTA</t>
  </si>
  <si>
    <t>1J6RGOEDUEt-</t>
  </si>
  <si>
    <t>MARACAÍ</t>
  </si>
  <si>
    <t>1J6RKS:JnvOp</t>
  </si>
  <si>
    <t>MARAPOAMA</t>
  </si>
  <si>
    <t>1J6Re_2iorRp</t>
  </si>
  <si>
    <t>MARIÁPOLIS</t>
  </si>
  <si>
    <t>1J6Rid@Si49p</t>
  </si>
  <si>
    <t>1J6RQZYeWgj&gt;</t>
  </si>
  <si>
    <t>MARINÓPOLIS</t>
  </si>
  <si>
    <t>1J6R+;.BUG{&gt;</t>
  </si>
  <si>
    <t>MARTINÓPOLIS</t>
  </si>
  <si>
    <t>1J6RiYwDS;vf</t>
  </si>
  <si>
    <t>MATÃO</t>
  </si>
  <si>
    <t>1J6REPuA+QQp</t>
  </si>
  <si>
    <t>MAUÁ</t>
  </si>
  <si>
    <t>1J6toc?EB8z-</t>
  </si>
  <si>
    <t>MENDONÇA</t>
  </si>
  <si>
    <t>1J6Rc+6.Xl{p</t>
  </si>
  <si>
    <t>MERIDIANO</t>
  </si>
  <si>
    <t>1J6R3P6{;2cf</t>
  </si>
  <si>
    <t>1J6R@4z;?*Z&gt;</t>
  </si>
  <si>
    <t>MIGUELÓPOLIS</t>
  </si>
  <si>
    <t>1J6t,gKb8eh&gt;</t>
  </si>
  <si>
    <t>MINEIROS DO TIETÊ</t>
  </si>
  <si>
    <t>1J6Ru{ebt1_f</t>
  </si>
  <si>
    <t>1J6R3A:EK2)f</t>
  </si>
  <si>
    <t>1J6U*^\w1\w-</t>
  </si>
  <si>
    <t>MIRANDÓPOLIS</t>
  </si>
  <si>
    <t>1J6R&lt;9=9*;R&gt;</t>
  </si>
  <si>
    <t>MIRANTE DO PARANAPANEMA</t>
  </si>
  <si>
    <t>1J6Rh1YR{?\p</t>
  </si>
  <si>
    <t>MIRASSOL</t>
  </si>
  <si>
    <t>1J6RBr4R_Pcp</t>
  </si>
  <si>
    <t>MIRASSOLÂNDIA</t>
  </si>
  <si>
    <t>1J6RBBi3z&lt;;f</t>
  </si>
  <si>
    <t>MOCOCA</t>
  </si>
  <si>
    <t>1J6t_Um;7wv-</t>
  </si>
  <si>
    <t>MOGI DAS CRUZES</t>
  </si>
  <si>
    <t>1J6tP,8YARQp</t>
  </si>
  <si>
    <t>1J6th8yG+gL-</t>
  </si>
  <si>
    <t>MOGI MIRIM</t>
  </si>
  <si>
    <t>1J6thdSu_9Kp</t>
  </si>
  <si>
    <t>MOMBUCA</t>
  </si>
  <si>
    <t>1J6tl8AdJ:^f</t>
  </si>
  <si>
    <t>MONÇÕES</t>
  </si>
  <si>
    <t>1J6RAru;o6np</t>
  </si>
  <si>
    <t>MONGAGUÁ</t>
  </si>
  <si>
    <t>1J6U:;LSD]8&gt;</t>
  </si>
  <si>
    <t>1J6tjn;.2zU&gt;</t>
  </si>
  <si>
    <t>1J6RE&lt;.8Acyp</t>
  </si>
  <si>
    <t>MONTE APRAZÍVEL</t>
  </si>
  <si>
    <t>1J6RBigL\;bp</t>
  </si>
  <si>
    <t>MONTE AZUL PAULISTA</t>
  </si>
  <si>
    <t>1J6RDl{LEMK&gt;</t>
  </si>
  <si>
    <t>MONTE CASTELO</t>
  </si>
  <si>
    <t>1J6R&lt;_iz?n2-</t>
  </si>
  <si>
    <t>MONTE MOR</t>
  </si>
  <si>
    <t>1J6tL.TD^R;p</t>
  </si>
  <si>
    <t>MONTEIRO LOBATO</t>
  </si>
  <si>
    <t>1J6tO4KDR@Gp</t>
  </si>
  <si>
    <t>MORRO AGUDO</t>
  </si>
  <si>
    <t>1J6t\g)Qtmdp</t>
  </si>
  <si>
    <t>MORUNGABA</t>
  </si>
  <si>
    <t>1J6tn)u=ElH-</t>
  </si>
  <si>
    <t>1J6REYe4;A6p</t>
  </si>
  <si>
    <t>MURUTINGA DO SUL</t>
  </si>
  <si>
    <t>1J6R{XGcghDp</t>
  </si>
  <si>
    <t>NANTES</t>
  </si>
  <si>
    <t>1J6RjS4S9)1&gt;</t>
  </si>
  <si>
    <t>NARANDIBA</t>
  </si>
  <si>
    <t>1J6Rj]Dj@Q2f</t>
  </si>
  <si>
    <t>NATIVIDADE DA SERRA</t>
  </si>
  <si>
    <t>1J6tvod8)P&lt;&gt;</t>
  </si>
  <si>
    <t>1J6tntH9.@jf</t>
  </si>
  <si>
    <t>NEVES PAULISTA</t>
  </si>
  <si>
    <t>1J6RBKG^&lt;cA-</t>
  </si>
  <si>
    <t>NHANDEARA</t>
  </si>
  <si>
    <t>1J6RAcRJ\ZJ-</t>
  </si>
  <si>
    <t>NIPOÃ</t>
  </si>
  <si>
    <t>1J6RBL_m*G_-</t>
  </si>
  <si>
    <t>NOVA ALIANÇA</t>
  </si>
  <si>
    <t>1J6RBwYG@3=&gt;</t>
  </si>
  <si>
    <t>NOVA CAMPINA</t>
  </si>
  <si>
    <t>1J6S638L7S6-</t>
  </si>
  <si>
    <t>NOVA CANAÃ PAULISTA</t>
  </si>
  <si>
    <t>1J6R@MbSPtU-</t>
  </si>
  <si>
    <t>NOVA CASTILHO</t>
  </si>
  <si>
    <t>1J6RAGR)jWY&gt;</t>
  </si>
  <si>
    <t>NOVA EUROPA</t>
  </si>
  <si>
    <t>1J6RT]:68omp</t>
  </si>
  <si>
    <t>NOVA GRANADA</t>
  </si>
  <si>
    <t>1J6RB9&lt;\tULp</t>
  </si>
  <si>
    <t>NOVA GUATAPORANGA</t>
  </si>
  <si>
    <t>1J6R&lt;g*9JoQp</t>
  </si>
  <si>
    <t>NOVA INDEPENDÊNCIA</t>
  </si>
  <si>
    <t>1J6R&lt;?:9GD8f</t>
  </si>
  <si>
    <t>1J6RAjSn9mK-</t>
  </si>
  <si>
    <t>NOVA ODESSA</t>
  </si>
  <si>
    <t>1J6tho]zY1K-</t>
  </si>
  <si>
    <t>NOVAIS</t>
  </si>
  <si>
    <t>1J6RdwR)?v^f</t>
  </si>
  <si>
    <t>1J6ReHvwS&lt;H-</t>
  </si>
  <si>
    <t>NUPORANGA</t>
  </si>
  <si>
    <t>1J6t\Q*KW:{-</t>
  </si>
  <si>
    <t>OCAUÇU</t>
  </si>
  <si>
    <t>1J6RrDL+j3Mp</t>
  </si>
  <si>
    <t>ÓLEO</t>
  </si>
  <si>
    <t>1J6RW8T9H1wp</t>
  </si>
  <si>
    <t>1J6RdQ4;ieE-</t>
  </si>
  <si>
    <t>ONDA VERDE</t>
  </si>
  <si>
    <t>1J6RBDbnc,Tp</t>
  </si>
  <si>
    <t>ORIENTE</t>
  </si>
  <si>
    <t>1J6RQvzcB{Sp</t>
  </si>
  <si>
    <t>ORINDIÚVA</t>
  </si>
  <si>
    <t>1J6R4tUSY+Zp</t>
  </si>
  <si>
    <t>1J6t\&lt;od4&lt;u-</t>
  </si>
  <si>
    <t>OSASCO</t>
  </si>
  <si>
    <t>1J6to,DZgo&lt;-</t>
  </si>
  <si>
    <t>OSCAR BRESSANE</t>
  </si>
  <si>
    <t>1J6Rr?@=i&lt;j&gt;</t>
  </si>
  <si>
    <t>OSVALDO CRUZ</t>
  </si>
  <si>
    <t>1J6RJ{3Xjvcp</t>
  </si>
  <si>
    <t>OURINHOS</t>
  </si>
  <si>
    <t>1J6Rv9zS=oT-</t>
  </si>
  <si>
    <t>OURO VERDE</t>
  </si>
  <si>
    <t>1J6R_y3c*9+&gt;</t>
  </si>
  <si>
    <t>OUROESTE</t>
  </si>
  <si>
    <t>1J6R3]];clDp</t>
  </si>
  <si>
    <t>PACAEMBU</t>
  </si>
  <si>
    <t>1J6R&lt;X:uhXlf</t>
  </si>
  <si>
    <t>PALESTINA</t>
  </si>
  <si>
    <t>1J6R4XR97W;-</t>
  </si>
  <si>
    <t>PALMARES PAULISTA</t>
  </si>
  <si>
    <t>1J6Re6hnuYe&gt;</t>
  </si>
  <si>
    <t>PALMEIRA D'OESTE</t>
  </si>
  <si>
    <t>1J6R@wllX^z-</t>
  </si>
  <si>
    <t>PALMITAL</t>
  </si>
  <si>
    <t>1J6RrP&lt;{94d&gt;</t>
  </si>
  <si>
    <t>1J6R_R=E_8B-</t>
  </si>
  <si>
    <t>PARAGUAÇU PAULISTA</t>
  </si>
  <si>
    <t>1J6RKdQ;K)^p</t>
  </si>
  <si>
    <t>1J6tOzEB1BHp</t>
  </si>
  <si>
    <t>PARAÍSO</t>
  </si>
  <si>
    <t>1J6RdZvKP9hp</t>
  </si>
  <si>
    <t>PARANAPANEMA</t>
  </si>
  <si>
    <t>1J6RYz_Bgz2-</t>
  </si>
  <si>
    <t>PARANAPUÃ</t>
  </si>
  <si>
    <t>1J6R@eK.+{+p</t>
  </si>
  <si>
    <t>PARAPUÃ</t>
  </si>
  <si>
    <t>1J6RJ+2,7.wp</t>
  </si>
  <si>
    <t>PARDINHO</t>
  </si>
  <si>
    <t>1J6Ry=DH\Q6p</t>
  </si>
  <si>
    <t>1J6U,?;Q\T]p</t>
  </si>
  <si>
    <t>PARISI</t>
  </si>
  <si>
    <t>1J6R3Y\jW:Y&gt;</t>
  </si>
  <si>
    <t>PATROCÍNIO PAULISTA</t>
  </si>
  <si>
    <t>1J6t]{OlU2]-</t>
  </si>
  <si>
    <t>1J6R_cv7:*h&gt;</t>
  </si>
  <si>
    <t>PAULÍNIA</t>
  </si>
  <si>
    <t>1J6thw)t+9.&gt;</t>
  </si>
  <si>
    <t>PAULISTÂNIA</t>
  </si>
  <si>
    <t>1J6RStGW1r;f</t>
  </si>
  <si>
    <t>PAULO DE FARIA</t>
  </si>
  <si>
    <t>1J6R4dhS.gOf</t>
  </si>
  <si>
    <t>PEDERNEIRAS</t>
  </si>
  <si>
    <t>1J6RU8KcJLm&gt;</t>
  </si>
  <si>
    <t>PEDRA BELA</t>
  </si>
  <si>
    <t>1J6tjXbX1r.-</t>
  </si>
  <si>
    <t>PEDRANÓPOLIS</t>
  </si>
  <si>
    <t>1J6R3rRXB.lp</t>
  </si>
  <si>
    <t>1J6t,uSz@2Z&gt;</t>
  </si>
  <si>
    <t>1J6thyvLG*B&gt;</t>
  </si>
  <si>
    <t>1J6RKPSooWl&gt;</t>
  </si>
  <si>
    <t>1J6U*=,UtcP&gt;</t>
  </si>
  <si>
    <t>PENÁPOLIS</t>
  </si>
  <si>
    <t>1J6RbS.TMPQf</t>
  </si>
  <si>
    <t>PEREIRA BARRETO</t>
  </si>
  <si>
    <t>1J6R{DOdnbHf</t>
  </si>
  <si>
    <t>PEREIRAS</t>
  </si>
  <si>
    <t>1J6tl_?LMtX&gt;</t>
  </si>
  <si>
    <t>PERUÍBE</t>
  </si>
  <si>
    <t>1J6U*eLr{Zep</t>
  </si>
  <si>
    <t>PIACATU</t>
  </si>
  <si>
    <t>1J6R=ZGevSP&gt;</t>
  </si>
  <si>
    <t>1J6tM^v4t3;p</t>
  </si>
  <si>
    <t>PILAR DO SUL</t>
  </si>
  <si>
    <t>1J6tmr2m:jtf</t>
  </si>
  <si>
    <t>PINDAMONHANGABA</t>
  </si>
  <si>
    <t>1J6tv?B\BXy-</t>
  </si>
  <si>
    <t>PINDORAMA</t>
  </si>
  <si>
    <t>1J6ReA6nmJ&lt;-</t>
  </si>
  <si>
    <t>PINHALZINHO</t>
  </si>
  <si>
    <t>1J6tjPAY7eh&gt;</t>
  </si>
  <si>
    <t>PIQUEROBI</t>
  </si>
  <si>
    <t>1J6RGE_]S4;&gt;</t>
  </si>
  <si>
    <t>1J6trU:U^ovp</t>
  </si>
  <si>
    <t>PIRACAIA</t>
  </si>
  <si>
    <t>1J6tndXbw?hf</t>
  </si>
  <si>
    <t>1J6tHWQje+W-</t>
  </si>
  <si>
    <t>1J6RWtOj+j^f</t>
  </si>
  <si>
    <t>PIRAJUÍ</t>
  </si>
  <si>
    <t>1J6RRROw;tbp</t>
  </si>
  <si>
    <t>PIRANGI</t>
  </si>
  <si>
    <t>1J6Re7zjDyE-</t>
  </si>
  <si>
    <t>PIRAPORA DO BOM JESUS</t>
  </si>
  <si>
    <t>1J6tLZG_h6z-</t>
  </si>
  <si>
    <t>1J6Rj:h7=R@-</t>
  </si>
  <si>
    <t>PIRASSUNUNGA</t>
  </si>
  <si>
    <t>1J6tGgOzRU\&gt;</t>
  </si>
  <si>
    <t>PIRATININGA</t>
  </si>
  <si>
    <t>1J6RU]cbWiRf</t>
  </si>
  <si>
    <t>PITANGUEIRAS</t>
  </si>
  <si>
    <t>1J6RDXy,OJ+-</t>
  </si>
  <si>
    <t>PLANALTO</t>
  </si>
  <si>
    <t>1J6Rb7*bXZJ-</t>
  </si>
  <si>
    <t>1J6RrK=;&lt;zJf</t>
  </si>
  <si>
    <t>1J6to8dE]Xt-</t>
  </si>
  <si>
    <t>POLONI</t>
  </si>
  <si>
    <t>1J6RBgW3mGr-</t>
  </si>
  <si>
    <t>POMPÉIA</t>
  </si>
  <si>
    <t>1J6RQOdz;o.p</t>
  </si>
  <si>
    <t>1J6RR8celtG-</t>
  </si>
  <si>
    <t>PONTAL</t>
  </si>
  <si>
    <t>1J6t\moWAYJf</t>
  </si>
  <si>
    <t>PONTALINDA</t>
  </si>
  <si>
    <t>1J6R+7.eodJ&gt;</t>
  </si>
  <si>
    <t>PONTES GESTAL</t>
  </si>
  <si>
    <t>1J6R4ihoH@8-</t>
  </si>
  <si>
    <t>POPULINA</t>
  </si>
  <si>
    <t>1J6R@9gJy{h&gt;</t>
  </si>
  <si>
    <t>PORANGABA</t>
  </si>
  <si>
    <t>1J6RyTGLdr\-</t>
  </si>
  <si>
    <t>PORTO FELIZ</t>
  </si>
  <si>
    <t>1J6tlu*oTun&gt;</t>
  </si>
  <si>
    <t>PORTO FERREIRA</t>
  </si>
  <si>
    <t>1J6tgE2EZiUp</t>
  </si>
  <si>
    <t>1J6tv2@,:BQf</t>
  </si>
  <si>
    <t>POTIRENDABA</t>
  </si>
  <si>
    <t>1J6Rc6@ynXyf</t>
  </si>
  <si>
    <t>PRACINHA</t>
  </si>
  <si>
    <t>1J6RiDXy^HL-</t>
  </si>
  <si>
    <t>PRADÓPOLIS</t>
  </si>
  <si>
    <t>1J6RETE4TRlp</t>
  </si>
  <si>
    <t>1J6toXTzH9Kf</t>
  </si>
  <si>
    <t>1J6RUzy7@GGf</t>
  </si>
  <si>
    <t>PRESIDENTE ALVES</t>
  </si>
  <si>
    <t>1J6RRWBK;)c&gt;</t>
  </si>
  <si>
    <t>PRESIDENTE BERNARDES</t>
  </si>
  <si>
    <t>1J6Rih;t\i8f</t>
  </si>
  <si>
    <t>PRESIDENTE EPITÁCIO</t>
  </si>
  <si>
    <t>1J6RG?lotlWf</t>
  </si>
  <si>
    <t>PRESIDENTE PRUDENTE</t>
  </si>
  <si>
    <t>1J6RiORuA6cp</t>
  </si>
  <si>
    <t>PRESIDENTE VENCESLAU</t>
  </si>
  <si>
    <t>1J6RGcBBM^=&gt;</t>
  </si>
  <si>
    <t>PROMISSÃO</t>
  </si>
  <si>
    <t>1J6RclleS{Pf</t>
  </si>
  <si>
    <t>QUADRA</t>
  </si>
  <si>
    <t>1J6tll],ywv&gt;</t>
  </si>
  <si>
    <t>QUATÁ</t>
  </si>
  <si>
    <t>1J6RK1D?3Ty-</t>
  </si>
  <si>
    <t>QUEIROZ</t>
  </si>
  <si>
    <t>1J6RQ+\,^t@-</t>
  </si>
  <si>
    <t>QUELUZ</t>
  </si>
  <si>
    <t>1J6tSJ4D&lt;\z-</t>
  </si>
  <si>
    <t>QUINTANA</t>
  </si>
  <si>
    <t>1J6RQjm@zg_f</t>
  </si>
  <si>
    <t>RAFARD</t>
  </si>
  <si>
    <t>1J6tlD^BKhjp</t>
  </si>
  <si>
    <t>RANCHARIA</t>
  </si>
  <si>
    <t>1J6RJooZdhw-</t>
  </si>
  <si>
    <t>REDENÇÃO DA SERRA</t>
  </si>
  <si>
    <t>1J6tvhX.?L=p</t>
  </si>
  <si>
    <t>REGENTE FEIJÓ</t>
  </si>
  <si>
    <t>1J6RiwZ6dun-</t>
  </si>
  <si>
    <t>REGINÓPOLIS</t>
  </si>
  <si>
    <t>1J6Rt^=R8@H&gt;</t>
  </si>
  <si>
    <t>1J6U)n9B{+.&gt;</t>
  </si>
  <si>
    <t>RESTINGA</t>
  </si>
  <si>
    <t>1J6t\DBYnE*f</t>
  </si>
  <si>
    <t>RIBEIRA</t>
  </si>
  <si>
    <t>1J6S8;+jb@e-</t>
  </si>
  <si>
    <t>RIBEIRÃO BONITO</t>
  </si>
  <si>
    <t>1J6RTUOePMef</t>
  </si>
  <si>
    <t>RIBEIRÃO BRANCO</t>
  </si>
  <si>
    <t>1J6S6dR*ODUf</t>
  </si>
  <si>
    <t>RIBEIRÃO CORRENTE</t>
  </si>
  <si>
    <t>1J6t\6&lt;iW_X&gt;</t>
  </si>
  <si>
    <t>RIBEIRÃO DO SUL</t>
  </si>
  <si>
    <t>1J6Rrz^BA.2-</t>
  </si>
  <si>
    <t>RIBEIRÃO DOS ÍNDIOS</t>
  </si>
  <si>
    <t>1J6Ri\y_:4E&gt;</t>
  </si>
  <si>
    <t>1J6S7;zc\GJ&gt;</t>
  </si>
  <si>
    <t>RIBEIRÃO PIRES</t>
  </si>
  <si>
    <t>1J6tocubjPBf</t>
  </si>
  <si>
    <t>RIBEIRÃO PRETO</t>
  </si>
  <si>
    <t>1J6t^+;Kwuef</t>
  </si>
  <si>
    <t>RIFAINA</t>
  </si>
  <si>
    <t>1J6t.^=Ao{;&gt;</t>
  </si>
  <si>
    <t>RINCÃO</t>
  </si>
  <si>
    <t>1J6REzElGcGf</t>
  </si>
  <si>
    <t>RINÓPOLIS</t>
  </si>
  <si>
    <t>1J6RJ3AJW2Gp</t>
  </si>
  <si>
    <t>RIO CLARO</t>
  </si>
  <si>
    <t>1J6tHdcG8JWp</t>
  </si>
  <si>
    <t>RIO DAS PEDRAS</t>
  </si>
  <si>
    <t>1J6tl6,dziL-</t>
  </si>
  <si>
    <t>RIO GRANDE DA SERRA</t>
  </si>
  <si>
    <t>1J6tot.edlb&gt;</t>
  </si>
  <si>
    <t>RIOLÂNDIA</t>
  </si>
  <si>
    <t>1J6R4{;4]*^&gt;</t>
  </si>
  <si>
    <t>RIVERSUL</t>
  </si>
  <si>
    <t>1J6RXSBS+UKp</t>
  </si>
  <si>
    <t>1J6QuRKeZJ:p</t>
  </si>
  <si>
    <t>ROSEIRA</t>
  </si>
  <si>
    <t>1J6tv1X:ZbUf</t>
  </si>
  <si>
    <t>RUBIÁCEA</t>
  </si>
  <si>
    <t>1J6R=br*Tb{p</t>
  </si>
  <si>
    <t>1J6R@gTOiZS&gt;</t>
  </si>
  <si>
    <t>SABINO</t>
  </si>
  <si>
    <t>1J6RcKY:S.6p</t>
  </si>
  <si>
    <t>SAGRES</t>
  </si>
  <si>
    <t>1J6RJ_+XBYop</t>
  </si>
  <si>
    <t>1J6RcQ9HwwDp</t>
  </si>
  <si>
    <t>SALES OLIVEIRA</t>
  </si>
  <si>
    <t>1J6t\iub.3S-</t>
  </si>
  <si>
    <t>SALESÓPOLIS</t>
  </si>
  <si>
    <t>1J6tP4Al1g@f</t>
  </si>
  <si>
    <t>SALMOURÃO</t>
  </si>
  <si>
    <t>1J6R=oXuE1Rf</t>
  </si>
  <si>
    <t>SALTINHO</t>
  </si>
  <si>
    <t>1J6tl2.^^)e-</t>
  </si>
  <si>
    <t>SALTO</t>
  </si>
  <si>
    <t>1J6tLiolY8Z&gt;</t>
  </si>
  <si>
    <t>1J6tmdw\:J2p</t>
  </si>
  <si>
    <t>SALTO GRANDE</t>
  </si>
  <si>
    <t>1J6Rv6OcQ=^p</t>
  </si>
  <si>
    <t>SANDOVALINA</t>
  </si>
  <si>
    <t>1J6Rhe6_bbb&gt;</t>
  </si>
  <si>
    <t>SANTA ADÉLIA</t>
  </si>
  <si>
    <t>1J6Redlzl)K&gt;</t>
  </si>
  <si>
    <t>1J6R@AKYe3Dp</t>
  </si>
  <si>
    <t>1J6thm2*&lt;]9-</t>
  </si>
  <si>
    <t>SANTA BRANCA</t>
  </si>
  <si>
    <t>1J6tOwTd,*H-</t>
  </si>
  <si>
    <t>1J6R@_tA2P&lt;p</t>
  </si>
  <si>
    <t>SANTA CRUZ DA CONCEIÇÃO</t>
  </si>
  <si>
    <t>1J6tGlH3=SLp</t>
  </si>
  <si>
    <t>SANTA CRUZ DA ESPERANÇA</t>
  </si>
  <si>
    <t>1J6t_^J)JH1p</t>
  </si>
  <si>
    <t>1J6tG{U4rH.&gt;</t>
  </si>
  <si>
    <t>1J6RW@*2i4+p</t>
  </si>
  <si>
    <t>SANTA ERNESTINA</t>
  </si>
  <si>
    <t>1J6REKvdoTY&gt;</t>
  </si>
  <si>
    <t>SANTA FÉ DO SUL</t>
  </si>
  <si>
    <t>1J6R@h87r7Lf</t>
  </si>
  <si>
    <t>SANTA GERTRUDES</t>
  </si>
  <si>
    <t>1J6tHE)2UG7p</t>
  </si>
  <si>
    <t>1J6tOl=wZJb&gt;</t>
  </si>
  <si>
    <t>SANTA LÚCIA</t>
  </si>
  <si>
    <t>1J6RT7W4gDY-</t>
  </si>
  <si>
    <t>SANTA MARIA DA SERRA</t>
  </si>
  <si>
    <t>1J6RutR8oB]p</t>
  </si>
  <si>
    <t>SANTA MERCEDES</t>
  </si>
  <si>
    <t>1J6R_td:;hDf</t>
  </si>
  <si>
    <t>1J6tg96_6u:-</t>
  </si>
  <si>
    <t>1J6R@J.h:Gyf</t>
  </si>
  <si>
    <t>SANTA ROSA DE VITERBO</t>
  </si>
  <si>
    <t>1J6t_L:hmwLp</t>
  </si>
  <si>
    <t>1J6R@Sgi2B&lt;f</t>
  </si>
  <si>
    <t>SANTANA DA PONTE PENSA</t>
  </si>
  <si>
    <t>1J6R@Krcg)6p</t>
  </si>
  <si>
    <t>1J6tM7.wP3d&gt;</t>
  </si>
  <si>
    <t>SANTO ANASTÁCIO</t>
  </si>
  <si>
    <t>1J6RigGujD=-</t>
  </si>
  <si>
    <t>1J6tob;.8U1-</t>
  </si>
  <si>
    <t>SANTO ANTÔNIO DA ALEGRIA</t>
  </si>
  <si>
    <t>1J6t_1lS*o7p</t>
  </si>
  <si>
    <t>SANTO ANTÔNIO DE POSSE</t>
  </si>
  <si>
    <t>1J6thu:*2t^&gt;</t>
  </si>
  <si>
    <t>SANTO ANTÔNIO DO ARACANGUÁ</t>
  </si>
  <si>
    <t>1J6R+yrYmdip</t>
  </si>
  <si>
    <t>SANTO ANTÔNIO DO JARDIM</t>
  </si>
  <si>
    <t>1J6tinJ,U+]f</t>
  </si>
  <si>
    <t>SANTO ANTÔNIO DO PINHAL</t>
  </si>
  <si>
    <t>1J6tO72912e&gt;</t>
  </si>
  <si>
    <t>SANTO EXPEDITO</t>
  </si>
  <si>
    <t>1J6Ri+XA)v\p</t>
  </si>
  <si>
    <t>SANTÓPOLIS DO AGUAPEÍ</t>
  </si>
  <si>
    <t>1J6RJ7@9{3{p</t>
  </si>
  <si>
    <t>SANTOS</t>
  </si>
  <si>
    <t>1J6toyHJtyX&gt;</t>
  </si>
  <si>
    <t>1J6tKY7tj{^f</t>
  </si>
  <si>
    <t>SÃO BERNARDO DO CAMPO</t>
  </si>
  <si>
    <t>1J6tobhL?Ri&gt;</t>
  </si>
  <si>
    <t>1J6to+eThWDf</t>
  </si>
  <si>
    <t>1J6tgj?A]D&lt;f</t>
  </si>
  <si>
    <t>SÃO FRANCISCO</t>
  </si>
  <si>
    <t>1J6R@w7HU&lt;4f</t>
  </si>
  <si>
    <t>1J6tigtTvE\-</t>
  </si>
  <si>
    <t>SÃO JOÃO DAS DUAS PONTES</t>
  </si>
  <si>
    <t>1J6R3M_mTBzf</t>
  </si>
  <si>
    <t>SÃO JOÃO DE IRACEMA</t>
  </si>
  <si>
    <t>1J6RA.3.6jip</t>
  </si>
  <si>
    <t>SÃO JOÃO DO PAU D'ALHO</t>
  </si>
  <si>
    <t>1J6R&lt;^,h,3A-</t>
  </si>
  <si>
    <t>SÃO JOAQUIM DA BARRA</t>
  </si>
  <si>
    <t>1J6t\{2j?uR&gt;</t>
  </si>
  <si>
    <t>SÃO JOSÉ DA BELA VISTA</t>
  </si>
  <si>
    <t>1J6t\B3yY=\p</t>
  </si>
  <si>
    <t>SÃO JOSÉ DO BARREIRO</t>
  </si>
  <si>
    <t>1J6tSUJ_tvc-</t>
  </si>
  <si>
    <t>1J6t_zRG&lt;GU-</t>
  </si>
  <si>
    <t>1J6RBU@1W.?f</t>
  </si>
  <si>
    <t>SÃO JOSÉ DOS CAMPOS</t>
  </si>
  <si>
    <t>1J6tORHHuY=&gt;</t>
  </si>
  <si>
    <t>SÃO LOURENÇO DA SERRA</t>
  </si>
  <si>
    <t>1J6tMUTJcrWp</t>
  </si>
  <si>
    <t>1J6tvr4jXJRp</t>
  </si>
  <si>
    <t>1J6RuLn*],T-</t>
  </si>
  <si>
    <t>1J6tmHzLb64&gt;</t>
  </si>
  <si>
    <t>1J6to@yg_@Q&gt;</t>
  </si>
  <si>
    <t>1J6tHGD7^e7-</t>
  </si>
  <si>
    <t>SÃO PEDRO DO TURVO</t>
  </si>
  <si>
    <t>1J6RSLXGX7i&gt;</t>
  </si>
  <si>
    <t>SÃO ROQUE</t>
  </si>
  <si>
    <t>1J6tM3{tWhPp</t>
  </si>
  <si>
    <t>SÃO SEBASTIÃO</t>
  </si>
  <si>
    <t>1J6twK;;{KE&gt;</t>
  </si>
  <si>
    <t>1J6ti,;T9AH-</t>
  </si>
  <si>
    <t>1J6t^Y6?+89&gt;</t>
  </si>
  <si>
    <t>SÃO VICENTE</t>
  </si>
  <si>
    <t>1J6toZ?8A8=&gt;</t>
  </si>
  <si>
    <t>SARAPUÍ</t>
  </si>
  <si>
    <t>1J6tm+L_gT,&gt;</t>
  </si>
  <si>
    <t>SARUTAIÁ</t>
  </si>
  <si>
    <t>1J6RWSmBy{lf</t>
  </si>
  <si>
    <t>SEBASTIANÓPOLIS DO SUL</t>
  </si>
  <si>
    <t>1J6RAE:g6A)-</t>
  </si>
  <si>
    <t>SERRA AZUL</t>
  </si>
  <si>
    <t>1J6t^eW:lPM-</t>
  </si>
  <si>
    <t>1J6tjj*lLb;f</t>
  </si>
  <si>
    <t>SERRANA</t>
  </si>
  <si>
    <t>1J6t^d_AXHtf</t>
  </si>
  <si>
    <t>1J6t^,ES@Hu-</t>
  </si>
  <si>
    <t>SETE BARRAS</t>
  </si>
  <si>
    <t>1J6U)GY;8zZp</t>
  </si>
  <si>
    <t>SEVERÍNIA</t>
  </si>
  <si>
    <t>1J6RdU*jZMM&gt;</t>
  </si>
  <si>
    <t>SILVEIRAS</t>
  </si>
  <si>
    <t>1J6tSjY;]iXp</t>
  </si>
  <si>
    <t>SOCORRO</t>
  </si>
  <si>
    <t>1J6tjQOK?G*f</t>
  </si>
  <si>
    <t>1J6tM)m+e94f</t>
  </si>
  <si>
    <t>1J6R+_TAy1mp</t>
  </si>
  <si>
    <t>SUMARÉ</t>
  </si>
  <si>
    <t>1J6thow9A{o&gt;</t>
  </si>
  <si>
    <t>1J6R+,1..&lt;Mp</t>
  </si>
  <si>
    <t>SUZANO</t>
  </si>
  <si>
    <t>1J6to9&lt;DDvW&gt;</t>
  </si>
  <si>
    <t>TABAPUÃ</t>
  </si>
  <si>
    <t>1J6RdP)Rdcn&gt;</t>
  </si>
  <si>
    <t>TABATINGA</t>
  </si>
  <si>
    <t>1J6Rt9c1rJW-</t>
  </si>
  <si>
    <t>TABOÃO DA SERRA</t>
  </si>
  <si>
    <t>1J6to]gg1Trf</t>
  </si>
  <si>
    <t>TACIBA</t>
  </si>
  <si>
    <t>1J6RjB)ZQ]Q-</t>
  </si>
  <si>
    <t>TAGUAÍ</t>
  </si>
  <si>
    <t>1J6RX6\78RMp</t>
  </si>
  <si>
    <t>1J6RE?ghbPi-</t>
  </si>
  <si>
    <t>TAIÚVA</t>
  </si>
  <si>
    <t>1J6RE?dnyyt-</t>
  </si>
  <si>
    <t>1J6tG:woQRnp</t>
  </si>
  <si>
    <t>TANABI</t>
  </si>
  <si>
    <t>1J6RB{u)XrDf</t>
  </si>
  <si>
    <t>1J6tmz@O@Q=&gt;</t>
  </si>
  <si>
    <t>TAPIRATIBA</t>
  </si>
  <si>
    <t>1J6t&lt;hw{TKS-</t>
  </si>
  <si>
    <t>TAQUARAL</t>
  </si>
  <si>
    <t>1J6RE;JLARJ&gt;</t>
  </si>
  <si>
    <t>TAQUARITINGA</t>
  </si>
  <si>
    <t>1J6REj)Syyv&gt;</t>
  </si>
  <si>
    <t>TAQUARITUBA</t>
  </si>
  <si>
    <t>1J6RZ,{LADv&gt;</t>
  </si>
  <si>
    <t>TAQUARIVAÍ</t>
  </si>
  <si>
    <t>1J6RZyQ;A32p</t>
  </si>
  <si>
    <t>TARABAI</t>
  </si>
  <si>
    <t>1J6Rj*PrjXAf</t>
  </si>
  <si>
    <t>TARUMÃ</t>
  </si>
  <si>
    <t>1J6RKYvo\vnf</t>
  </si>
  <si>
    <t>TATUÍ</t>
  </si>
  <si>
    <t>1J6tlnZ8M^A&gt;</t>
  </si>
  <si>
    <t>TAUBATÉ</t>
  </si>
  <si>
    <t>1J6tv]Jm_mO&gt;</t>
  </si>
  <si>
    <t>TEJUPÁ</t>
  </si>
  <si>
    <t>1J6RWYOE7Zn&gt;</t>
  </si>
  <si>
    <t>1J6RhG:@,eW&gt;</t>
  </si>
  <si>
    <t>TERRA ROXA</t>
  </si>
  <si>
    <t>1J6RDQn&lt;U:M&gt;</t>
  </si>
  <si>
    <t>TIETÊ</t>
  </si>
  <si>
    <t>1J6tlbRJBdep</t>
  </si>
  <si>
    <t>TIMBURI</t>
  </si>
  <si>
    <t>1J6RWJPu{iJf</t>
  </si>
  <si>
    <t>TORRE DE PEDRA</t>
  </si>
  <si>
    <t>1J6RyUG1TLZp</t>
  </si>
  <si>
    <t>1J6Rudr;Ml;-</t>
  </si>
  <si>
    <t>TRABIJU</t>
  </si>
  <si>
    <t>1J6RTr&lt;K7OEp</t>
  </si>
  <si>
    <t>TREMEMBÉ</t>
  </si>
  <si>
    <t>1J6tv.KX.)_-</t>
  </si>
  <si>
    <t>TRÊS FRONTEIRAS</t>
  </si>
  <si>
    <t>1J6R@j+OiAMf</t>
  </si>
  <si>
    <t>TUIUTI</t>
  </si>
  <si>
    <t>1J6tjoLAomP&gt;</t>
  </si>
  <si>
    <t>TUPÃ</t>
  </si>
  <si>
    <t>1J6RJT:u;lo&gt;</t>
  </si>
  <si>
    <t>1J6R&lt;GL4SYo-</t>
  </si>
  <si>
    <t>TURIÚBA</t>
  </si>
  <si>
    <t>1J6RAvZl*]7f</t>
  </si>
  <si>
    <t>TURMALINA</t>
  </si>
  <si>
    <t>1J6R@DZZo&lt;7&gt;</t>
  </si>
  <si>
    <t>UBARANA</t>
  </si>
  <si>
    <t>1J6Rc.yAo3rf</t>
  </si>
  <si>
    <t>UBATUBA</t>
  </si>
  <si>
    <t>1J6tw76R^?tf</t>
  </si>
  <si>
    <t>UBIRAJARA</t>
  </si>
  <si>
    <t>1J6RS&lt;Xb;gS&gt;</t>
  </si>
  <si>
    <t>1J6RdM*:heL&gt;</t>
  </si>
  <si>
    <t>UNIÃO PAULISTA</t>
  </si>
  <si>
    <t>1J6RAy31YE:p</t>
  </si>
  <si>
    <t>URÂNIA</t>
  </si>
  <si>
    <t>1J6R@SRn;Y&lt;-</t>
  </si>
  <si>
    <t>URU</t>
  </si>
  <si>
    <t>1J6RRD6li&lt;:p</t>
  </si>
  <si>
    <t>URUPÊS</t>
  </si>
  <si>
    <t>1J6RcDB_8zcp</t>
  </si>
  <si>
    <t>VALENTIM GENTIL</t>
  </si>
  <si>
    <t>1J6R3Xmr*D2-</t>
  </si>
  <si>
    <t>VALINHOS</t>
  </si>
  <si>
    <t>1J6tL8M1DP;&gt;</t>
  </si>
  <si>
    <t>VALPARAÍSO</t>
  </si>
  <si>
    <t>1J6R={S)rcR-</t>
  </si>
  <si>
    <t>VARGEM</t>
  </si>
  <si>
    <t>1J6tn2uyO7Tf</t>
  </si>
  <si>
    <t>VARGEM GRANDE DO SUL</t>
  </si>
  <si>
    <t>1J6tGDv;l.jf</t>
  </si>
  <si>
    <t>VARGEM GRANDE PAULISTA</t>
  </si>
  <si>
    <t>1J6tMBEh?vmf</t>
  </si>
  <si>
    <t>VÁRZEA PAULISTA</t>
  </si>
  <si>
    <t>1J6tnH;PH*Sp</t>
  </si>
  <si>
    <t>1J6RRmwR?=op</t>
  </si>
  <si>
    <t>VINHEDO</t>
  </si>
  <si>
    <t>1J6tLdKdm82-</t>
  </si>
  <si>
    <t>VIRADOURO</t>
  </si>
  <si>
    <t>1J6RDrz_H*4-</t>
  </si>
  <si>
    <t>VISTA ALEGRE DO ALTO</t>
  </si>
  <si>
    <t>1J6RE,OvZ@3&gt;</t>
  </si>
  <si>
    <t>VITÓRIA BRASIL</t>
  </si>
  <si>
    <t>1J6R@TZKRO\&gt;</t>
  </si>
  <si>
    <t>VOTORANTIM</t>
  </si>
  <si>
    <t>1J6tM,_nU?o-</t>
  </si>
  <si>
    <t>1J6R3Zw@HH+p</t>
  </si>
  <si>
    <t>ZACARIAS</t>
  </si>
  <si>
    <t>1J6Rb2+c9?E-</t>
  </si>
  <si>
    <t>Fluxo de Público</t>
  </si>
  <si>
    <t>TOTAL</t>
  </si>
  <si>
    <t>%</t>
  </si>
  <si>
    <t>% do Total por Público</t>
  </si>
  <si>
    <t>Ticket Médio Diário Movimentação</t>
  </si>
  <si>
    <t>Movimentação Financeira</t>
  </si>
  <si>
    <t>EVENTOS INCLUSOS POR LEI NO CALENDÁRIO OFICIAL – POR MUNICÍPIOS | ATUALIZADO EM 18.12.2024</t>
  </si>
  <si>
    <t>Nº LEI/DECRETO</t>
  </si>
  <si>
    <t>DATA LEI/DECRETO</t>
  </si>
  <si>
    <t>EVENTO</t>
  </si>
  <si>
    <t>DATA DO EVENTO</t>
  </si>
  <si>
    <t>CIDADE</t>
  </si>
  <si>
    <t>DECRETO Nº 48.429</t>
  </si>
  <si>
    <t>Feira Nacional de Artigos de Caça, Pesca, Campo e Náutica</t>
  </si>
  <si>
    <t>24 de setembro de 1967</t>
  </si>
  <si>
    <t>São Paulo</t>
  </si>
  <si>
    <t>DECRETO Nº 51.561</t>
  </si>
  <si>
    <t>II Congresso Brasileiro de Hematologia</t>
  </si>
  <si>
    <t>25 à 30 de maio de 1969</t>
  </si>
  <si>
    <t>DECRETO Nº  51.371</t>
  </si>
  <si>
    <t>XI Congresso Brasileiro de Cirurgia</t>
  </si>
  <si>
    <t>15 e  19 de julho de 1969</t>
  </si>
  <si>
    <t>DECRETO Nº  51.228</t>
  </si>
  <si>
    <t>Congresso Brasileiro dos Cirurgiões da Cabeça e Pescoço</t>
  </si>
  <si>
    <t>15 à 19 de julho de 1969</t>
  </si>
  <si>
    <t>DECRETO Nº  50.965</t>
  </si>
  <si>
    <t>Corrida de Canôas Costa do Ouro </t>
  </si>
  <si>
    <t>20 de janeiro</t>
  </si>
  <si>
    <t>São Sebastião</t>
  </si>
  <si>
    <t>DECRETO Nº 50.907</t>
  </si>
  <si>
    <t>Concurso de Escultura na Areia</t>
  </si>
  <si>
    <t>sem data</t>
  </si>
  <si>
    <t>Guarujá, Ubatuba, Caraguatatuba, São Sebastião, Ilhabela, Bertioga, Santos, São Vicente, Praia Grande, Mongaguá, Itanhaem e Peruibe</t>
  </si>
  <si>
    <t>DECRETO Nº 49.108</t>
  </si>
  <si>
    <t>Corrida Internacional de São Silvestre</t>
  </si>
  <si>
    <t>31 de dezembro</t>
  </si>
  <si>
    <t>DECRETO Nº 48.714</t>
  </si>
  <si>
    <t>Feira Industrial de Americana</t>
  </si>
  <si>
    <t>11 e 26 de novembro</t>
  </si>
  <si>
    <t>Americana</t>
  </si>
  <si>
    <t>DECRETO</t>
  </si>
  <si>
    <t>I Simpósio de Astronomia</t>
  </si>
  <si>
    <t>4 e 12 de setembro de 1969</t>
  </si>
  <si>
    <t>I Congresso do Serviço Dentário do Estado de São Paulo</t>
  </si>
  <si>
    <t>21 à 27 de setembro de 1969</t>
  </si>
  <si>
    <t>DECRETO Nº 52.191</t>
  </si>
  <si>
    <t>VII Congresso Panamericano de Endocrinologia</t>
  </si>
  <si>
    <t>segunda semana de agosto de 1970</t>
  </si>
  <si>
    <t>DECRETO Nº 52.190</t>
  </si>
  <si>
    <t>IV Congresso Brasileiro de Medicina Militar</t>
  </si>
  <si>
    <t>13 e 17 de outubro de 1969</t>
  </si>
  <si>
    <t>DECRETO Nº 52.189</t>
  </si>
  <si>
    <t>III Congresso Nacional de Transporte Rodoviário de Carga</t>
  </si>
  <si>
    <t>22 de 29 de setembro de 1969</t>
  </si>
  <si>
    <t>DECRETO Nº 52.188</t>
  </si>
  <si>
    <t>I Simposio Sul Americano de Prevenção de Acidentes Aeronáuticos</t>
  </si>
  <si>
    <t>25 e 29 de agosto de 1969</t>
  </si>
  <si>
    <t>DECRETO Nº 52.159</t>
  </si>
  <si>
    <t>XIV Congresso Mundial da Sociedade Internacional de Hematologia</t>
  </si>
  <si>
    <t>15 e 21 de julho de 1972</t>
  </si>
  <si>
    <t>DECRETO Nº 52.134</t>
  </si>
  <si>
    <t>III Congresso Nacional dos Institutos de Previdência Estaduais</t>
  </si>
  <si>
    <t>9 a 14 de novembro de 1969</t>
  </si>
  <si>
    <t>DECRETO Nº 52.098</t>
  </si>
  <si>
    <t>V Assembléia Consular do Instituto Interamericano</t>
  </si>
  <si>
    <t>15 e 20 de setembro de 1969</t>
  </si>
  <si>
    <t>DECRETO Nº 51.993</t>
  </si>
  <si>
    <t>9º Congresso Brasileiro de Ginecologia e Obstetrícia</t>
  </si>
  <si>
    <t>20 a 26 de junho de 1969</t>
  </si>
  <si>
    <t>DECRETO Nº 51.992</t>
  </si>
  <si>
    <t>Festas Juninas</t>
  </si>
  <si>
    <t>junho</t>
  </si>
  <si>
    <t>São Paulo e arredores</t>
  </si>
  <si>
    <t>DECRETO Nº 51.827</t>
  </si>
  <si>
    <t>Semana do 2.º Centenário de Itapeva</t>
  </si>
  <si>
    <t>13 e 21 de setembro de 1969</t>
  </si>
  <si>
    <t>DECRETO Nº 51.699</t>
  </si>
  <si>
    <t>IV Congresso Latino Americano de Imprensa Católica</t>
  </si>
  <si>
    <t>15 e 20 de julho de 1969</t>
  </si>
  <si>
    <t>DECRETO Nº 51.656</t>
  </si>
  <si>
    <t>Congresso dos Procuradores do Estado</t>
  </si>
  <si>
    <t>setembro</t>
  </si>
  <si>
    <t>DECRETO Nº 51.655</t>
  </si>
  <si>
    <t>Grande Feira de Ciências da Cidade de São Paulo</t>
  </si>
  <si>
    <t>20 a 22 de junho</t>
  </si>
  <si>
    <t>DECRETO Nº 51.606</t>
  </si>
  <si>
    <t>XIII Congresso Estadual de Municípios</t>
  </si>
  <si>
    <t>13 e 19 de abril de 1969</t>
  </si>
  <si>
    <t>Campos do Jordão</t>
  </si>
  <si>
    <t>1.ª Semana Odontológica de Bebedouro</t>
  </si>
  <si>
    <t>21 a 28 de junho de 1970</t>
  </si>
  <si>
    <t>Bebedouro</t>
  </si>
  <si>
    <t>25º Campeonato Aberto Brasileiro de Golf</t>
  </si>
  <si>
    <t>22 a 31 de maio</t>
  </si>
  <si>
    <t>XIII Exposição Feria de Gado de Corte, Cavalos, Suínos e Coelhos</t>
  </si>
  <si>
    <t>16 e 26 de abril de 1970</t>
  </si>
  <si>
    <t>Feira Comemorativa do 1.º Centenário da Fundação da Estrada de Ferro Sorocabana</t>
  </si>
  <si>
    <t>14 e 31 de março de 1970</t>
  </si>
  <si>
    <t>Congresso Latino-Americano de Alimentação e Desenvolvimento Econômico</t>
  </si>
  <si>
    <t>1 e 5 de dezembro de 1969</t>
  </si>
  <si>
    <t>Futebol Dente de Leite</t>
  </si>
  <si>
    <t>Congresso sôbre Produção e Radioisótopos na América Latina</t>
  </si>
  <si>
    <t>6 e 11 de outubro</t>
  </si>
  <si>
    <t>III Conferência Latino Americana Contra a Poluição do Ar</t>
  </si>
  <si>
    <t>novembro</t>
  </si>
  <si>
    <t>III Congresso Panamericano de Neurologia</t>
  </si>
  <si>
    <t>setembro de 1971</t>
  </si>
  <si>
    <t>Campeonato Colegial de Fanfarras e Bandas</t>
  </si>
  <si>
    <t>anual</t>
  </si>
  <si>
    <t>IV Congresso Paulista de Odontologia</t>
  </si>
  <si>
    <t>24 e 28 de janeiro de 1970</t>
  </si>
  <si>
    <t>XVIII Congresso Brasileiro de Higiêne</t>
  </si>
  <si>
    <t>26 a 31 de outubro de 1970</t>
  </si>
  <si>
    <t>III Congresso da International Society of University Colon and Rectal Surgeons</t>
  </si>
  <si>
    <t>3 a 16 de setembro de 1970</t>
  </si>
  <si>
    <t>Curso Nacional de Patologia Mamária</t>
  </si>
  <si>
    <t>21 a 26 de setembro de 1970</t>
  </si>
  <si>
    <t>VII Jornada da Associação Brasileira de Mulheres Médicas</t>
  </si>
  <si>
    <t>29 de outubro a 31 de outubro de 1970</t>
  </si>
  <si>
    <t>IV Conferência Nacional da Ordem dos Advogados do Brasil</t>
  </si>
  <si>
    <t>26 a 30 de outubro de 1970</t>
  </si>
  <si>
    <t>Festa de Corpus Christi</t>
  </si>
  <si>
    <t>Itanhaém</t>
  </si>
  <si>
    <t>Feira Industrial de Pedreira</t>
  </si>
  <si>
    <t>julho</t>
  </si>
  <si>
    <t>Pedreira</t>
  </si>
  <si>
    <t>IV Congresso da Associação Paulista de Medicina</t>
  </si>
  <si>
    <t>01 a 04 de julho de 1970</t>
  </si>
  <si>
    <t>I Congresso Latino-Americano de Mineralurgia</t>
  </si>
  <si>
    <t>01 a 04 de setembro de 1970</t>
  </si>
  <si>
    <t>VI Congresso Latino Americano de Psiquiatria e o I Congresso Brasileiro de Psiquiatria</t>
  </si>
  <si>
    <t>30 de novembro e 6 de de dezembro de 1970</t>
  </si>
  <si>
    <t>XXII Congresso Brasileiro de Enfermagem</t>
  </si>
  <si>
    <t>19 a 25 de julho</t>
  </si>
  <si>
    <t>III Feira das Nações</t>
  </si>
  <si>
    <t>23 e 24 de maio de 1970</t>
  </si>
  <si>
    <t>São Caetano do Sul</t>
  </si>
  <si>
    <t>agosto</t>
  </si>
  <si>
    <t>Olímpia</t>
  </si>
  <si>
    <t>II Congresso Brasileiro de Microbiologia</t>
  </si>
  <si>
    <t>27 a 30 de iulho de 1970</t>
  </si>
  <si>
    <t>Prova Internacional de Automobilismo</t>
  </si>
  <si>
    <t>XVI Congresso Brasileiro de Oftalmologia</t>
  </si>
  <si>
    <t>4 a 7 de setembro</t>
  </si>
  <si>
    <t>Provas Desportivas</t>
  </si>
  <si>
    <t>Todo estado</t>
  </si>
  <si>
    <t>Festa da Seresta</t>
  </si>
  <si>
    <t>Tatuí</t>
  </si>
  <si>
    <t>DECRETO Nº 16.756</t>
  </si>
  <si>
    <t>Jogos Regionais</t>
  </si>
  <si>
    <t>julho/anual</t>
  </si>
  <si>
    <t>LEI Nº 3.674</t>
  </si>
  <si>
    <t>Exposição de Orquídeas</t>
  </si>
  <si>
    <t>outubro</t>
  </si>
  <si>
    <t>Penápolis</t>
  </si>
  <si>
    <t>LEI Nº 3.673</t>
  </si>
  <si>
    <t>Catanduva</t>
  </si>
  <si>
    <t>LEI Nº 3.672</t>
  </si>
  <si>
    <t>Capivari</t>
  </si>
  <si>
    <t>DECRETO Nº 18.440</t>
  </si>
  <si>
    <t>Festival de Verão do Guarujá</t>
  </si>
  <si>
    <t>segunda quinzena de jan e primeira de fev</t>
  </si>
  <si>
    <t>Guarujá</t>
  </si>
  <si>
    <t>DECRETO Nº 18.439</t>
  </si>
  <si>
    <t>Festival Música na Praia</t>
  </si>
  <si>
    <t>duas semanas antes do carnaval</t>
  </si>
  <si>
    <t>DECRETO Nº 18.436</t>
  </si>
  <si>
    <t>Festival de Inverno de Campos do Jordão</t>
  </si>
  <si>
    <t>DECRETO Nº 18.434</t>
  </si>
  <si>
    <t>Festival Estudantil de Teatro do Estado de São Paulo</t>
  </si>
  <si>
    <t>primeira quinzena de outubro</t>
  </si>
  <si>
    <t>LEI Nº 4.520</t>
  </si>
  <si>
    <t>Mês da Mostra Internacional de Cinema</t>
  </si>
  <si>
    <t>LEI Nº 4.343</t>
  </si>
  <si>
    <t>Feira da Amizade</t>
  </si>
  <si>
    <t>Jundiaí</t>
  </si>
  <si>
    <t>LEI Nº 4.342</t>
  </si>
  <si>
    <t>Semana de Tiradentes</t>
  </si>
  <si>
    <t>abril</t>
  </si>
  <si>
    <t>LEI Nº 3.675</t>
  </si>
  <si>
    <t>Feira Industrial, Comercial e Agropecuária - FICAS</t>
  </si>
  <si>
    <t>Salto</t>
  </si>
  <si>
    <t>LEI Nº 4.565</t>
  </si>
  <si>
    <t>Semana da Mulher</t>
  </si>
  <si>
    <t>LEI Nº 5.501</t>
  </si>
  <si>
    <t>Semana do Trabalhador</t>
  </si>
  <si>
    <t>1º de maio</t>
  </si>
  <si>
    <t>LEI Nº 6.094</t>
  </si>
  <si>
    <t>Dona Dorotéia, Vamos Furar Aquela Onda</t>
  </si>
  <si>
    <t>primeiro domingo antes do carnaval</t>
  </si>
  <si>
    <t>LEI Nº 6.084</t>
  </si>
  <si>
    <t>Festa de São Roque</t>
  </si>
  <si>
    <t>Boituva</t>
  </si>
  <si>
    <t>LEI Nº 5.904</t>
  </si>
  <si>
    <t>Festa do Arraial do Pé Queimado</t>
  </si>
  <si>
    <t>junho/anual</t>
  </si>
  <si>
    <t>Arthur Nogueira</t>
  </si>
  <si>
    <t>LEI Nº 6.239</t>
  </si>
  <si>
    <t>Feira do Bordado Industrial e Artesanato</t>
  </si>
  <si>
    <t>Santo Anastácio</t>
  </si>
  <si>
    <t>LEI Nº 6.852</t>
  </si>
  <si>
    <t>Grande Exposição Agropecuária de Bauru</t>
  </si>
  <si>
    <t>LEI Nº 7.457</t>
  </si>
  <si>
    <t>Festa em Louvor a São Cosme e São Damião</t>
  </si>
  <si>
    <t>setembro/anual</t>
  </si>
  <si>
    <t>Duartina</t>
  </si>
  <si>
    <t>LEI Nº 7.361</t>
  </si>
  <si>
    <t>Festa do Peão de Boiadeiro de Reginópolis</t>
  </si>
  <si>
    <t>Reginópolis</t>
  </si>
  <si>
    <t>LEI Nº 7.978</t>
  </si>
  <si>
    <t>Concursos Abertos de Bandas e Fanfarras</t>
  </si>
  <si>
    <t>Municípios do estado</t>
  </si>
  <si>
    <t>LEI Nº 7.768</t>
  </si>
  <si>
    <t>Festa do Peão Boiadero de Americana</t>
  </si>
  <si>
    <t>LEI Nº 8.282</t>
  </si>
  <si>
    <t>Carapicuíba</t>
  </si>
  <si>
    <t>LEI Nº 8.660</t>
  </si>
  <si>
    <t>Festa do Peão de Rodeio de Ibitinga</t>
  </si>
  <si>
    <t>Ibitinga</t>
  </si>
  <si>
    <t>LEI Nº 8.657</t>
  </si>
  <si>
    <t>Festa do Peão de Rodeio</t>
  </si>
  <si>
    <t>LEI Nº 8.655</t>
  </si>
  <si>
    <t>Festas de São Sebastião e de São Gonçalo</t>
  </si>
  <si>
    <t>janeiro</t>
  </si>
  <si>
    <t>Bom Jesus dos Perdões</t>
  </si>
  <si>
    <t>LEI Nº 8.654</t>
  </si>
  <si>
    <t>Festa do Peão de Boiadeiro de Brodowski</t>
  </si>
  <si>
    <t>dezembro/anual</t>
  </si>
  <si>
    <t>Brodowski</t>
  </si>
  <si>
    <t>LEI Nº 8.652</t>
  </si>
  <si>
    <t>Prova Aquática Baía de Santos</t>
  </si>
  <si>
    <t>LEI Nº 8.651</t>
  </si>
  <si>
    <t>Festa das Nações de Santa Bárbara D'Oeste</t>
  </si>
  <si>
    <t>outubro/anual</t>
  </si>
  <si>
    <t>Santa Bárbara D'Oeste</t>
  </si>
  <si>
    <t>LEI Nº 8.650</t>
  </si>
  <si>
    <t>Campeonato Brasileiro de Enduro Eqüestre do Clima</t>
  </si>
  <si>
    <t>São Carlos</t>
  </si>
  <si>
    <t>LEI Nº 8.648</t>
  </si>
  <si>
    <t>Romaria de Fé a Padre Donizetti</t>
  </si>
  <si>
    <t>Tambaú</t>
  </si>
  <si>
    <t>LEI Nº 8.647</t>
  </si>
  <si>
    <t>Festa do Quentão</t>
  </si>
  <si>
    <t>General Salgado</t>
  </si>
  <si>
    <t>LEI Nº 8.642</t>
  </si>
  <si>
    <t>O Dia das Instituições Sociais Evangélicas</t>
  </si>
  <si>
    <t>maio</t>
  </si>
  <si>
    <t>LEI Nº 8.870</t>
  </si>
  <si>
    <t>Festa do Peão de Boiadeiro de Cerquilho</t>
  </si>
  <si>
    <t>novembro/anual</t>
  </si>
  <si>
    <t>Cerquilho</t>
  </si>
  <si>
    <t>LEI Nº 8.869</t>
  </si>
  <si>
    <t>Carnaval de Rua de Presidente Epitácio</t>
  </si>
  <si>
    <t>Presidente Epitácio</t>
  </si>
  <si>
    <t>LEI Nº 8.862</t>
  </si>
  <si>
    <t>Festa de Folia de Reis</t>
  </si>
  <si>
    <t>31 do mês de janeiro</t>
  </si>
  <si>
    <t>Piquerobi</t>
  </si>
  <si>
    <t>LEI Nº 8.861</t>
  </si>
  <si>
    <t>Carnaval de Rua de Batatais</t>
  </si>
  <si>
    <t>Batatais</t>
  </si>
  <si>
    <t>LEI Nº 8.860</t>
  </si>
  <si>
    <t>Carnaval de Rua de Araras</t>
  </si>
  <si>
    <t>Araras</t>
  </si>
  <si>
    <t>LEI Nº 8.803</t>
  </si>
  <si>
    <t>Santa Ernestina</t>
  </si>
  <si>
    <t>LEI Nº 8.662</t>
  </si>
  <si>
    <t>Festa de São Sebastião</t>
  </si>
  <si>
    <t>Descalvado</t>
  </si>
  <si>
    <t>LEI Nº 8.661</t>
  </si>
  <si>
    <t>Festa Confederada Brasil-Estados Unidos</t>
  </si>
  <si>
    <t>LEI N. 8.931</t>
  </si>
  <si>
    <t>Passeio Ciclístico</t>
  </si>
  <si>
    <t>São Roque</t>
  </si>
  <si>
    <t>LEI Nº 8.918</t>
  </si>
  <si>
    <t>Festa do Peão de Boiadeiro</t>
  </si>
  <si>
    <t>abril/anual</t>
  </si>
  <si>
    <t>Caraguatatuba</t>
  </si>
  <si>
    <t>LEI Nº 8.913</t>
  </si>
  <si>
    <t>Festival de Pipa de São Roque</t>
  </si>
  <si>
    <t>LEI Nº 8.911</t>
  </si>
  <si>
    <t>Mauá</t>
  </si>
  <si>
    <t>LEI Nº 8.910</t>
  </si>
  <si>
    <t>LEI Nº 8.908</t>
  </si>
  <si>
    <t>Feira Agropecuária e Industrial Santarritense - FAPIS</t>
  </si>
  <si>
    <t>agosto/setembro/anual</t>
  </si>
  <si>
    <t>Santa Rita do Passa Quatro</t>
  </si>
  <si>
    <t>LEI Nº 10.021</t>
  </si>
  <si>
    <t>Pholianafaria</t>
  </si>
  <si>
    <t>fina lde semana q antecede o carnaval</t>
  </si>
  <si>
    <t>LEI Nº 10.557</t>
  </si>
  <si>
    <t>Corrida da Cidade de São Carlos</t>
  </si>
  <si>
    <t>LEI Nº 10.829</t>
  </si>
  <si>
    <t>maio/anual</t>
  </si>
  <si>
    <t>Pariquera-Açu</t>
  </si>
  <si>
    <t>LEI Nº 10.828</t>
  </si>
  <si>
    <t>Campeonato Interestadual de Mountain Bike</t>
  </si>
  <si>
    <t>São Sebastião da Grama</t>
  </si>
  <si>
    <t>LEI Nº 10.737</t>
  </si>
  <si>
    <t>Festa Della Mamma</t>
  </si>
  <si>
    <t>Mogi Mirim</t>
  </si>
  <si>
    <t>LEI Nº 10.736</t>
  </si>
  <si>
    <t>Festa do Peão Boiadeiro</t>
  </si>
  <si>
    <t>Rio Claro</t>
  </si>
  <si>
    <t>LEI Nº 10.735</t>
  </si>
  <si>
    <t>LEI Nº 10.729</t>
  </si>
  <si>
    <t>Solidariedade Rodeo Fest</t>
  </si>
  <si>
    <t>Américo Brasiliense</t>
  </si>
  <si>
    <t>LEI Nº 11.138</t>
  </si>
  <si>
    <t>Cordeirópolis</t>
  </si>
  <si>
    <t>LEI Nº 11.056</t>
  </si>
  <si>
    <t>Feira de Calçados, Acessórios, Máquinas e Componentes - FRANCAL</t>
  </si>
  <si>
    <t>LEI Nº 11.356</t>
  </si>
  <si>
    <t>Ourinhos Moto Fest</t>
  </si>
  <si>
    <t>Ourinhos</t>
  </si>
  <si>
    <t>LEI Nº 11.662</t>
  </si>
  <si>
    <t>Festa do Clube de Pesca de Santos</t>
  </si>
  <si>
    <t>LEI Nº 11.645</t>
  </si>
  <si>
    <t>Semana da Moda Inverno</t>
  </si>
  <si>
    <t>fevereiro/anual</t>
  </si>
  <si>
    <t>LEI Nº 11.599</t>
  </si>
  <si>
    <t>Japan Fest</t>
  </si>
  <si>
    <t>LEI Nº 11.597</t>
  </si>
  <si>
    <t>Festa do Dia do Trabalho</t>
  </si>
  <si>
    <t>LEI Nº 12.101</t>
  </si>
  <si>
    <t>Procissão de Iemanjá</t>
  </si>
  <si>
    <t>LEI Nº 12.100</t>
  </si>
  <si>
    <t>Festa de Nossa Senhora dos Navegantes</t>
  </si>
  <si>
    <t>Diadema</t>
  </si>
  <si>
    <t>LEI Nº 12.099</t>
  </si>
  <si>
    <t>Santa Bárbara Rodeo Festival</t>
  </si>
  <si>
    <t>LEI Nº 12.098</t>
  </si>
  <si>
    <t>Campeonato Metropolitano de Futebol Amador</t>
  </si>
  <si>
    <t>março a outubro</t>
  </si>
  <si>
    <t>Região Metropolitana de São Paulo</t>
  </si>
  <si>
    <t>LEI Nº 12.097</t>
  </si>
  <si>
    <t>Cerimônia da Lavagem das Escadarias da Catedral de Campinas</t>
  </si>
  <si>
    <t>LEI Nº 12.096</t>
  </si>
  <si>
    <t>Festa de São Benedito de Tietê</t>
  </si>
  <si>
    <t>Tietê</t>
  </si>
  <si>
    <t>LEI Nº 12.095</t>
  </si>
  <si>
    <t>Monte Alegre do Sul</t>
  </si>
  <si>
    <t>LEI Nº 12.089</t>
  </si>
  <si>
    <t>Festival de Inverno de Bragança Paulista</t>
  </si>
  <si>
    <t>Bragança Paulista</t>
  </si>
  <si>
    <t>LEI Nº 12.075</t>
  </si>
  <si>
    <t>Festival de Inverno de Amparo</t>
  </si>
  <si>
    <t>Amparo</t>
  </si>
  <si>
    <t>LEI Nº 12.074</t>
  </si>
  <si>
    <t>Festa das Nações de Ermelino Matarazzo</t>
  </si>
  <si>
    <t>LEI Nº 12.072</t>
  </si>
  <si>
    <t>Festa Junina do Vale do Ranchão</t>
  </si>
  <si>
    <t>Estrela D'Oeste</t>
  </si>
  <si>
    <t>LEI Nº 12.071</t>
  </si>
  <si>
    <t>Festa Atalaias de Cristo</t>
  </si>
  <si>
    <t>Cajati</t>
  </si>
  <si>
    <t>LEI Nº 12.070</t>
  </si>
  <si>
    <t>Festa de Santo Antonio Di Padova</t>
  </si>
  <si>
    <t>Promissão</t>
  </si>
  <si>
    <t>LEI Nº 12.069</t>
  </si>
  <si>
    <t>Marcha Rei do Gado</t>
  </si>
  <si>
    <t>Andradina</t>
  </si>
  <si>
    <t>LEI Nº 12.068</t>
  </si>
  <si>
    <t>Itápolis</t>
  </si>
  <si>
    <t>LEI Nº 12.106</t>
  </si>
  <si>
    <t>Dança e Movimento</t>
  </si>
  <si>
    <t>Ilhabela</t>
  </si>
  <si>
    <t>LEI Nº 12.105</t>
  </si>
  <si>
    <t>Vindima - SP</t>
  </si>
  <si>
    <t>LEI Nº 12.740</t>
  </si>
  <si>
    <t>maio ou junho/anual</t>
  </si>
  <si>
    <t>LEI Nº 12.716</t>
  </si>
  <si>
    <t>Feira Nacional do Livro de Ribeirão Preto</t>
  </si>
  <si>
    <t>LEI Nº 13.096</t>
  </si>
  <si>
    <t>Festival de Verão de Ribeirão Preto</t>
  </si>
  <si>
    <t>LEI Nº 12.987</t>
  </si>
  <si>
    <t>Via Sacra ao Vivo</t>
  </si>
  <si>
    <t>LEI Nº 13.342</t>
  </si>
  <si>
    <t>Matão</t>
  </si>
  <si>
    <t>LEI Nº 13.341</t>
  </si>
  <si>
    <t>LEI Nº 13.340</t>
  </si>
  <si>
    <t>janeiro/anual</t>
  </si>
  <si>
    <t>Palmital</t>
  </si>
  <si>
    <t>LEI Nº 13.336</t>
  </si>
  <si>
    <t>Feira de Negócios, Tecnologia e Logística do Transporte - FEITRANS</t>
  </si>
  <si>
    <t>LEI Nº 13.335</t>
  </si>
  <si>
    <t>Jaborandi</t>
  </si>
  <si>
    <t>LEI Nº 13.334</t>
  </si>
  <si>
    <t>Festa do Cavalo</t>
  </si>
  <si>
    <t>Colina</t>
  </si>
  <si>
    <t>LEI Nº 13.333</t>
  </si>
  <si>
    <t>Festa do Senhor Bom Jesus</t>
  </si>
  <si>
    <t>agosto/anual</t>
  </si>
  <si>
    <t>Taquaral</t>
  </si>
  <si>
    <t>LEI Nº 13.332</t>
  </si>
  <si>
    <t>Festa de Fundação do Santos Futebol Clube</t>
  </si>
  <si>
    <t>Capital/Baixada Santista</t>
  </si>
  <si>
    <t>LEI Nº 13.331</t>
  </si>
  <si>
    <t>Águas de Santa Bárbara</t>
  </si>
  <si>
    <t>LEI Nº 13.330</t>
  </si>
  <si>
    <t>março/anual</t>
  </si>
  <si>
    <t>Sarapuí</t>
  </si>
  <si>
    <t>LEI Nº 13.329</t>
  </si>
  <si>
    <t>Mineiros do Tietê</t>
  </si>
  <si>
    <t>LEI Nº 13.328</t>
  </si>
  <si>
    <t>Dois Córregos</t>
  </si>
  <si>
    <t>LEI Nº 13.327</t>
  </si>
  <si>
    <t>Itapuí</t>
  </si>
  <si>
    <t>LEI Nº 13.326</t>
  </si>
  <si>
    <t>Boracéia</t>
  </si>
  <si>
    <t>LEI Nº 13.325</t>
  </si>
  <si>
    <t>Brotas</t>
  </si>
  <si>
    <t>LEI Nº 13.324</t>
  </si>
  <si>
    <t>Itaju</t>
  </si>
  <si>
    <t>LEI Nº 13.323</t>
  </si>
  <si>
    <t>Macatuba</t>
  </si>
  <si>
    <t>LEI Nº 13.322</t>
  </si>
  <si>
    <t>Feira Internacional das Cooperativas, Fornecedores e Serviços - FENACOOP</t>
  </si>
  <si>
    <t>LEI Nº 13.361</t>
  </si>
  <si>
    <t>Congresso da Mocidade da Igreja Evangélica Assembléia de Deus</t>
  </si>
  <si>
    <t>LEI Nº 13.360</t>
  </si>
  <si>
    <t>Nippon Fest</t>
  </si>
  <si>
    <t>Tupã</t>
  </si>
  <si>
    <t>LEI Nº 13.359</t>
  </si>
  <si>
    <t>João Rock</t>
  </si>
  <si>
    <t>LEI Nº 13.358</t>
  </si>
  <si>
    <t>Festa "Di San Gennaro"</t>
  </si>
  <si>
    <t>LEI Nº 13.357</t>
  </si>
  <si>
    <t>Festa de Frei Galvão</t>
  </si>
  <si>
    <t>11 de maio/anual</t>
  </si>
  <si>
    <t>Guaratinguetá</t>
  </si>
  <si>
    <t>LEI Nº 13.356</t>
  </si>
  <si>
    <t>São José do Barreiro</t>
  </si>
  <si>
    <t>LEI Nº 13.355</t>
  </si>
  <si>
    <t>Festa de São José</t>
  </si>
  <si>
    <t>LEI Nº 13.354</t>
  </si>
  <si>
    <t>Festa de Santa Maria Goreti</t>
  </si>
  <si>
    <t>LEI Nº 13.353</t>
  </si>
  <si>
    <t>Torneio Leiteiro</t>
  </si>
  <si>
    <t>LEI Nº 13.352</t>
  </si>
  <si>
    <t>Festa do Padroeiro São Luiz de Tolosa</t>
  </si>
  <si>
    <t>São Luiz do Paraitinga</t>
  </si>
  <si>
    <t>LEI Nº 13.351</t>
  </si>
  <si>
    <t>Silveiras</t>
  </si>
  <si>
    <t>LEI Nº 13.350</t>
  </si>
  <si>
    <t>Festival Eleazar de Carvalho</t>
  </si>
  <si>
    <t>LEI Nº 13.349</t>
  </si>
  <si>
    <t>Festival de Música Beneficente do Jardim Jangadeiro</t>
  </si>
  <si>
    <t>LEI Nº 13.348</t>
  </si>
  <si>
    <t>Festival da Primavera do Núcleo Turístico do Ribeirão Grande</t>
  </si>
  <si>
    <t>Pindamonhangaba</t>
  </si>
  <si>
    <t>LEI Nº 13.347</t>
  </si>
  <si>
    <t>Procissão de "Corpus Christi"</t>
  </si>
  <si>
    <t>LEI Nº 13.346</t>
  </si>
  <si>
    <t>Festa de Santo Amaro Padroeiro da Cidade</t>
  </si>
  <si>
    <t>LEI Nº 13.345</t>
  </si>
  <si>
    <t>Fest Country</t>
  </si>
  <si>
    <t>Avaré</t>
  </si>
  <si>
    <t>LEI Nº 13.344</t>
  </si>
  <si>
    <t>Natividade da Serra</t>
  </si>
  <si>
    <t>LEI Nº 13.343</t>
  </si>
  <si>
    <t>Festival da Música Sertaneja</t>
  </si>
  <si>
    <t>Itapecerica da Serra</t>
  </si>
  <si>
    <t>LEI Nº 13.381</t>
  </si>
  <si>
    <t>Festa de Nossa Senhora Aparecida</t>
  </si>
  <si>
    <t>12 de outubro</t>
  </si>
  <si>
    <t>Cachoeira Paulista</t>
  </si>
  <si>
    <t>LEI Nº 13.380</t>
  </si>
  <si>
    <t>Festa do Bairro do Pitéu</t>
  </si>
  <si>
    <t>LEI Nº 13.379</t>
  </si>
  <si>
    <t>Festa do Senhor Bom Jesus da Cana Verde</t>
  </si>
  <si>
    <t>LEI Nº 13.378</t>
  </si>
  <si>
    <t>Festa do Quilombo</t>
  </si>
  <si>
    <t>LEI Nº 13.377</t>
  </si>
  <si>
    <t>Festa de São Benedito</t>
  </si>
  <si>
    <t>LEI Nº 13.376</t>
  </si>
  <si>
    <t>Festa de Sant'Ana</t>
  </si>
  <si>
    <t>Roseira</t>
  </si>
  <si>
    <t>LEI Nº 13.375</t>
  </si>
  <si>
    <t>Feira das Nações</t>
  </si>
  <si>
    <t>LEI Nº 13.374</t>
  </si>
  <si>
    <t>Festa do Padroeiro Santo Antônio</t>
  </si>
  <si>
    <t>LEI Nº 13.373</t>
  </si>
  <si>
    <t>LEI Nº 13.372</t>
  </si>
  <si>
    <t>Aparecida</t>
  </si>
  <si>
    <t>LEI Nº 13.371</t>
  </si>
  <si>
    <t>Lorena</t>
  </si>
  <si>
    <t>LEI Nº 13.370</t>
  </si>
  <si>
    <t>após a semana santa/anual</t>
  </si>
  <si>
    <t>Cunha</t>
  </si>
  <si>
    <t>LEI Nº 13.369</t>
  </si>
  <si>
    <t>Carnaval de Rua</t>
  </si>
  <si>
    <t>Lavrinhas</t>
  </si>
  <si>
    <t>LEI Nº 13.368</t>
  </si>
  <si>
    <t>Festa do Padroeiro São Sebastião</t>
  </si>
  <si>
    <t>LEI Nº 13.367</t>
  </si>
  <si>
    <t>Maratona Aquática Internacional de Santos - Troféu Renata Agondi</t>
  </si>
  <si>
    <t>LEI Nº 13.366</t>
  </si>
  <si>
    <t>Novo Horizonte</t>
  </si>
  <si>
    <t>LEI Nº 13.365</t>
  </si>
  <si>
    <t>Fest Flora</t>
  </si>
  <si>
    <t>Flora Rica</t>
  </si>
  <si>
    <t>LEI Nº 13.364</t>
  </si>
  <si>
    <t>Festa da Caridade e a Romaria do Lar São Vicente de Paulo</t>
  </si>
  <si>
    <t>feriado corpus christi/anual</t>
  </si>
  <si>
    <t>LEI Nº 13.363</t>
  </si>
  <si>
    <t>Show da Clube</t>
  </si>
  <si>
    <t>LEI Nº 13.362</t>
  </si>
  <si>
    <t>Prova pedestre Desafio da Mata Atlântica A Tribuna/Cubatão</t>
  </si>
  <si>
    <t>Cubatão</t>
  </si>
  <si>
    <t>LEI Nº 13.402</t>
  </si>
  <si>
    <t>Meia-Maratona "A Tribuna - Praia Grande"</t>
  </si>
  <si>
    <t>Praia Grande</t>
  </si>
  <si>
    <t>LEI Nº 13.401</t>
  </si>
  <si>
    <t>Prova de atletismo "AT Revista Guarujá 8 K"</t>
  </si>
  <si>
    <t>LEI Nº 13.400</t>
  </si>
  <si>
    <t>Festa de Aniversário de Fundação do Aeroporto Internacional de Viracopos</t>
  </si>
  <si>
    <t>LEI Nº 13.398</t>
  </si>
  <si>
    <t>Festa Domingo Sertanejo</t>
  </si>
  <si>
    <t>LEI Nº 13.397</t>
  </si>
  <si>
    <t>Caçapaba</t>
  </si>
  <si>
    <t>LEI Nº 13.396</t>
  </si>
  <si>
    <t>Desfile Carnamar</t>
  </si>
  <si>
    <t>LEI Nº 13.395</t>
  </si>
  <si>
    <t>LEI Nº 13.394</t>
  </si>
  <si>
    <t>Feira Internacional de Produtos, Serviços &amp; Tecnologia para Escolas, Escritórios e Papelarias - ESCOLAR/FRANCAL</t>
  </si>
  <si>
    <t>LEI Nº 13.392</t>
  </si>
  <si>
    <t>julho ou agosto/anual</t>
  </si>
  <si>
    <t>Areias</t>
  </si>
  <si>
    <t>LEI Nº 13.391</t>
  </si>
  <si>
    <t>LEI Nº 13.390</t>
  </si>
  <si>
    <t>Festa da Padroeira de Santana</t>
  </si>
  <si>
    <t>LEI Nº 13.389</t>
  </si>
  <si>
    <t>LEI Nº 13.388</t>
  </si>
  <si>
    <t>Festa de São Judas</t>
  </si>
  <si>
    <t>LEI Nº 13.387</t>
  </si>
  <si>
    <t>LEI Nº 13.386</t>
  </si>
  <si>
    <t>Festa da Comida Tropeira</t>
  </si>
  <si>
    <t>LEI Nº 13.385</t>
  </si>
  <si>
    <t>Festa do Bom Jesus</t>
  </si>
  <si>
    <t>LEI Nº 13.384</t>
  </si>
  <si>
    <t>Canas</t>
  </si>
  <si>
    <t>LEI Nº 13.383</t>
  </si>
  <si>
    <t>LEI Nº 13.382</t>
  </si>
  <si>
    <t>Expo-Roseira</t>
  </si>
  <si>
    <t>março ou abril/anual</t>
  </si>
  <si>
    <t>LEI Nº 13.419</t>
  </si>
  <si>
    <t>Cãominhada</t>
  </si>
  <si>
    <t>LEI Nº 13.418</t>
  </si>
  <si>
    <t>Feira Agropecuária e Industrial de Dracena - FAPIDRA</t>
  </si>
  <si>
    <t>Dracena</t>
  </si>
  <si>
    <t>LEI Nº 13.417</t>
  </si>
  <si>
    <t>Festa Maior de Santo Expedito</t>
  </si>
  <si>
    <t>Santo Expedito</t>
  </si>
  <si>
    <t>LEI Nº 13.416</t>
  </si>
  <si>
    <t>Feira do Verde e Exposição Agropecuária, Comercial e Industrial - EXPOVERDE</t>
  </si>
  <si>
    <t>Adamantina</t>
  </si>
  <si>
    <t>LEI Nº 13.415</t>
  </si>
  <si>
    <t>Exposição de Acerola e de Uva - ACERUVA</t>
  </si>
  <si>
    <t>Junqueirópolis</t>
  </si>
  <si>
    <t>LEI Nº 13.414</t>
  </si>
  <si>
    <t>Osasco</t>
  </si>
  <si>
    <t>LEI Nº 13.413</t>
  </si>
  <si>
    <t>Procissão de Nossa Senhora dos Navegantes</t>
  </si>
  <si>
    <t>LEI Nº 13.411</t>
  </si>
  <si>
    <t>Dia do Desafio</t>
  </si>
  <si>
    <t>LEI Nº 13.410</t>
  </si>
  <si>
    <t>Festa Junina de Pirapozinho - FEJUPI</t>
  </si>
  <si>
    <t>Pirapozinho</t>
  </si>
  <si>
    <t>LEI Nº 13.409</t>
  </si>
  <si>
    <t>Romaria dos Cavaleiros de Santo Expedito</t>
  </si>
  <si>
    <t>LEI Nº 13.407</t>
  </si>
  <si>
    <t>Festa de São Benedito e a Festa da Mãe Negra</t>
  </si>
  <si>
    <t>abril e maio/anual</t>
  </si>
  <si>
    <t>LEI Nº 13.406</t>
  </si>
  <si>
    <t>Festa de "Corpus Christi"</t>
  </si>
  <si>
    <t>LEI Nº 13.405</t>
  </si>
  <si>
    <t>Folia de Santos Reis</t>
  </si>
  <si>
    <t>Ribeirão dos Índios</t>
  </si>
  <si>
    <t>LEI Nº 13.404</t>
  </si>
  <si>
    <t>Nikkei Fest</t>
  </si>
  <si>
    <t>LEI Nº 13.403</t>
  </si>
  <si>
    <t>Sushi Fest</t>
  </si>
  <si>
    <t>LEI Nº 13.445</t>
  </si>
  <si>
    <t>Corrida Escolar A Tribuna São Vicente</t>
  </si>
  <si>
    <t>São Vicente</t>
  </si>
  <si>
    <t>LEI Nº 13.444</t>
  </si>
  <si>
    <t>Festival da Paçoca</t>
  </si>
  <si>
    <t>anual domingo antes da Páscoa</t>
  </si>
  <si>
    <t>LEI Nº 13.443</t>
  </si>
  <si>
    <t>Festa do Torneio Leiteiro da Amizade</t>
  </si>
  <si>
    <t>LEI Nº 13.442</t>
  </si>
  <si>
    <t>Festa de Iemanjá</t>
  </si>
  <si>
    <t>LEI Nº 13.439</t>
  </si>
  <si>
    <t>Circuito Vale Histórico de Rodeio</t>
  </si>
  <si>
    <t>LEI Nº 13.438</t>
  </si>
  <si>
    <t>Festival Internacional de Violão de Guaratinguetá</t>
  </si>
  <si>
    <t>LEI Nº 13.437</t>
  </si>
  <si>
    <t>Dia de São Miguel Arcanjo</t>
  </si>
  <si>
    <t>LEI Nº 13.436</t>
  </si>
  <si>
    <t>Festival Santista de Curtas Metragens - “Curta Santos”</t>
  </si>
  <si>
    <t>LEI Nº 13.435</t>
  </si>
  <si>
    <t>Festa do Quitute de Jaboticabal</t>
  </si>
  <si>
    <t>Jaboticabal</t>
  </si>
  <si>
    <t>LEI Nº 13.434</t>
  </si>
  <si>
    <t>Paranapanema</t>
  </si>
  <si>
    <t>LEI Nº 13.433</t>
  </si>
  <si>
    <t>Ribeirão Grande</t>
  </si>
  <si>
    <t>LEI Nº 13.432</t>
  </si>
  <si>
    <t>Porangaba</t>
  </si>
  <si>
    <t>LEI Nº 13.431</t>
  </si>
  <si>
    <t>LEI Nº 13.430</t>
  </si>
  <si>
    <t>Angatuba</t>
  </si>
  <si>
    <t>LEI Nº 13.625</t>
  </si>
  <si>
    <t>Areiópolis</t>
  </si>
  <si>
    <t>LEI Nº 13.624</t>
  </si>
  <si>
    <t>Guareí</t>
  </si>
  <si>
    <t>LEI Nº 13.623</t>
  </si>
  <si>
    <t>Cesário Lange</t>
  </si>
  <si>
    <t>LEI Nº 13.622</t>
  </si>
  <si>
    <t>Capão Bonito</t>
  </si>
  <si>
    <t>LEI Nº 13.621</t>
  </si>
  <si>
    <t>Itaporanga</t>
  </si>
  <si>
    <t>LEI Nº 13.620</t>
  </si>
  <si>
    <t>Coronel Macedo</t>
  </si>
  <si>
    <t>LEI Nº 13.619</t>
  </si>
  <si>
    <t>Palmeira d’Oeste</t>
  </si>
  <si>
    <t>LEI Nº 13.618</t>
  </si>
  <si>
    <t>Aparecida d’Oeste</t>
  </si>
  <si>
    <t>LEI Nº 13.617</t>
  </si>
  <si>
    <t>Urânia</t>
  </si>
  <si>
    <t>LEI Nº 13.616</t>
  </si>
  <si>
    <t>Indiaporã</t>
  </si>
  <si>
    <t>LEI Nº 13.615</t>
  </si>
  <si>
    <t>Palestina</t>
  </si>
  <si>
    <t>LEI Nº 13.614</t>
  </si>
  <si>
    <t>Valentim Gentil</t>
  </si>
  <si>
    <t>LEI Nº 13.613</t>
  </si>
  <si>
    <t>Mira Estrela</t>
  </si>
  <si>
    <t>LEI Nº 13.612</t>
  </si>
  <si>
    <t>Santa Albertina</t>
  </si>
  <si>
    <t>LEI Nº 13.611</t>
  </si>
  <si>
    <t>março</t>
  </si>
  <si>
    <t>Paranapuã</t>
  </si>
  <si>
    <t>LEI Nº 13.610</t>
  </si>
  <si>
    <t>Riolândia</t>
  </si>
  <si>
    <t>LEI Nº 13.609</t>
  </si>
  <si>
    <t>Paulo de Faria</t>
  </si>
  <si>
    <t>LEI Nº 13.608</t>
  </si>
  <si>
    <t>Meridiano</t>
  </si>
  <si>
    <t>LEI Nº 13.651</t>
  </si>
  <si>
    <t>EXPO AFLORD - Exposição de Flores da Associação dos Floricultores da Região da Dutra</t>
  </si>
  <si>
    <t>agosto e setembro/anual</t>
  </si>
  <si>
    <t>Arujá</t>
  </si>
  <si>
    <t>LEI Nº 13.650</t>
  </si>
  <si>
    <t>Feira Industrial Ferreirense - FEIFE</t>
  </si>
  <si>
    <t>Porto Ferreira</t>
  </si>
  <si>
    <t>LEI Nº 13.649</t>
  </si>
  <si>
    <t>Encenação da paixão, morte e ressurreição de Jesus Cristo</t>
  </si>
  <si>
    <t>Tremembé</t>
  </si>
  <si>
    <t>LEI Nº 13.648</t>
  </si>
  <si>
    <t>Feira Industrial, Comercial, Cultural e Agropecuária de Santa Fé do Sul - FICCAP</t>
  </si>
  <si>
    <t>Santa Fé do Sul</t>
  </si>
  <si>
    <t>LEI Nº 13.647</t>
  </si>
  <si>
    <t>Feira Agrícola, Comercial, Industrial e Pecuária de Jales - FACIP</t>
  </si>
  <si>
    <t>Jales</t>
  </si>
  <si>
    <t>LEI Nº 13.646</t>
  </si>
  <si>
    <t>Expô de Fernandópolis</t>
  </si>
  <si>
    <t>Fernandópolis</t>
  </si>
  <si>
    <t>LEI Nº 13.641</t>
  </si>
  <si>
    <t>Porto Feliz</t>
  </si>
  <si>
    <t>LEI Nº 13.640</t>
  </si>
  <si>
    <t>LEI Nº 13.639</t>
  </si>
  <si>
    <t>Agudos</t>
  </si>
  <si>
    <t>LEI Nº 13.638</t>
  </si>
  <si>
    <t>Pederneiras</t>
  </si>
  <si>
    <t>LEI Nº 13.637</t>
  </si>
  <si>
    <t>Pirajuí</t>
  </si>
  <si>
    <t>LEI Nº 13.636</t>
  </si>
  <si>
    <t>Piratininga</t>
  </si>
  <si>
    <t>LEI Nº 13.635</t>
  </si>
  <si>
    <t>Laranjal Paulista</t>
  </si>
  <si>
    <t>LEI Nº 13.634</t>
  </si>
  <si>
    <t>Itatinga</t>
  </si>
  <si>
    <t>LEI Nº 13.633</t>
  </si>
  <si>
    <t>Conchas</t>
  </si>
  <si>
    <t>LEI Nº 13.632</t>
  </si>
  <si>
    <t>Bernardino de Campos</t>
  </si>
  <si>
    <t>LEI Nº 13.631</t>
  </si>
  <si>
    <t>Pilar do Sul</t>
  </si>
  <si>
    <t>LEI Nº 13.630</t>
  </si>
  <si>
    <t>Votorantim</t>
  </si>
  <si>
    <t>LEI Nº 13.629</t>
  </si>
  <si>
    <t>Ibiúna</t>
  </si>
  <si>
    <t>LEI Nº 13.628</t>
  </si>
  <si>
    <t>Araçariguama</t>
  </si>
  <si>
    <t>LEI Nº 13.771</t>
  </si>
  <si>
    <t>Dia Estadual do Doador Voluntário de Sangue</t>
  </si>
  <si>
    <t>LEI Nº 13.753</t>
  </si>
  <si>
    <t>Feira do Eucalipto</t>
  </si>
  <si>
    <t>Salesópolis</t>
  </si>
  <si>
    <t>LEI Nº 13.750</t>
  </si>
  <si>
    <t>Maratona Cultural Satyrianas - Uma Saudação à Primavera</t>
  </si>
  <si>
    <t>LEI Nº 13.749</t>
  </si>
  <si>
    <t>Festa do Caqui e das Flores</t>
  </si>
  <si>
    <t>Mogi das Cruzes</t>
  </si>
  <si>
    <t>LEI Nº 13.727</t>
  </si>
  <si>
    <t>Travessia a nado e outras modalidades</t>
  </si>
  <si>
    <t>Pereira Barreto</t>
  </si>
  <si>
    <t>LEI Nº 13.665</t>
  </si>
  <si>
    <t>Festividade Pan Verão</t>
  </si>
  <si>
    <t>Panorama</t>
  </si>
  <si>
    <t>LEI Nº 13.664</t>
  </si>
  <si>
    <t>Festa das Nações de Tupi Paulista - FENATUPI</t>
  </si>
  <si>
    <t>Tupi Paulista</t>
  </si>
  <si>
    <t>LEI Nº 13.663</t>
  </si>
  <si>
    <t>LEI Nº 13.662</t>
  </si>
  <si>
    <t>Festa do 13 de Maio</t>
  </si>
  <si>
    <t>Itapira</t>
  </si>
  <si>
    <t>LEI Nº 13.661</t>
  </si>
  <si>
    <t>Arraial Julino da Comunidade Jongo “Dito Ribeiro”</t>
  </si>
  <si>
    <t>LEI Nº 13.660</t>
  </si>
  <si>
    <t>Federal Motofest</t>
  </si>
  <si>
    <t>LEI Nº 13.655</t>
  </si>
  <si>
    <t>EXPOPIRA - Feira Comercial e Industrial de Pirassununga</t>
  </si>
  <si>
    <t>Pirassununga</t>
  </si>
  <si>
    <t>LEI Nº 13.654</t>
  </si>
  <si>
    <t>Festa Italiana de Pirassununga</t>
  </si>
  <si>
    <t>LEI Nº 13.653</t>
  </si>
  <si>
    <t>Campeonato Municipal de Pesca de Fartura</t>
  </si>
  <si>
    <t>Fartura</t>
  </si>
  <si>
    <t>LEI Nº 13.652</t>
  </si>
  <si>
    <t>Festa da Folia de Reis</t>
  </si>
  <si>
    <t>LEI Nº 13.841</t>
  </si>
  <si>
    <t>Festa do Trabalhador de Pirapozinho</t>
  </si>
  <si>
    <t>LEI Nº 13.839</t>
  </si>
  <si>
    <t>Micareta Carnabeirão</t>
  </si>
  <si>
    <t>março e abril/anual</t>
  </si>
  <si>
    <t>LEI Nº 13.827</t>
  </si>
  <si>
    <t>EXPOAGRO - Feira Agropecuária de Franca</t>
  </si>
  <si>
    <t>LEI Nº 13.826</t>
  </si>
  <si>
    <t>Evento religioso “Alegrai-vos”</t>
  </si>
  <si>
    <t>fevereiro e março/anual</t>
  </si>
  <si>
    <t>LEI Nº 13.825</t>
  </si>
  <si>
    <t>Festa de Carnaval</t>
  </si>
  <si>
    <t>LEI Nº 13.824</t>
  </si>
  <si>
    <t>Festa Junina de Votorantim</t>
  </si>
  <si>
    <t>LEI Nº 13.823</t>
  </si>
  <si>
    <t>Feira da Indústria e Comércio de Primavera e Rosana - PRIMAROSA</t>
  </si>
  <si>
    <t>Rosana</t>
  </si>
  <si>
    <t>LEI Nº 13.822</t>
  </si>
  <si>
    <t>Festa de Premiação do Clube de Pesca Mentirosos do Itaim Paulista</t>
  </si>
  <si>
    <t>LEI Nº 13.935</t>
  </si>
  <si>
    <t>Hortolândia</t>
  </si>
  <si>
    <t>LEI Nº 13.928</t>
  </si>
  <si>
    <t>Festa da Soja</t>
  </si>
  <si>
    <t>São Joaquim da Barra</t>
  </si>
  <si>
    <t>LEI Nº 13.888</t>
  </si>
  <si>
    <t>Festa do Milho Verde</t>
  </si>
  <si>
    <t>Jaci</t>
  </si>
  <si>
    <t>LEI Nº 13.882</t>
  </si>
  <si>
    <t>Sumaré Rodeo Festival</t>
  </si>
  <si>
    <t>Sumaré</t>
  </si>
  <si>
    <t>LEI Nº 13.881</t>
  </si>
  <si>
    <t>Festa do Divino Espírito Santo de Itanhaém</t>
  </si>
  <si>
    <t>LEI Nº 13.879</t>
  </si>
  <si>
    <t>Feira Agropecuária e Industrial de Ourinhos (FAPI)</t>
  </si>
  <si>
    <t>LEI Nº 13.876</t>
  </si>
  <si>
    <t>Cup Soccer Inter-Regional</t>
  </si>
  <si>
    <t>São José do Rio Pardo</t>
  </si>
  <si>
    <t>LEI Nº 13.861</t>
  </si>
  <si>
    <t>LEI Nº 13.859</t>
  </si>
  <si>
    <t>Urupês</t>
  </si>
  <si>
    <t>LEI Nº 13.857</t>
  </si>
  <si>
    <t>Campeonato Regional de Futebol e o Campeonato Regional de Vôlei</t>
  </si>
  <si>
    <t>LEI Nº 14.000</t>
  </si>
  <si>
    <t>Festa do Peão Boiadeiro “Festa do Gigante Vermelho”</t>
  </si>
  <si>
    <t>Cândido Mota</t>
  </si>
  <si>
    <t>LEI Nº 13.999</t>
  </si>
  <si>
    <t>Festa do Santuário de Santa Terezinha</t>
  </si>
  <si>
    <t>Cerqueira César</t>
  </si>
  <si>
    <t>LEI Nº 13.998</t>
  </si>
  <si>
    <t>Encenação da “Via Crucis”</t>
  </si>
  <si>
    <t>Santa Bárbara d’Oeste</t>
  </si>
  <si>
    <t>LEI Nº 13.996</t>
  </si>
  <si>
    <t>Evento “Carnapraia”</t>
  </si>
  <si>
    <t>Salto Grande</t>
  </si>
  <si>
    <t>LEI Nº 13.990</t>
  </si>
  <si>
    <t>Festival do Chocolate</t>
  </si>
  <si>
    <t>julho a agosto/anual</t>
  </si>
  <si>
    <t>Ribeirão Pires</t>
  </si>
  <si>
    <t>LEI Nº 13.936</t>
  </si>
  <si>
    <t>Festa do Menino da Tábua</t>
  </si>
  <si>
    <t>Maracaí</t>
  </si>
  <si>
    <t>LEI Nº 14.043</t>
  </si>
  <si>
    <t>Festival Gastronômico do Guarujá</t>
  </si>
  <si>
    <t>LEI Nº 14.042</t>
  </si>
  <si>
    <t>Evento religioso AVIVA</t>
  </si>
  <si>
    <t>Presidente Alves</t>
  </si>
  <si>
    <t>LEI Nº 14.041</t>
  </si>
  <si>
    <t>Festa de Aniversário do bairro do Ipiranga</t>
  </si>
  <si>
    <t>LEI Nº 14.191</t>
  </si>
  <si>
    <t>Feira Preta Cultural</t>
  </si>
  <si>
    <t>LEI Nº 14.184</t>
  </si>
  <si>
    <t>Semana de Estudos Euclidiana</t>
  </si>
  <si>
    <t>LEI Nº 14.179</t>
  </si>
  <si>
    <t>Torneio 1º de Maio</t>
  </si>
  <si>
    <t>LEI Nº 14.177</t>
  </si>
  <si>
    <t>Cavalgada de São Sebastião</t>
  </si>
  <si>
    <t>LEI Nº 14.446</t>
  </si>
  <si>
    <t>Festa da Cerejeira do Município de Suzano</t>
  </si>
  <si>
    <t>Suzano</t>
  </si>
  <si>
    <t>LEI Nº 14.439</t>
  </si>
  <si>
    <t>Feira do Bordado</t>
  </si>
  <si>
    <t>LEI Nº 14.437</t>
  </si>
  <si>
    <t>Festival da Mantiqueira</t>
  </si>
  <si>
    <t>maio e junho/anual</t>
  </si>
  <si>
    <t>São Francisco Xavier/São José dos Campos</t>
  </si>
  <si>
    <t>LEI Nº 14.436</t>
  </si>
  <si>
    <t>Caipirapuru - Encontro de Violeiros e Cantadores de Irapuru, Feira Regional Caipira e Festa do Milho</t>
  </si>
  <si>
    <t>Irapuru</t>
  </si>
  <si>
    <t>LEI Nº 14.434</t>
  </si>
  <si>
    <t>Exposição de ônibus antigos intitulada VVR - Viver, Ver e Rever</t>
  </si>
  <si>
    <t>LEI Nº 14.433</t>
  </si>
  <si>
    <t>Festa de Santo Antônio de Pádua</t>
  </si>
  <si>
    <t>Taiúva</t>
  </si>
  <si>
    <t>LEI Nº 14.432</t>
  </si>
  <si>
    <t>Encontro de Cavaleiros da Estância Terrinha</t>
  </si>
  <si>
    <t>LEI Nº 14.430</t>
  </si>
  <si>
    <t>Viradouro Rodeio Show</t>
  </si>
  <si>
    <t>Viradouro</t>
  </si>
  <si>
    <t>LEI Nº 14.528</t>
  </si>
  <si>
    <t>Festival da Cultura Nordestina de Cubatão</t>
  </si>
  <si>
    <t>LEI Nº 14.523</t>
  </si>
  <si>
    <t>Encontro Palmeirense dos Adoradores de Deus - EPAD</t>
  </si>
  <si>
    <t>Santa Cruz das Palmeiras</t>
  </si>
  <si>
    <t>LEI Nº 14.520</t>
  </si>
  <si>
    <t>Festa de “Corpus Christi”</t>
  </si>
  <si>
    <t>LEI Nº 14.617</t>
  </si>
  <si>
    <t>Festival Nikkey Matsuri</t>
  </si>
  <si>
    <t>LEI Nº 14.599</t>
  </si>
  <si>
    <t>Encenação Teatral da Paixão de Cristo</t>
  </si>
  <si>
    <t>Itaquaquecetuba</t>
  </si>
  <si>
    <t>LEI Nº 14.588</t>
  </si>
  <si>
    <t>LEI Nº 14.580</t>
  </si>
  <si>
    <t>Expo Hair - Feira e Exposição da Beleza</t>
  </si>
  <si>
    <t>LEI Nº 14.574</t>
  </si>
  <si>
    <t>Festa de Pentecostes</t>
  </si>
  <si>
    <t>LEI Nº 14.563</t>
  </si>
  <si>
    <t>Encenação Teatral Paixão, Morte e Ressurreição de Jesus Cristo de Rio Claro</t>
  </si>
  <si>
    <t>LEI Nº 14.552</t>
  </si>
  <si>
    <t>Copa CNA de Futsal Escolar</t>
  </si>
  <si>
    <t>Baixada Santista</t>
  </si>
  <si>
    <t>LEI Nº 14.549</t>
  </si>
  <si>
    <t>Festa “Kaki Fuyu”</t>
  </si>
  <si>
    <t>anual 20 de maio</t>
  </si>
  <si>
    <t>Piedade</t>
  </si>
  <si>
    <t>LEI Nº 14.648</t>
  </si>
  <si>
    <t>Festa do Peão Boiadeiro e a Feira Agropecuária</t>
  </si>
  <si>
    <t>Monte Mor</t>
  </si>
  <si>
    <t>LEI Nº 14.645</t>
  </si>
  <si>
    <t>Festa Nordestina de Suzano</t>
  </si>
  <si>
    <t>LEI Nº 14.644</t>
  </si>
  <si>
    <t>Festa do Divino Espírito Santo de Nazaré Paulista</t>
  </si>
  <si>
    <t>Nazaré Paulista</t>
  </si>
  <si>
    <t>LEI Nº 14.640</t>
  </si>
  <si>
    <t>Ribeirão Rodeo Music</t>
  </si>
  <si>
    <t>LEI Nº 14.633</t>
  </si>
  <si>
    <t>Festa do Milho de Buritama</t>
  </si>
  <si>
    <t>Buritama</t>
  </si>
  <si>
    <t>LEI Nº 14.713</t>
  </si>
  <si>
    <t>LEI Nº 14.712</t>
  </si>
  <si>
    <t>Festa da Lapa</t>
  </si>
  <si>
    <t>28/07 a 06/08</t>
  </si>
  <si>
    <t>Jardinópolis</t>
  </si>
  <si>
    <t>LEI Nº 14.705</t>
  </si>
  <si>
    <t>Festa da Colheita da Colônia Mombuca</t>
  </si>
  <si>
    <t>Guatapará</t>
  </si>
  <si>
    <t>LEI Nº 14.699</t>
  </si>
  <si>
    <t>Santo André</t>
  </si>
  <si>
    <t>LEI Nº 14.698</t>
  </si>
  <si>
    <t>Guararema Fest Show</t>
  </si>
  <si>
    <t>Guararema</t>
  </si>
  <si>
    <t>LEI Nº 14.695</t>
  </si>
  <si>
    <t>Festa do Peão Boiadeiro e Cavalgada de Itaquaquecetuba</t>
  </si>
  <si>
    <t>LEI Nº 14.815</t>
  </si>
  <si>
    <t>Festival JapanSul</t>
  </si>
  <si>
    <t>LEI Nº 14.814</t>
  </si>
  <si>
    <t>Sonho de Natal</t>
  </si>
  <si>
    <t>anual/nov/dez/jan</t>
  </si>
  <si>
    <t>LEI Nº 14.812</t>
  </si>
  <si>
    <t>Representação cultural Passos da Paixão</t>
  </si>
  <si>
    <t>Poá</t>
  </si>
  <si>
    <t>LEI Nº 14.767</t>
  </si>
  <si>
    <t>Feira Internacional de Tecnologia Agrícola - AGRISHOW</t>
  </si>
  <si>
    <t>LEI Nº 14.766</t>
  </si>
  <si>
    <t>Festa Inverno Santos</t>
  </si>
  <si>
    <t>LEI Nº 14.862</t>
  </si>
  <si>
    <t>Festa em Louvor a São João Batista</t>
  </si>
  <si>
    <t>Barueri</t>
  </si>
  <si>
    <t>LEI Nº 14.861</t>
  </si>
  <si>
    <t>Festa em Louvor a Nossa Senhora da Escada</t>
  </si>
  <si>
    <t>LEI Nº 14.858</t>
  </si>
  <si>
    <t>Festa das Orquídeas - Orquivárzea</t>
  </si>
  <si>
    <t>Várzea Paulista</t>
  </si>
  <si>
    <t>LEI Nº 14.855</t>
  </si>
  <si>
    <t>Tropeada Paulista</t>
  </si>
  <si>
    <t>Sudoeste Paulista</t>
  </si>
  <si>
    <t>LEI Nº 14.854</t>
  </si>
  <si>
    <t>Festival Tanabata</t>
  </si>
  <si>
    <t>LEI Nº 14.847</t>
  </si>
  <si>
    <t>Peregrinação ao Santuário Diocesano de Nossa Senhora da Conceição Montesina</t>
  </si>
  <si>
    <t>Monte Alto</t>
  </si>
  <si>
    <t>LEI Nº 14.846</t>
  </si>
  <si>
    <t>Festa das Cerejeiras do Parque do Carmo</t>
  </si>
  <si>
    <t>LEI Nº 14.845</t>
  </si>
  <si>
    <t>Feira Agropecuária e Industrial de Guararapes (FAPIG)</t>
  </si>
  <si>
    <t>Guararapes</t>
  </si>
  <si>
    <t>LEI Nº 14.842</t>
  </si>
  <si>
    <t>Festa do Pilar</t>
  </si>
  <si>
    <t>LEI Nº 14.841</t>
  </si>
  <si>
    <t>Okinawa Festival</t>
  </si>
  <si>
    <t>LEI Nº 14.840</t>
  </si>
  <si>
    <t>Grande Exposição de Arte Bunkyo</t>
  </si>
  <si>
    <t>LEI Nº 14.912</t>
  </si>
  <si>
    <t>Festitália de Ribeirão Preto</t>
  </si>
  <si>
    <t>LEI Nº 14.911</t>
  </si>
  <si>
    <t>Festa da Uva Itália</t>
  </si>
  <si>
    <t>São Miguel Arcanjo</t>
  </si>
  <si>
    <t>LEI Nº 14.909</t>
  </si>
  <si>
    <t>Expo ChocoMilho</t>
  </si>
  <si>
    <t>LEI Nº 14.981</t>
  </si>
  <si>
    <t>Dia Mães de Maio</t>
  </si>
  <si>
    <t>Todo Estado</t>
  </si>
  <si>
    <t>LEI Nº 15.079</t>
  </si>
  <si>
    <t>Mirandópolis</t>
  </si>
  <si>
    <t>LEI Nº 15.073</t>
  </si>
  <si>
    <t>Festa de São João</t>
  </si>
  <si>
    <t>LEI Nº 15.007</t>
  </si>
  <si>
    <t>LEI Nº 15.003</t>
  </si>
  <si>
    <t>Pirapozinho Rodeio Country</t>
  </si>
  <si>
    <t>LEI Nº 15.156</t>
  </si>
  <si>
    <t>Ipaussu</t>
  </si>
  <si>
    <t>LEI Nº 15.151</t>
  </si>
  <si>
    <t>Passeio Franca-Restinga</t>
  </si>
  <si>
    <t>Franca e Restinga</t>
  </si>
  <si>
    <t>LEI Nº 15.112</t>
  </si>
  <si>
    <t>Comitiva dos Tropeiros de Tupã</t>
  </si>
  <si>
    <t>LEI Nº 15.108</t>
  </si>
  <si>
    <t>LEI Nº 15.106</t>
  </si>
  <si>
    <t>Festival dos Imigrantes</t>
  </si>
  <si>
    <t>Jacareí</t>
  </si>
  <si>
    <t>LEI Nº 15.104</t>
  </si>
  <si>
    <t>Rebanhão de Cruzeiro</t>
  </si>
  <si>
    <t>Cruzeiro</t>
  </si>
  <si>
    <t>LEI Nº 15.080</t>
  </si>
  <si>
    <t>LEI Nº 15.246</t>
  </si>
  <si>
    <t>Festival Delícias do Milho</t>
  </si>
  <si>
    <t>Bueno de Andrada/Araraquara</t>
  </si>
  <si>
    <t>LEI Nº 15.245</t>
  </si>
  <si>
    <t>Festa em Louvor a São Gonçalo</t>
  </si>
  <si>
    <t>LEI Nº 15.243</t>
  </si>
  <si>
    <t>Festival do Pastel &amp; Caldo de Cana</t>
  </si>
  <si>
    <t>LEI Nº 15.242</t>
  </si>
  <si>
    <t>Circuito Turístico Oeste Rios</t>
  </si>
  <si>
    <t>permanente</t>
  </si>
  <si>
    <t>Região de Presidente Prudente</t>
  </si>
  <si>
    <t>LEI Nº 15.240</t>
  </si>
  <si>
    <t>Encenação Teatral “Paixão de Cristo”</t>
  </si>
  <si>
    <t>LEI Nº 15.222</t>
  </si>
  <si>
    <t>Cavalgada, Carreata e Passeata para Jesus</t>
  </si>
  <si>
    <t>LEI Nº 15.206</t>
  </si>
  <si>
    <t>Olimpíada Regional de Taiaçu</t>
  </si>
  <si>
    <t>Taiaçu</t>
  </si>
  <si>
    <t>LEI Nº 15.199</t>
  </si>
  <si>
    <t>Festival do Cambuci</t>
  </si>
  <si>
    <t>Rio Grande da Serra</t>
  </si>
  <si>
    <t>LEI Nº 15.185</t>
  </si>
  <si>
    <t>Sumaré Arena Music</t>
  </si>
  <si>
    <t>LEI Nº 15.172</t>
  </si>
  <si>
    <t>Semana Padre Bento</t>
  </si>
  <si>
    <t>Itu</t>
  </si>
  <si>
    <t>LEI Nº 15.324</t>
  </si>
  <si>
    <t>Semana Evangélica</t>
  </si>
  <si>
    <t>Jaú</t>
  </si>
  <si>
    <t>LEI Nº 15.319</t>
  </si>
  <si>
    <t>ExpoJaú</t>
  </si>
  <si>
    <t>LEI Nº 15.317</t>
  </si>
  <si>
    <t>Encontro de Ferreomodelismo de Cubatão</t>
  </si>
  <si>
    <t>LEI Nº 15.379</t>
  </si>
  <si>
    <t>Mirante Folia</t>
  </si>
  <si>
    <t>Mirante do Paranapanema</t>
  </si>
  <si>
    <t>LEI Nº 15.377</t>
  </si>
  <si>
    <t>Encontro Nacional de Pick-Ups e Autos Antigos</t>
  </si>
  <si>
    <t>Águas de São Pedro</t>
  </si>
  <si>
    <t>LEI Nº 15.355</t>
  </si>
  <si>
    <t>Prova de Natação Equipada do 11º Grupamento de Bombeiros</t>
  </si>
  <si>
    <t>Represa do Jaguari</t>
  </si>
  <si>
    <t>LEI Nº 15.353</t>
  </si>
  <si>
    <t>Festa Caipira da Igreja Fonte da Vida</t>
  </si>
  <si>
    <t>Caçapava</t>
  </si>
  <si>
    <t>LEI Nº 15.350</t>
  </si>
  <si>
    <t>Semana do Teatro Escolar</t>
  </si>
  <si>
    <t>LEI Nº 15.330</t>
  </si>
  <si>
    <t>Circuito Queima do Alho</t>
  </si>
  <si>
    <t>diversos municípios</t>
  </si>
  <si>
    <t>LEI Nº 15.329</t>
  </si>
  <si>
    <t>Encontro Carrossauro de Veículos Antigos</t>
  </si>
  <si>
    <t>LEI Nº 15.328</t>
  </si>
  <si>
    <t>Encontro Esplendor de Carros Antigos</t>
  </si>
  <si>
    <t>LEI Nº 15.327</t>
  </si>
  <si>
    <t>LEI Nº 15.405</t>
  </si>
  <si>
    <t>Festa de São João Batista</t>
  </si>
  <si>
    <t>Joanópolis</t>
  </si>
  <si>
    <t>LEI Nº 15.404</t>
  </si>
  <si>
    <t>Estado o Baile do Carmo</t>
  </si>
  <si>
    <t>Araraquara</t>
  </si>
  <si>
    <t>LEI Nº 15.403</t>
  </si>
  <si>
    <t>Estado a Semana Evangélica</t>
  </si>
  <si>
    <t>Taubaté</t>
  </si>
  <si>
    <t>LEI Nº 15.395</t>
  </si>
  <si>
    <t>Bourbon Street Festival</t>
  </si>
  <si>
    <t>LEI Nº 15.393</t>
  </si>
  <si>
    <t>Feira de Artes Santa Tereza</t>
  </si>
  <si>
    <t>Embu das Artes</t>
  </si>
  <si>
    <t>LEI Nº 15.386</t>
  </si>
  <si>
    <t>Festa do Calçado de Franca</t>
  </si>
  <si>
    <t>LEI Nº 15.384</t>
  </si>
  <si>
    <t>Dia do Mutirão de Natal da Igreja Adventista do Sétimo Dia</t>
  </si>
  <si>
    <t>Cotia</t>
  </si>
  <si>
    <t>LEI Nº 15.383</t>
  </si>
  <si>
    <t>Desfile de Cavaleiros e Amazonas</t>
  </si>
  <si>
    <t>Santo Antônio do Jardim</t>
  </si>
  <si>
    <t>LEI Nº 15.382</t>
  </si>
  <si>
    <t>Festa do Peão de Júlio Mesquita</t>
  </si>
  <si>
    <t>Júlio Mesquita</t>
  </si>
  <si>
    <t>LEI Nº 15.381</t>
  </si>
  <si>
    <t>Festa do Divino Espírito Santo de Biritiba Mirim</t>
  </si>
  <si>
    <t>Biritiba Mirim</t>
  </si>
  <si>
    <t>LEI Nº 15.507</t>
  </si>
  <si>
    <t>Copa Brasil de Futebol Infantil</t>
  </si>
  <si>
    <t>LEI Nº 15.479</t>
  </si>
  <si>
    <t>Semana Estadual de Cultura Evangélica do Município de Cananéia</t>
  </si>
  <si>
    <t>Cananéia</t>
  </si>
  <si>
    <t>LEI Nº 15.478</t>
  </si>
  <si>
    <t>Pé na Tábua - Corrida de Calhambeques</t>
  </si>
  <si>
    <t>LEI Nº 15.469</t>
  </si>
  <si>
    <t>Jaú Trend Show</t>
  </si>
  <si>
    <t>LEI Nº 15.468</t>
  </si>
  <si>
    <t>Virada do Ano de Taiaçu</t>
  </si>
  <si>
    <t>LEI Nº 15.544</t>
  </si>
  <si>
    <t>Santa Cruz do Rio Pardo</t>
  </si>
  <si>
    <t>LEI Nº 15.543</t>
  </si>
  <si>
    <t>Cidades do circuito</t>
  </si>
  <si>
    <t>LEI Nº 15.542</t>
  </si>
  <si>
    <t>Queiroz</t>
  </si>
  <si>
    <t>LEI Nº 15.540</t>
  </si>
  <si>
    <t>Morro Agudo</t>
  </si>
  <si>
    <t>LEI Nº 15.511</t>
  </si>
  <si>
    <t>Feira Paulista de Assentamentos e Quilombos (FEPAQ)</t>
  </si>
  <si>
    <t>LEI Nº 15.508</t>
  </si>
  <si>
    <t>LEI Nº 15.707</t>
  </si>
  <si>
    <t>Concurso Brasileiro de Canto Maria Callas</t>
  </si>
  <si>
    <t>Jacareí e São Paulo</t>
  </si>
  <si>
    <t>LEI Nº 15.706</t>
  </si>
  <si>
    <t>Festival Literário de Votuporanga - FLIV</t>
  </si>
  <si>
    <t>Votuporanga</t>
  </si>
  <si>
    <t>LEI Nº 15.649</t>
  </si>
  <si>
    <t>Exposição de Presépios da Paróquia de Tapiratiba</t>
  </si>
  <si>
    <t>Tapiratiba</t>
  </si>
  <si>
    <t>LEI Nº 15.632</t>
  </si>
  <si>
    <t>Exposição Agropecuária de Barretos</t>
  </si>
  <si>
    <t>LEI Nº 15.821</t>
  </si>
  <si>
    <t>ExpoMira</t>
  </si>
  <si>
    <t>LEI Nº 15.807</t>
  </si>
  <si>
    <t>Santana de Parnaíba</t>
  </si>
  <si>
    <t>LEI Nº 15.793</t>
  </si>
  <si>
    <t>Nova Odessa</t>
  </si>
  <si>
    <t>LEI Nº 15.791</t>
  </si>
  <si>
    <t>LEI Nº 15.729</t>
  </si>
  <si>
    <t>Festividades de Natal: Presépio e Cantatas</t>
  </si>
  <si>
    <t>LEI Nº 15.724</t>
  </si>
  <si>
    <t>29 de novembro</t>
  </si>
  <si>
    <t>LEI Nº 15.711</t>
  </si>
  <si>
    <t>Feira Expobeleza</t>
  </si>
  <si>
    <t>LEI Nº 15.710</t>
  </si>
  <si>
    <t>Semana Municipal de Proclamação do Evangelho no Município de Igaratá</t>
  </si>
  <si>
    <t>Igaratá</t>
  </si>
  <si>
    <t>LEI Nº 15.883</t>
  </si>
  <si>
    <t>Festa do Pastel da Igreja Evangélica Casa de Oração do Distrito Costa Machado</t>
  </si>
  <si>
    <t>LEI Nº 15.881</t>
  </si>
  <si>
    <t>Festa de Natal das Crianças Especiais</t>
  </si>
  <si>
    <t>LEI Nº 15.880</t>
  </si>
  <si>
    <t>Semana Municipal dos Evangélicos</t>
  </si>
  <si>
    <t>Ibirarema</t>
  </si>
  <si>
    <t>LEI Nº 15.865</t>
  </si>
  <si>
    <t>Encontro de Avivamento Espiritual</t>
  </si>
  <si>
    <t>LEI Nº 15.864</t>
  </si>
  <si>
    <t>Corrida de Aleluia</t>
  </si>
  <si>
    <t>LEI Nº 15.863</t>
  </si>
  <si>
    <t>Gente do Bem</t>
  </si>
  <si>
    <t>LEI Nº 15.861</t>
  </si>
  <si>
    <t>Kustom Meeting</t>
  </si>
  <si>
    <t>LEI Nº 15.844</t>
  </si>
  <si>
    <t>Festa do Doce</t>
  </si>
  <si>
    <t>LEI Nº 15.841</t>
  </si>
  <si>
    <t>Semana Cultural Evangélica</t>
  </si>
  <si>
    <t>LEI Nº 16.017</t>
  </si>
  <si>
    <t>Romaria de São Miguel Arcanjo</t>
  </si>
  <si>
    <t>Iguape</t>
  </si>
  <si>
    <t>LEI Nº 15.990</t>
  </si>
  <si>
    <t>AVIASHOW - Feira de Aviação Desportiva</t>
  </si>
  <si>
    <t>Regente Feijó</t>
  </si>
  <si>
    <t>LEI Nº 15.988</t>
  </si>
  <si>
    <t>avalgada da APAE - Associação de Pais e Amigos dos Excepcionais</t>
  </si>
  <si>
    <t>Estiva Gerbi</t>
  </si>
  <si>
    <t>LEI Nº 15.984</t>
  </si>
  <si>
    <t>Japan Matsuri - Festival da Cultura Japonesa de Osasco</t>
  </si>
  <si>
    <t>LEI Nº 15.981</t>
  </si>
  <si>
    <t>Circuito de Pesca Esportiva</t>
  </si>
  <si>
    <t>LEI Nº 15.976</t>
  </si>
  <si>
    <t>Antigomobilismo Barretos</t>
  </si>
  <si>
    <t>LEI Nº 15.975</t>
  </si>
  <si>
    <t>Jornada Esportiva de Ibirá</t>
  </si>
  <si>
    <t>Ibirá</t>
  </si>
  <si>
    <t>LEI Nº 16.137</t>
  </si>
  <si>
    <t>Encontro de Automóveis Antigos de São Roque</t>
  </si>
  <si>
    <t>LEI Nº 16.136</t>
  </si>
  <si>
    <t>Encontro Brasileiro de Autos Antigos</t>
  </si>
  <si>
    <t>Águas de Lindóia</t>
  </si>
  <si>
    <t>LEI Nº 16.135</t>
  </si>
  <si>
    <t>Festa de Santo Antônio de Cosmorama</t>
  </si>
  <si>
    <t>Cosmorama</t>
  </si>
  <si>
    <t>LEI Nº 16.065</t>
  </si>
  <si>
    <t>Anime Friends</t>
  </si>
  <si>
    <t>LEI Nº 16.064</t>
  </si>
  <si>
    <t>Novittá Noivas - Feira para Festas</t>
  </si>
  <si>
    <t>LEI Nº 16.061</t>
  </si>
  <si>
    <t>Feira da Pupunha e do Agronegócio do Vale do Ribeira</t>
  </si>
  <si>
    <t>Juquiá</t>
  </si>
  <si>
    <t>LEI Nº 16.316</t>
  </si>
  <si>
    <t>FEITUR - Feira de Turismo José Benedicto Vilhena</t>
  </si>
  <si>
    <t>Paraibuna</t>
  </si>
  <si>
    <t>LEI Nº 16.315</t>
  </si>
  <si>
    <t>Exposição Nacional de Orquídeas de Americana</t>
  </si>
  <si>
    <t>LEI Nº 16.314</t>
  </si>
  <si>
    <t>Bernardes Folia</t>
  </si>
  <si>
    <t>Presidente Bernardes</t>
  </si>
  <si>
    <t>LEI Nº 16.307</t>
  </si>
  <si>
    <t>Álvares Machado</t>
  </si>
  <si>
    <t>LEI Nº 16.290</t>
  </si>
  <si>
    <t>Semana da Cultura Caiçara</t>
  </si>
  <si>
    <t>Baixada Santista e Vale do Ribeira</t>
  </si>
  <si>
    <t>LEI Nº 16.289</t>
  </si>
  <si>
    <t>Pisa da Uva no Lagar</t>
  </si>
  <si>
    <t>LEI Nº 16.288</t>
  </si>
  <si>
    <t>Feira da Bananicultura e do Agronegócio do Vale do Ribeira - Feibanana</t>
  </si>
  <si>
    <t>LEI Nº 16.471</t>
  </si>
  <si>
    <t>Festa de Queima do Alho</t>
  </si>
  <si>
    <t>LEI Nº 16.366</t>
  </si>
  <si>
    <t>Festa de São Pedro de Gabriel Monteiro</t>
  </si>
  <si>
    <t>Gabriel Monteiro</t>
  </si>
  <si>
    <t>LEI Nº 16.542</t>
  </si>
  <si>
    <t>Samba no Trem</t>
  </si>
  <si>
    <t>São Paulo e Osasco</t>
  </si>
  <si>
    <t>LEI Nº 16.541</t>
  </si>
  <si>
    <t>Festa das Nações de Suzano</t>
  </si>
  <si>
    <t>LEI Nº 16.540</t>
  </si>
  <si>
    <t>New Fest Dance de Campos do Jordão</t>
  </si>
  <si>
    <t>LEI Nº 16.539</t>
  </si>
  <si>
    <t>Festival Internacional de Teatro - FIT de São José do Rio Preto</t>
  </si>
  <si>
    <t>LEI Nº 16.538</t>
  </si>
  <si>
    <t>Feira de Artes e Artesanato</t>
  </si>
  <si>
    <t>todo ano</t>
  </si>
  <si>
    <t>LEI Nº 16.535</t>
  </si>
  <si>
    <t>LEI Nº 16.526</t>
  </si>
  <si>
    <t>“L’Étape Brasil by Le Tour de France”</t>
  </si>
  <si>
    <t>LEI Nº 16.490</t>
  </si>
  <si>
    <t>Semana Expo Gospel</t>
  </si>
  <si>
    <t>LEI Nº 16.489</t>
  </si>
  <si>
    <t>Encontro Paulista de Autos Antigos</t>
  </si>
  <si>
    <t>Vinhedo</t>
  </si>
  <si>
    <t>LEI Nº 16.473</t>
  </si>
  <si>
    <t>Dia do Pedal Beneficente</t>
  </si>
  <si>
    <t>LEI Nº 16.472</t>
  </si>
  <si>
    <t>Nocaute às Drogas</t>
  </si>
  <si>
    <t>LEI Nº 16.644</t>
  </si>
  <si>
    <t>Black June</t>
  </si>
  <si>
    <t>LEI Nº 16.597</t>
  </si>
  <si>
    <t>Feira Agropecuária e Comercial de Álvares Machado - FACAM</t>
  </si>
  <si>
    <t>LEI Nº 16.584</t>
  </si>
  <si>
    <t>Semana Sociocultural Evangélica</t>
  </si>
  <si>
    <t>Santa Branca</t>
  </si>
  <si>
    <t>LEI Nº 16.581</t>
  </si>
  <si>
    <t>Cosplay World Masters Brasil</t>
  </si>
  <si>
    <t>LEI Nº 16.578</t>
  </si>
  <si>
    <t>Festival Master Crews - Breaking e Danças Urbanas</t>
  </si>
  <si>
    <t>LEI Nº 16.565</t>
  </si>
  <si>
    <t>As Águas de São Paulo</t>
  </si>
  <si>
    <t>LEI Nº 16.564</t>
  </si>
  <si>
    <t>Festa da Palha e do Milho de Sales Oliveira</t>
  </si>
  <si>
    <t>Sales Oliveira</t>
  </si>
  <si>
    <t>LEI Nº 16.563</t>
  </si>
  <si>
    <t>Festival de cultura tradicional paulista São João de Caçapava</t>
  </si>
  <si>
    <t>São João de Caçapava</t>
  </si>
  <si>
    <t>LEI Nº 16.562</t>
  </si>
  <si>
    <t>Cortejo das Águas de Oxalá</t>
  </si>
  <si>
    <t>LEI Nº 16.736</t>
  </si>
  <si>
    <t>Festa do Padroeiro Jesus no Horto das Oliveiras</t>
  </si>
  <si>
    <t>LEI Nº 16.735</t>
  </si>
  <si>
    <t>Caminhada do Calvário</t>
  </si>
  <si>
    <t>LEI Nº 16.734</t>
  </si>
  <si>
    <t>Festa de Santo Antônio do Abacaxi</t>
  </si>
  <si>
    <t>Itatiba</t>
  </si>
  <si>
    <t>LEI Nº 16.733</t>
  </si>
  <si>
    <t>Queima do Alho Fest Beneficente em prol do combate à Leucemia</t>
  </si>
  <si>
    <t>LEI Nº 16.732</t>
  </si>
  <si>
    <t>Samba na Feira</t>
  </si>
  <si>
    <t>mensalmente</t>
  </si>
  <si>
    <t>LEI Nº 16.665</t>
  </si>
  <si>
    <t>Festividades de Carnaval</t>
  </si>
  <si>
    <t>LEI Nº 16.801</t>
  </si>
  <si>
    <t>Festa de São José Operário</t>
  </si>
  <si>
    <t>01 de maio/anual</t>
  </si>
  <si>
    <t>LEI Nº 16.800</t>
  </si>
  <si>
    <t>Procissão Histórica da Vida de Santa Rita de Cássia</t>
  </si>
  <si>
    <t>Vista Alegre do Alto</t>
  </si>
  <si>
    <t>LEI Nº 16.799</t>
  </si>
  <si>
    <t>Afoxé Ilê Omo Dadá</t>
  </si>
  <si>
    <t>LEI Nº 16.798</t>
  </si>
  <si>
    <t>Festa do Baruel</t>
  </si>
  <si>
    <t>LEI Nº 16.797</t>
  </si>
  <si>
    <t>Salão São Paulo de Turismo</t>
  </si>
  <si>
    <t>LEI Nº 16.757</t>
  </si>
  <si>
    <t>Dia da Queima do Alho</t>
  </si>
  <si>
    <t>LEI Nº 17.044</t>
  </si>
  <si>
    <t>Passeio Turístico da Revolução de 1932 de Mogi Mirim</t>
  </si>
  <si>
    <t>9 de julho</t>
  </si>
  <si>
    <t>LEI Nº 17.039</t>
  </si>
  <si>
    <t>Encontro Paulista de Hip Hop</t>
  </si>
  <si>
    <t>LEI Nº 17.037</t>
  </si>
  <si>
    <t>Festa do Pimentão de Itápolis</t>
  </si>
  <si>
    <t>LEI Nº 17.030</t>
  </si>
  <si>
    <t>Encontro de Fuscas e Carros Antigos de Itápolis</t>
  </si>
  <si>
    <t>LEI Nº 17.029</t>
  </si>
  <si>
    <t>Yoga Day Piracaia</t>
  </si>
  <si>
    <t>Piracaia</t>
  </si>
  <si>
    <t>LEI Nº 16.977</t>
  </si>
  <si>
    <t>Celebração do Vesak</t>
  </si>
  <si>
    <t>LEI Nº 16.975</t>
  </si>
  <si>
    <t>Castilho</t>
  </si>
  <si>
    <t>LEI Nº 16.974</t>
  </si>
  <si>
    <t>Gavião Peixoto</t>
  </si>
  <si>
    <t>LEI Nº 16.973</t>
  </si>
  <si>
    <t>Junina Fest</t>
  </si>
  <si>
    <t>LEI Nº 16.972</t>
  </si>
  <si>
    <t>Festa do Trabalhador</t>
  </si>
  <si>
    <t>LEI Nº 16.968</t>
  </si>
  <si>
    <t>Cantatas de Natal</t>
  </si>
  <si>
    <t>LEI Nº 16.967</t>
  </si>
  <si>
    <t>Festa do Divino Espírito Santo de Braz Cubas</t>
  </si>
  <si>
    <t>LEI Nº 16.964</t>
  </si>
  <si>
    <t>Romaria de Nossa Senhora Aparecida</t>
  </si>
  <si>
    <t>junho e dezembro/anual</t>
  </si>
  <si>
    <t>LEI Nº 17.098</t>
  </si>
  <si>
    <t>Mairiporã Ecofest Adventure</t>
  </si>
  <si>
    <t>março e dezembro/anual</t>
  </si>
  <si>
    <t>Mairiporã</t>
  </si>
  <si>
    <t>LEI Nº 17.097</t>
  </si>
  <si>
    <t>Festa da Jabuticaba</t>
  </si>
  <si>
    <t>Casa Branca</t>
  </si>
  <si>
    <t>LEI Nº 17.096</t>
  </si>
  <si>
    <t>Semana Cultural Marcello Grassmann</t>
  </si>
  <si>
    <t>São Simão</t>
  </si>
  <si>
    <t>LEI Nº 17.094</t>
  </si>
  <si>
    <t>Feira do Amendoim de Borborema</t>
  </si>
  <si>
    <t>28 de julho/anual</t>
  </si>
  <si>
    <t>Borborema</t>
  </si>
  <si>
    <t>LEI Nº 17.090</t>
  </si>
  <si>
    <t>Feira Agro-Art</t>
  </si>
  <si>
    <t>quinzenalmente</t>
  </si>
  <si>
    <t>Elias Fausto</t>
  </si>
  <si>
    <t>LEI Nº 17.089</t>
  </si>
  <si>
    <t>Festa do Pastel</t>
  </si>
  <si>
    <t>07 de setembro/anual</t>
  </si>
  <si>
    <t>Dobrada</t>
  </si>
  <si>
    <t>LEI Nº 17.087</t>
  </si>
  <si>
    <t>Cerejeiras Festival</t>
  </si>
  <si>
    <t>Garça</t>
  </si>
  <si>
    <t>LEI Nº 17.086</t>
  </si>
  <si>
    <t>EXPOAGRO - Exposição Agropecuária, Industrial e Comercial</t>
  </si>
  <si>
    <t>Itapetininga</t>
  </si>
  <si>
    <t>LEI Nº 17.085</t>
  </si>
  <si>
    <t>Folia Fest</t>
  </si>
  <si>
    <t>LEI Nº 17.084</t>
  </si>
  <si>
    <t>Festa da Padroeira de Nossa Senhora do Bom Conselho</t>
  </si>
  <si>
    <t>Tabatinga</t>
  </si>
  <si>
    <t>LEI Nº 17.078</t>
  </si>
  <si>
    <t>Festa dos Tabernáculos</t>
  </si>
  <si>
    <t>setembro e outubro/anual</t>
  </si>
  <si>
    <t>LEI Nº 17.077</t>
  </si>
  <si>
    <t>LEI Nº 17.218</t>
  </si>
  <si>
    <t>Tatuí Classic Car</t>
  </si>
  <si>
    <t>LEI Nº 17.160</t>
  </si>
  <si>
    <t>Festa do Padroeiro de Bom Jesus dos Perdões</t>
  </si>
  <si>
    <t>julho e agosto/anual</t>
  </si>
  <si>
    <t>LEI Nº 17.139</t>
  </si>
  <si>
    <t>L’Étape Brasil by Le Tour de France</t>
  </si>
  <si>
    <t>LEI Nº 17.122</t>
  </si>
  <si>
    <t>Dia Municipal do Kart Histórico</t>
  </si>
  <si>
    <t>LEI Nº 17.270</t>
  </si>
  <si>
    <t>Dia Municipal do Ferroviário</t>
  </si>
  <si>
    <t>30 de abril</t>
  </si>
  <si>
    <t>LEI Nº 17.274</t>
  </si>
  <si>
    <t>Terra do Natal</t>
  </si>
  <si>
    <t>dezembro</t>
  </si>
  <si>
    <t>Ibirararema</t>
  </si>
  <si>
    <t>LEI Nº 17.280</t>
  </si>
  <si>
    <t>Expodeps</t>
  </si>
  <si>
    <t>LEI Nº 17.276</t>
  </si>
  <si>
    <t>Natal da Luzes</t>
  </si>
  <si>
    <t>LEI Nº 17.269</t>
  </si>
  <si>
    <t>Festival do Camarão</t>
  </si>
  <si>
    <t>Ubatuba</t>
  </si>
  <si>
    <t>LEI Nº 17.127</t>
  </si>
  <si>
    <t>CRIARTE Festival de Dança</t>
  </si>
  <si>
    <t>Taquaritinga</t>
  </si>
  <si>
    <t>LEI Nº 17.177</t>
  </si>
  <si>
    <t>Carnaval de rua Vila Matilde</t>
  </si>
  <si>
    <t>fevereiro ou março</t>
  </si>
  <si>
    <t>LEI Nº 17.327</t>
  </si>
  <si>
    <t>Romaria das Mulheres</t>
  </si>
  <si>
    <t>LEI Nº 17.392</t>
  </si>
  <si>
    <t>Festa da APAE</t>
  </si>
  <si>
    <t>LEI N° 17.781</t>
  </si>
  <si>
    <t>Ciclística Internacional do Grande ABC</t>
  </si>
  <si>
    <t>ABC Paulista</t>
  </si>
  <si>
    <t>LEI Nº 17.782</t>
  </si>
  <si>
    <t>Dia do Padroeiro São Pedro</t>
  </si>
  <si>
    <t>29 de junho</t>
  </si>
  <si>
    <t>LEI N° 17.783</t>
  </si>
  <si>
    <t>Encontro Estadual de Carros Antigos de Piedade</t>
  </si>
  <si>
    <t>LEI N° 17.787</t>
  </si>
  <si>
    <t>Festas do Ciclo do Bumba-meu-boi</t>
  </si>
  <si>
    <t>abril/junho/novembro</t>
  </si>
  <si>
    <t>LEI N° 17.789</t>
  </si>
  <si>
    <t>Feira da Uva do Município de Palmeira D´Oeste</t>
  </si>
  <si>
    <t>Palmeira D´Oeste</t>
  </si>
  <si>
    <t>LEI N° 17.790</t>
  </si>
  <si>
    <t>Itaoca</t>
  </si>
  <si>
    <t>Festa em Louvor à Imaculada Conceição</t>
  </si>
  <si>
    <t>LEI N° 17.792</t>
  </si>
  <si>
    <t>Festa da Colônia Japonesa</t>
  </si>
  <si>
    <t>LEI N° 17.793</t>
  </si>
  <si>
    <t>Festival da Truta do Gomeral</t>
  </si>
  <si>
    <t>LEI N° 17.794</t>
  </si>
  <si>
    <t>Corpus Christi de Ibitinga</t>
  </si>
  <si>
    <t>LEI N° 17.795</t>
  </si>
  <si>
    <t>Chevy Weekend Retro</t>
  </si>
  <si>
    <t>LEI N° 17.796</t>
  </si>
  <si>
    <t>Festival Katsura Matsuri</t>
  </si>
  <si>
    <t>LEI N° 17.797</t>
  </si>
  <si>
    <t>Semana Luís Antônio Martinez Corrêa - SLAMC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</si>
</sst>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R$ -416]#,##0.00"/>
    <numFmt numFmtId="166" formatCode="d/m/yyyy"/>
  </numFmts>
  <fonts count="15">
    <font>
      <sz val="10"/>
      <color rgb="FF000000"/>
      <name val="Arial"/>
      <scheme val="minor"/>
    </font>
    <font>
      <sz val="10"/>
      <color theme="1"/>
      <name val="Arial"/>
      <scheme val="minor"/>
    </font>
    <font>
      <b/>
      <sz val="10"/>
      <color rgb="FFFFFFFF"/>
      <name val="Roboto"/>
    </font>
    <font>
      <u/>
      <sz val="10"/>
      <color rgb="FF0000FF"/>
      <name val="Roboto"/>
    </font>
    <font>
      <u/>
      <sz val="10"/>
      <color rgb="FF434343"/>
      <name val="Roboto"/>
    </font>
    <font>
      <b/>
      <sz val="10"/>
      <color theme="1"/>
      <name val="Arial"/>
    </font>
    <font>
      <sz val="10"/>
      <color theme="1"/>
      <name val="Arial"/>
    </font>
    <font>
      <b/>
      <sz val="10"/>
      <color rgb="FFFFFFFF"/>
      <name val="Arial"/>
    </font>
    <font>
      <b/>
      <sz val="11"/>
      <color rgb="FFFFFFFF"/>
      <name val="Aptos Narrow"/>
    </font>
    <font>
      <sz val="10"/>
      <color rgb="FF434343"/>
      <name val="Arial"/>
    </font>
    <font>
      <sz val="10"/>
      <color rgb="FF434343"/>
      <name val="Roboto"/>
    </font>
    <font>
      <b/>
      <sz val="10"/>
      <color rgb="FF434343"/>
      <name val="Roboto"/>
    </font>
    <font>
      <b/>
      <sz val="12"/>
      <color rgb="FF434343"/>
      <name val="Calibri"/>
    </font>
    <font>
      <b/>
      <sz val="11"/>
      <color theme="1"/>
      <name val="Calibri"/>
    </font>
    <font>
      <sz val="10"/>
      <name val="Arial"/>
    </font>
  </fonts>
  <fills count="15">
    <fill>
      <patternFill patternType="none"/>
    </fill>
    <fill>
      <patternFill patternType="gray125"/>
    </fill>
    <fill>
      <patternFill patternType="solid">
        <fgColor theme="4"/>
        <bgColor theme="4"/>
      </patternFill>
    </fill>
    <fill>
      <patternFill patternType="solid">
        <fgColor rgb="FFD9EAD3"/>
        <bgColor rgb="FFD9EAD3"/>
      </patternFill>
    </fill>
    <fill>
      <patternFill patternType="solid">
        <fgColor rgb="FFFFF2CC"/>
        <bgColor rgb="FFFFF2CC"/>
      </patternFill>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
      <patternFill patternType="solid">
        <fgColor rgb="FF356854"/>
        <bgColor rgb="FF356854"/>
      </patternFill>
    </fill>
    <fill>
      <patternFill patternType="solid">
        <fgColor rgb="FFF8F9FA"/>
        <bgColor rgb="FFF8F9FA"/>
      </patternFill>
    </fill>
    <fill>
      <patternFill patternType="solid">
        <fgColor rgb="FFF1C232"/>
        <bgColor rgb="FFF1C232"/>
      </patternFill>
    </fill>
    <fill>
      <patternFill patternType="solid">
        <fgColor rgb="FFF6F8F9"/>
        <bgColor rgb="FFF6F8F9"/>
      </patternFill>
    </fill>
    <fill>
      <patternFill patternType="solid">
        <fgColor rgb="FFFFC000"/>
        <bgColor rgb="FFFFC000"/>
      </patternFill>
    </fill>
    <fill>
      <patternFill patternType="solid">
        <fgColor rgb="FF000000"/>
        <bgColor rgb="FF000000"/>
      </patternFill>
    </fill>
    <fill>
      <patternFill patternType="solid">
        <fgColor rgb="FFF3F3F3"/>
        <bgColor rgb="FFF3F3F3"/>
      </patternFill>
    </fill>
  </fills>
  <borders count="22">
    <border>
      <left/>
      <right/>
      <top/>
      <bottom/>
      <diagonal/>
    </border>
    <border>
      <left style="thin">
        <color rgb="FF3C78D8"/>
      </left>
      <right style="thin">
        <color rgb="FF3C78D8"/>
      </right>
      <top style="thin">
        <color rgb="FF442F65"/>
      </top>
      <bottom style="thin">
        <color rgb="FF442F65"/>
      </bottom>
      <diagonal/>
    </border>
    <border>
      <left style="thin">
        <color rgb="FF4285F4"/>
      </left>
      <right style="thin">
        <color rgb="FF4285F4"/>
      </right>
      <top style="thin">
        <color rgb="FF442F65"/>
      </top>
      <bottom style="thin">
        <color rgb="FF442F65"/>
      </bottom>
      <diagonal/>
    </border>
    <border>
      <left style="thin">
        <color rgb="FF4285F4"/>
      </left>
      <right style="thin">
        <color rgb="FF442F65"/>
      </right>
      <top style="thin">
        <color rgb="FF442F65"/>
      </top>
      <bottom style="thin">
        <color rgb="FF442F65"/>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284E3F"/>
      </right>
      <top style="thin">
        <color rgb="FFF8F9FA"/>
      </top>
      <bottom style="thin">
        <color rgb="FFF8F9FA"/>
      </bottom>
      <diagonal/>
    </border>
    <border>
      <left style="thin">
        <color rgb="FFF1C232"/>
      </left>
      <right style="thin">
        <color rgb="FFF1C232"/>
      </right>
      <top style="thin">
        <color rgb="FFF1C232"/>
      </top>
      <bottom style="thin">
        <color rgb="FFF1C232"/>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FBBC04"/>
      </left>
      <right style="thin">
        <color rgb="FFFBBC04"/>
      </right>
      <top style="thin">
        <color rgb="FFFBBC04"/>
      </top>
      <bottom style="thin">
        <color rgb="FFFBBC04"/>
      </bottom>
      <diagonal/>
    </border>
    <border>
      <left/>
      <right/>
      <top/>
      <bottom style="thin">
        <color rgb="FFFFFFFF"/>
      </bottom>
      <diagonal/>
    </border>
  </borders>
  <cellStyleXfs count="1">
    <xf numFmtId="0" fontId="0" fillId="0" borderId="0"/>
  </cellStyleXfs>
  <cellXfs count="74">
    <xf numFmtId="0" fontId="0" fillId="0" borderId="0" xfId="0"/>
    <xf numFmtId="0" fontId="1" fillId="0" borderId="0" xfId="0" applyFont="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164" fontId="1" fillId="3" borderId="0" xfId="0" applyNumberFormat="1" applyFont="1" applyFill="1" applyAlignment="1">
      <alignment horizontal="left" vertical="center"/>
    </xf>
    <xf numFmtId="0" fontId="3" fillId="0" borderId="0" xfId="0" applyFont="1" applyAlignment="1">
      <alignment horizontal="left" vertical="center"/>
    </xf>
    <xf numFmtId="14" fontId="1" fillId="0" borderId="0" xfId="0" applyNumberFormat="1" applyFont="1" applyAlignment="1">
      <alignment horizontal="left" vertical="center"/>
    </xf>
    <xf numFmtId="3" fontId="1" fillId="0" borderId="0" xfId="0" applyNumberFormat="1" applyFont="1" applyAlignment="1">
      <alignment horizontal="left" vertical="center"/>
    </xf>
    <xf numFmtId="0" fontId="4" fillId="0" borderId="0" xfId="0" applyFont="1" applyAlignment="1">
      <alignment horizontal="left" vertical="center"/>
    </xf>
    <xf numFmtId="0" fontId="1" fillId="0" borderId="0" xfId="0" applyFont="1" applyAlignment="1">
      <alignment vertical="center"/>
    </xf>
    <xf numFmtId="19" fontId="1" fillId="0" borderId="0" xfId="0" applyNumberFormat="1" applyFont="1" applyAlignment="1">
      <alignment horizontal="left" vertical="center"/>
    </xf>
    <xf numFmtId="3" fontId="1" fillId="0" borderId="0" xfId="0" quotePrefix="1" applyNumberFormat="1" applyFont="1" applyAlignment="1">
      <alignment horizontal="left" vertical="center"/>
    </xf>
    <xf numFmtId="164" fontId="1" fillId="0" borderId="0" xfId="0" applyNumberFormat="1" applyFont="1" applyAlignment="1">
      <alignment horizontal="left" vertical="center"/>
    </xf>
    <xf numFmtId="0" fontId="1" fillId="0" borderId="0" xfId="0" quotePrefix="1" applyFont="1" applyAlignment="1">
      <alignment horizontal="left" vertical="center"/>
    </xf>
    <xf numFmtId="164" fontId="1" fillId="3" borderId="0" xfId="0" applyNumberFormat="1" applyFont="1" applyFill="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164" fontId="1" fillId="0" borderId="0" xfId="0" applyNumberFormat="1" applyFont="1" applyAlignment="1">
      <alignment vertical="center"/>
    </xf>
    <xf numFmtId="3" fontId="1" fillId="0" borderId="0" xfId="0" applyNumberFormat="1" applyFont="1" applyAlignment="1">
      <alignment vertical="center"/>
    </xf>
    <xf numFmtId="164" fontId="1" fillId="4" borderId="0" xfId="0" applyNumberFormat="1" applyFont="1" applyFill="1" applyAlignment="1">
      <alignment vertical="center"/>
    </xf>
    <xf numFmtId="0" fontId="1" fillId="0" borderId="0" xfId="0" quotePrefix="1" applyFont="1" applyAlignment="1">
      <alignment vertical="center"/>
    </xf>
    <xf numFmtId="0" fontId="5" fillId="5" borderId="0" xfId="0" applyFont="1" applyFill="1"/>
    <xf numFmtId="0" fontId="6" fillId="6" borderId="0" xfId="0" applyFont="1" applyFill="1"/>
    <xf numFmtId="0" fontId="6" fillId="6" borderId="0" xfId="0" applyFont="1" applyFill="1" applyAlignment="1">
      <alignment horizontal="right"/>
    </xf>
    <xf numFmtId="0" fontId="6" fillId="7" borderId="0" xfId="0" applyFont="1" applyFill="1"/>
    <xf numFmtId="0" fontId="6" fillId="7" borderId="0" xfId="0" applyFont="1" applyFill="1" applyAlignment="1">
      <alignment horizontal="right"/>
    </xf>
    <xf numFmtId="3" fontId="7" fillId="8" borderId="4" xfId="0" applyNumberFormat="1" applyFont="1" applyFill="1" applyBorder="1" applyAlignment="1">
      <alignment horizontal="left"/>
    </xf>
    <xf numFmtId="3" fontId="7" fillId="8" borderId="5" xfId="0" applyNumberFormat="1" applyFont="1" applyFill="1" applyBorder="1" applyAlignment="1">
      <alignment horizontal="left"/>
    </xf>
    <xf numFmtId="0" fontId="8" fillId="8" borderId="6" xfId="0" applyFont="1" applyFill="1" applyBorder="1" applyAlignment="1">
      <alignment horizontal="left"/>
    </xf>
    <xf numFmtId="3" fontId="9" fillId="6" borderId="7" xfId="0" applyNumberFormat="1" applyFont="1" applyFill="1" applyBorder="1"/>
    <xf numFmtId="3" fontId="10" fillId="6" borderId="8" xfId="0" applyNumberFormat="1" applyFont="1" applyFill="1" applyBorder="1" applyAlignment="1">
      <alignment horizontal="right" vertical="center"/>
    </xf>
    <xf numFmtId="3" fontId="11" fillId="6" borderId="8" xfId="0" applyNumberFormat="1" applyFont="1" applyFill="1" applyBorder="1" applyAlignment="1">
      <alignment horizontal="right" vertical="center"/>
    </xf>
    <xf numFmtId="10" fontId="10" fillId="6" borderId="9" xfId="0" applyNumberFormat="1" applyFont="1" applyFill="1" applyBorder="1" applyAlignment="1">
      <alignment horizontal="right" vertical="center"/>
    </xf>
    <xf numFmtId="3" fontId="9" fillId="9" borderId="10" xfId="0" applyNumberFormat="1" applyFont="1" applyFill="1" applyBorder="1"/>
    <xf numFmtId="0" fontId="10" fillId="6" borderId="8" xfId="0" applyFont="1" applyFill="1" applyBorder="1" applyAlignment="1">
      <alignment horizontal="right" vertical="center"/>
    </xf>
    <xf numFmtId="3" fontId="11" fillId="9" borderId="11" xfId="0" applyNumberFormat="1" applyFont="1" applyFill="1" applyBorder="1" applyAlignment="1">
      <alignment horizontal="right" vertical="center"/>
    </xf>
    <xf numFmtId="10" fontId="10" fillId="9" borderId="12" xfId="0" applyNumberFormat="1" applyFont="1" applyFill="1" applyBorder="1" applyAlignment="1">
      <alignment horizontal="right" vertical="center"/>
    </xf>
    <xf numFmtId="0" fontId="12" fillId="9" borderId="10" xfId="0" applyFont="1" applyFill="1" applyBorder="1"/>
    <xf numFmtId="3" fontId="11" fillId="10" borderId="13" xfId="0" applyNumberFormat="1" applyFont="1" applyFill="1" applyBorder="1" applyAlignment="1">
      <alignment horizontal="right" vertical="center"/>
    </xf>
    <xf numFmtId="0" fontId="9" fillId="6" borderId="14" xfId="0" applyFont="1" applyFill="1" applyBorder="1"/>
    <xf numFmtId="10" fontId="10" fillId="6" borderId="15" xfId="0" applyNumberFormat="1" applyFont="1" applyFill="1" applyBorder="1" applyAlignment="1">
      <alignment horizontal="right" vertical="center"/>
    </xf>
    <xf numFmtId="0" fontId="6" fillId="6" borderId="16" xfId="0" applyFont="1" applyFill="1" applyBorder="1" applyAlignment="1">
      <alignment vertical="center"/>
    </xf>
    <xf numFmtId="0" fontId="6" fillId="0" borderId="0" xfId="0" applyFont="1"/>
    <xf numFmtId="0" fontId="2" fillId="8" borderId="4" xfId="0" applyFont="1" applyFill="1" applyBorder="1" applyAlignment="1">
      <alignment horizontal="left" vertical="center"/>
    </xf>
    <xf numFmtId="0" fontId="2" fillId="8" borderId="5" xfId="0" applyFont="1" applyFill="1" applyBorder="1" applyAlignment="1">
      <alignment horizontal="left" vertical="center"/>
    </xf>
    <xf numFmtId="0" fontId="2" fillId="8" borderId="6" xfId="0" applyFont="1" applyFill="1" applyBorder="1" applyAlignment="1">
      <alignment horizontal="left" vertical="center"/>
    </xf>
    <xf numFmtId="10" fontId="6" fillId="0" borderId="0" xfId="0" applyNumberFormat="1" applyFont="1"/>
    <xf numFmtId="0" fontId="10" fillId="6" borderId="7" xfId="0" applyFont="1" applyFill="1" applyBorder="1" applyAlignment="1">
      <alignment vertical="center"/>
    </xf>
    <xf numFmtId="165" fontId="10" fillId="6" borderId="8" xfId="0" applyNumberFormat="1" applyFont="1" applyFill="1" applyBorder="1" applyAlignment="1">
      <alignment horizontal="right" vertical="center"/>
    </xf>
    <xf numFmtId="165" fontId="10" fillId="6" borderId="9" xfId="0" applyNumberFormat="1" applyFont="1" applyFill="1" applyBorder="1" applyAlignment="1">
      <alignment horizontal="right" vertical="center"/>
    </xf>
    <xf numFmtId="0" fontId="10" fillId="9" borderId="10" xfId="0" applyFont="1" applyFill="1" applyBorder="1" applyAlignment="1">
      <alignment vertical="center"/>
    </xf>
    <xf numFmtId="165" fontId="10" fillId="9" borderId="11" xfId="0" applyNumberFormat="1" applyFont="1" applyFill="1" applyBorder="1" applyAlignment="1">
      <alignment horizontal="right" vertical="center"/>
    </xf>
    <xf numFmtId="165" fontId="10" fillId="9" borderId="12" xfId="0" applyNumberFormat="1" applyFont="1" applyFill="1" applyBorder="1" applyAlignment="1">
      <alignment horizontal="right" vertical="center"/>
    </xf>
    <xf numFmtId="0" fontId="10" fillId="6" borderId="14" xfId="0" applyFont="1" applyFill="1" applyBorder="1" applyAlignment="1">
      <alignment vertical="center"/>
    </xf>
    <xf numFmtId="165" fontId="10" fillId="6" borderId="15" xfId="0" applyNumberFormat="1" applyFont="1" applyFill="1" applyBorder="1" applyAlignment="1">
      <alignment horizontal="right" vertical="center"/>
    </xf>
    <xf numFmtId="165" fontId="10" fillId="6" borderId="16" xfId="0" applyNumberFormat="1" applyFont="1" applyFill="1" applyBorder="1" applyAlignment="1">
      <alignment horizontal="right" vertical="center"/>
    </xf>
    <xf numFmtId="3" fontId="9" fillId="11" borderId="17" xfId="0" applyNumberFormat="1" applyFont="1" applyFill="1" applyBorder="1"/>
    <xf numFmtId="165" fontId="10" fillId="11" borderId="18" xfId="0" applyNumberFormat="1" applyFont="1" applyFill="1" applyBorder="1" applyAlignment="1">
      <alignment horizontal="right" vertical="center"/>
    </xf>
    <xf numFmtId="10" fontId="10" fillId="11" borderId="19" xfId="0" applyNumberFormat="1" applyFont="1" applyFill="1" applyBorder="1" applyAlignment="1">
      <alignment horizontal="right" vertical="center"/>
    </xf>
    <xf numFmtId="49" fontId="12" fillId="11" borderId="17" xfId="0" applyNumberFormat="1" applyFont="1" applyFill="1" applyBorder="1"/>
    <xf numFmtId="165" fontId="11" fillId="11" borderId="18" xfId="0" applyNumberFormat="1" applyFont="1" applyFill="1" applyBorder="1" applyAlignment="1">
      <alignment horizontal="right" vertical="center"/>
    </xf>
    <xf numFmtId="165" fontId="11" fillId="12" borderId="20" xfId="0" applyNumberFormat="1" applyFont="1" applyFill="1" applyBorder="1" applyAlignment="1">
      <alignment horizontal="right" vertical="center"/>
    </xf>
    <xf numFmtId="49" fontId="9" fillId="6" borderId="14" xfId="0" applyNumberFormat="1" applyFont="1" applyFill="1" applyBorder="1"/>
    <xf numFmtId="10" fontId="6" fillId="6" borderId="16" xfId="0" applyNumberFormat="1" applyFont="1" applyFill="1" applyBorder="1" applyAlignment="1">
      <alignment vertical="center"/>
    </xf>
    <xf numFmtId="0" fontId="7" fillId="13" borderId="0" xfId="0" applyFont="1" applyFill="1"/>
    <xf numFmtId="14" fontId="6" fillId="6" borderId="0" xfId="0" applyNumberFormat="1" applyFont="1" applyFill="1" applyAlignment="1">
      <alignment horizontal="right"/>
    </xf>
    <xf numFmtId="0" fontId="6" fillId="14" borderId="0" xfId="0" applyFont="1" applyFill="1"/>
    <xf numFmtId="14" fontId="6" fillId="14" borderId="0" xfId="0" applyNumberFormat="1" applyFont="1" applyFill="1" applyAlignment="1">
      <alignment horizontal="right"/>
    </xf>
    <xf numFmtId="166" fontId="6" fillId="6" borderId="0" xfId="0" applyNumberFormat="1" applyFont="1" applyFill="1" applyAlignment="1">
      <alignment horizontal="right"/>
    </xf>
    <xf numFmtId="166" fontId="6" fillId="14" borderId="0" xfId="0" applyNumberFormat="1" applyFont="1" applyFill="1" applyAlignment="1">
      <alignment horizontal="right"/>
    </xf>
    <xf numFmtId="0" fontId="13" fillId="12" borderId="21" xfId="0" applyFont="1" applyFill="1" applyBorder="1" applyAlignment="1">
      <alignment horizontal="center"/>
    </xf>
    <xf numFmtId="0" fontId="3" fillId="0" borderId="0" xfId="0" applyFont="1" applyAlignment="1">
      <alignment vertical="center"/>
    </xf>
    <xf numFmtId="0" fontId="14" fillId="0" borderId="21" xfId="0" applyFont="1" applyBorder="1" applyAlignment="1"/>
  </cellXfs>
  <cellStyles count="1">
    <cellStyle name="Normal" xfId="0" builtinId="0"/>
  </cellStyles>
  <dxfs count="22">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6">
    <tableStyle name="Calendário 2026-style" pivot="0" count="4" xr9:uid="{00000000-0011-0000-FFFF-FFFF00000000}">
      <tableStyleElement type="wholeTable" size="0" dxfId="21"/>
      <tableStyleElement type="headerRow" dxfId="20"/>
      <tableStyleElement type="firstRowStripe" dxfId="19"/>
      <tableStyleElement type="secondRowStripe" dxfId="18"/>
    </tableStyle>
    <tableStyle name="Regiões Administrativas-style" pivot="0" count="3" xr9:uid="{00000000-0011-0000-FFFF-FFFF01000000}">
      <tableStyleElement type="headerRow" dxfId="17"/>
      <tableStyleElement type="firstRowStripe" dxfId="16"/>
      <tableStyleElement type="secondRowStripe" dxfId="15"/>
    </tableStyle>
    <tableStyle name="Impacto Econômico-style" pivot="0" count="4" xr9:uid="{00000000-0011-0000-FFFF-FFFF02000000}">
      <tableStyleElement type="wholeTable" size="0" dxfId="14"/>
      <tableStyleElement type="headerRow" dxfId="13"/>
      <tableStyleElement type="firstRowStripe" dxfId="12"/>
      <tableStyleElement type="secondRowStripe" dxfId="11"/>
    </tableStyle>
    <tableStyle name="Impacto Econômico-style 2" pivot="0" count="4" xr9:uid="{00000000-0011-0000-FFFF-FFFF03000000}">
      <tableStyleElement type="wholeTable" size="0" dxfId="10"/>
      <tableStyleElement type="headerRow" dxfId="9"/>
      <tableStyleElement type="firstRowStripe" dxfId="8"/>
      <tableStyleElement type="secondRowStripe" dxfId="7"/>
    </tableStyle>
    <tableStyle name="Impacto Econômico-style 3" pivot="0" count="4" xr9:uid="{00000000-0011-0000-FFFF-FFFF04000000}">
      <tableStyleElement type="wholeTable" size="0" dxfId="6"/>
      <tableStyleElement type="headerRow" dxfId="5"/>
      <tableStyleElement type="firstRowStripe" dxfId="4"/>
      <tableStyleElement type="secondRowStripe" dxfId="3"/>
    </tableStyle>
    <tableStyle name="Calendário por Lei-style"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K721">
  <autoFilter ref="A1:AK721" xr:uid="{00000000-0009-0000-0100-000001000000}"/>
  <tableColumns count="37">
    <tableColumn id="1" xr3:uid="{00000000-0010-0000-0000-000001000000}" name="Carimbo de data/hora"/>
    <tableColumn id="2" xr3:uid="{00000000-0010-0000-0000-000002000000}" name="Município"/>
    <tableColumn id="3" xr3:uid="{00000000-0010-0000-0000-000003000000}" name="Faz parte de uma Região Turística?"/>
    <tableColumn id="4" xr3:uid="{00000000-0010-0000-0000-000004000000}" name="Nome do evento"/>
    <tableColumn id="5" xr3:uid="{00000000-0010-0000-0000-000005000000}" name="Descrição do evento (breve descrição)"/>
    <tableColumn id="6" xr3:uid="{00000000-0010-0000-0000-000006000000}" name="Lei estadual (se aplicada)"/>
    <tableColumn id="7" xr3:uid="{00000000-0010-0000-0000-000007000000}" name="Endereço do evento"/>
    <tableColumn id="8" xr3:uid="{00000000-0010-0000-0000-000008000000}" name="Site do Evento (se possuir)"/>
    <tableColumn id="9" xr3:uid="{00000000-0010-0000-0000-000009000000}" name="Mês de Realização do evento"/>
    <tableColumn id="10" xr3:uid="{00000000-0010-0000-0000-00000A000000}" name="Data inicial do evento (data prevista)"/>
    <tableColumn id="11" xr3:uid="{00000000-0010-0000-0000-00000B000000}" name="Data final do evento (data prevista)"/>
    <tableColumn id="12" xr3:uid="{00000000-0010-0000-0000-00000C000000}" name="Horário do evento - Início (Horário previsto. Caso não tenha, deixar em branco)"/>
    <tableColumn id="13" xr3:uid="{00000000-0010-0000-0000-00000D000000}" name="Horário do evento - Fim (Horário previsto. Caso não tenha, deixar em branco)"/>
    <tableColumn id="14" xr3:uid="{00000000-0010-0000-0000-00000E000000}" name="Tipo de evento (consultar manual: clique aqui)"/>
    <tableColumn id="15" xr3:uid="{00000000-0010-0000-0000-00000F000000}" name="Categoria (consultar manual: clique aqui)"/>
    <tableColumn id="16" xr3:uid="{00000000-0010-0000-0000-000010000000}" name="Faz parte das categorias abaixo?"/>
    <tableColumn id="17" xr3:uid="{00000000-0010-0000-0000-000011000000}" name="O evento é ligado à"/>
    <tableColumn id="18" xr3:uid="{00000000-0010-0000-0000-000012000000}" name="Tipo de público"/>
    <tableColumn id="19" xr3:uid="{00000000-0010-0000-0000-000013000000}" name="Público esperado (somente números)"/>
    <tableColumn id="20" xr3:uid="{00000000-0010-0000-0000-000014000000}" name="Público da edição de 2025 (somente números)"/>
    <tableColumn id="21" xr3:uid="{00000000-0010-0000-0000-000015000000}" name="Público da edição de 2024 (somente números)"/>
    <tableColumn id="22" xr3:uid="{00000000-0010-0000-0000-000016000000}" name="Público da edição de 2023 (somente números)"/>
    <tableColumn id="23" xr3:uid="{00000000-0010-0000-0000-000017000000}" name="Órgão ou empresa organizadora"/>
    <tableColumn id="24" xr3:uid="{00000000-0010-0000-0000-000018000000}" name="Site para compra do ingresso (se possuir)"/>
    <tableColumn id="25" xr3:uid="{00000000-0010-0000-0000-000019000000}" name="Contato para mais informações (email)"/>
    <tableColumn id="26" xr3:uid="{00000000-0010-0000-0000-00001A000000}" name="Acessibilidade_x000a_Informe para qual deficiência o seu evento esta preparado para receber:_x000a_"/>
    <tableColumn id="27" xr3:uid="{00000000-0010-0000-0000-00001B000000}" name="Acessibilidade_x000a_O que o evento possui:"/>
    <tableColumn id="28" xr3:uid="{00000000-0010-0000-0000-00001C000000}" name="Acessibilidade Digital_x000a_Acessibilidade digital no site do Evento:"/>
    <tableColumn id="29" xr3:uid="{00000000-0010-0000-0000-00001D000000}" name="Classificação etária"/>
    <tableColumn id="30" xr3:uid="{00000000-0010-0000-0000-00001E000000}" name="Regiões Administrativas"/>
    <tableColumn id="31" xr3:uid="{00000000-0010-0000-0000-00001F000000}" name="ID"/>
    <tableColumn id="32" xr3:uid="{00000000-0010-0000-0000-000020000000}" name="CD_GEOCODIGO"/>
    <tableColumn id="33" xr3:uid="{00000000-0010-0000-0000-000021000000}" name="CD_GEOCODMU"/>
    <tableColumn id="34" xr3:uid="{00000000-0010-0000-0000-000022000000}" name="LONG"/>
    <tableColumn id="35" xr3:uid="{00000000-0010-0000-0000-000023000000}" name="LAT"/>
    <tableColumn id="36" xr3:uid="{00000000-0010-0000-0000-000024000000}" name="ALT"/>
    <tableColumn id="37" xr3:uid="{00000000-0010-0000-0000-000025000000}" name="GM_PONTO_sk"/>
  </tableColumns>
  <tableStyleInfo name="Calendário 202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1:I646">
  <tableColumns count="9">
    <tableColumn id="1" xr3:uid="{00000000-0010-0000-0100-000001000000}" name="Cidades"/>
    <tableColumn id="2" xr3:uid="{00000000-0010-0000-0100-000002000000}" name="Região Adm"/>
    <tableColumn id="3" xr3:uid="{00000000-0010-0000-0100-000003000000}" name="ID"/>
    <tableColumn id="4" xr3:uid="{00000000-0010-0000-0100-000004000000}" name="CD_GEOCODIGO"/>
    <tableColumn id="5" xr3:uid="{00000000-0010-0000-0100-000005000000}" name="CD_GEOCODMU"/>
    <tableColumn id="6" xr3:uid="{00000000-0010-0000-0100-000006000000}" name="LONG"/>
    <tableColumn id="7" xr3:uid="{00000000-0010-0000-0100-000007000000}" name="LAT"/>
    <tableColumn id="8" xr3:uid="{00000000-0010-0000-0100-000008000000}" name="ALT"/>
    <tableColumn id="9" xr3:uid="{00000000-0010-0000-0100-000009000000}" name="GM_PONTO_sk"/>
  </tableColumns>
  <tableStyleInfo name="Regiões Administrativa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_1" displayName="Tabela_1" ref="A3:G16">
  <tableColumns count="7">
    <tableColumn id="1" xr3:uid="{00000000-0010-0000-0200-000001000000}" name="Fluxo de Público"/>
    <tableColumn id="2" xr3:uid="{00000000-0010-0000-0200-000002000000}" name="Internacional"/>
    <tableColumn id="3" xr3:uid="{00000000-0010-0000-0200-000003000000}" name="Nacional"/>
    <tableColumn id="4" xr3:uid="{00000000-0010-0000-0200-000004000000}" name="Regional"/>
    <tableColumn id="5" xr3:uid="{00000000-0010-0000-0200-000005000000}" name="Municipal"/>
    <tableColumn id="6" xr3:uid="{00000000-0010-0000-0200-000006000000}" name="TOTAL"/>
    <tableColumn id="7" xr3:uid="{00000000-0010-0000-0200-000007000000}" name="%"/>
  </tableColumns>
  <tableStyleInfo name="Impacto Econômico-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_2" displayName="Tabela_2" ref="A18:E29">
  <tableColumns count="5">
    <tableColumn id="1" xr3:uid="{00000000-0010-0000-0300-000001000000}" name="Ticket Médio Diário Movimentação"/>
    <tableColumn id="2" xr3:uid="{00000000-0010-0000-0300-000002000000}" name="Internacional"/>
    <tableColumn id="3" xr3:uid="{00000000-0010-0000-0300-000003000000}" name="Nacional"/>
    <tableColumn id="4" xr3:uid="{00000000-0010-0000-0300-000004000000}" name="Regional"/>
    <tableColumn id="5" xr3:uid="{00000000-0010-0000-0300-000005000000}" name="Municipal"/>
  </tableColumns>
  <tableStyleInfo name="Impacto Econômico-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a_3" displayName="Tabela_3" ref="A31:G44">
  <tableColumns count="7">
    <tableColumn id="1" xr3:uid="{00000000-0010-0000-0400-000001000000}" name="Movimentação Financeira"/>
    <tableColumn id="2" xr3:uid="{00000000-0010-0000-0400-000002000000}" name="Internacional"/>
    <tableColumn id="3" xr3:uid="{00000000-0010-0000-0400-000003000000}" name="Nacional"/>
    <tableColumn id="4" xr3:uid="{00000000-0010-0000-0400-000004000000}" name="Regional"/>
    <tableColumn id="5" xr3:uid="{00000000-0010-0000-0400-000005000000}" name="Municipal"/>
    <tableColumn id="6" xr3:uid="{00000000-0010-0000-0400-000006000000}" name="TOTAL"/>
    <tableColumn id="7" xr3:uid="{00000000-0010-0000-0400-000007000000}" name="%"/>
  </tableColumns>
  <tableStyleInfo name="Impacto Econômico-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2" displayName="Table_2" ref="A2:E559">
  <tableColumns count="5">
    <tableColumn id="1" xr3:uid="{00000000-0010-0000-0500-000001000000}" name="Nº LEI/DECRETO"/>
    <tableColumn id="2" xr3:uid="{00000000-0010-0000-0500-000002000000}" name="DATA LEI/DECRETO"/>
    <tableColumn id="3" xr3:uid="{00000000-0010-0000-0500-000003000000}" name="EVENTO"/>
    <tableColumn id="4" xr3:uid="{00000000-0010-0000-0500-000004000000}" name="DATA DO EVENTO"/>
    <tableColumn id="5" xr3:uid="{00000000-0010-0000-0500-000005000000}" name="CIDADE"/>
  </tableColumns>
  <tableStyleInfo name="Calendário por Le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stagram.com/fejupi.2025" TargetMode="External"/><Relationship Id="rId299" Type="http://schemas.openxmlformats.org/officeDocument/2006/relationships/hyperlink" Target="https://www.instagram.com/primatasarcanosassis/?hl=pt-br" TargetMode="External"/><Relationship Id="rId21" Type="http://schemas.openxmlformats.org/officeDocument/2006/relationships/hyperlink" Target="https://www.instagram.com/p/DNOB_waxLGc/" TargetMode="External"/><Relationship Id="rId63" Type="http://schemas.openxmlformats.org/officeDocument/2006/relationships/hyperlink" Target="https://www.estacaoveraopg.com.br/" TargetMode="External"/><Relationship Id="rId159" Type="http://schemas.openxmlformats.org/officeDocument/2006/relationships/hyperlink" Target="http://www.instagram.com/copainteriorfuteboldebase" TargetMode="External"/><Relationship Id="rId324" Type="http://schemas.openxmlformats.org/officeDocument/2006/relationships/hyperlink" Target="https://www.slticket.com/event/4geek?utm_source=ig&amp;utm_medium=social&amp;utm_content=link_in_bio&amp;fbclid=PAZXh0bgNhZW0CMTEAc3J0YwZhcHBfaWQMMjU2MjgxMDQwNTU4AAGnnZFcQpgOJDxxgnPxJ-j6FIKhNnu0fF5fT9JKjSTaX48HR8rLKMRq31u6gIQ_aem_LQMVkDJRuCTkNdul5AeRFg" TargetMode="External"/><Relationship Id="rId366" Type="http://schemas.openxmlformats.org/officeDocument/2006/relationships/hyperlink" Target="https://www.americana.sp.gov.br" TargetMode="External"/><Relationship Id="rId170" Type="http://schemas.openxmlformats.org/officeDocument/2006/relationships/hyperlink" Target="http://garca.sp.gov.br" TargetMode="External"/><Relationship Id="rId226" Type="http://schemas.openxmlformats.org/officeDocument/2006/relationships/hyperlink" Target="https://www.circuitomares.com.br/" TargetMode="External"/><Relationship Id="rId268" Type="http://schemas.openxmlformats.org/officeDocument/2006/relationships/hyperlink" Target="https://www.santaritadopassaquatro.sp.gov.br" TargetMode="External"/><Relationship Id="rId32" Type="http://schemas.openxmlformats.org/officeDocument/2006/relationships/hyperlink" Target="https://prefeitura.santanadeparnaiba.sp.gov.br/Plataforma/smct/eventos" TargetMode="External"/><Relationship Id="rId74" Type="http://schemas.openxmlformats.org/officeDocument/2006/relationships/hyperlink" Target="https://www.instagram.com/corridadaviradamarilia/" TargetMode="External"/><Relationship Id="rId128" Type="http://schemas.openxmlformats.org/officeDocument/2006/relationships/hyperlink" Target="https://festadasnacoes.org.br/" TargetMode="External"/><Relationship Id="rId335" Type="http://schemas.openxmlformats.org/officeDocument/2006/relationships/hyperlink" Target="https://fabricadechefs.com.br/" TargetMode="External"/><Relationship Id="rId377" Type="http://schemas.openxmlformats.org/officeDocument/2006/relationships/hyperlink" Target="http://www.brotasgourmet.com.br" TargetMode="External"/><Relationship Id="rId5" Type="http://schemas.openxmlformats.org/officeDocument/2006/relationships/hyperlink" Target="http://www.cabreuva.sp.gov.br" TargetMode="External"/><Relationship Id="rId181" Type="http://schemas.openxmlformats.org/officeDocument/2006/relationships/hyperlink" Target="https://www.instagram.com/garcaipira/" TargetMode="External"/><Relationship Id="rId237" Type="http://schemas.openxmlformats.org/officeDocument/2006/relationships/hyperlink" Target="http://www.caraguatatuba.sp.gov.br" TargetMode="External"/><Relationship Id="rId402" Type="http://schemas.openxmlformats.org/officeDocument/2006/relationships/hyperlink" Target="https://www.instagram.com/expobelsi/" TargetMode="External"/><Relationship Id="rId279" Type="http://schemas.openxmlformats.org/officeDocument/2006/relationships/hyperlink" Target="https://topinscricoes.com.br/produto/4a-corrida-de-aniversario-de-campos-do-jordao-152-anos/" TargetMode="External"/><Relationship Id="rId43" Type="http://schemas.openxmlformats.org/officeDocument/2006/relationships/hyperlink" Target="http://olimpia.sp.gov.br" TargetMode="External"/><Relationship Id="rId139" Type="http://schemas.openxmlformats.org/officeDocument/2006/relationships/hyperlink" Target="https://guaratingueta.sp.gov.br/" TargetMode="External"/><Relationship Id="rId290" Type="http://schemas.openxmlformats.org/officeDocument/2006/relationships/hyperlink" Target="https://parquedacerejeira.com.br/" TargetMode="External"/><Relationship Id="rId304" Type="http://schemas.openxmlformats.org/officeDocument/2006/relationships/hyperlink" Target="https://mountaindo.com.br/trail-run/mountain-do-campos-do-jordao/" TargetMode="External"/><Relationship Id="rId346" Type="http://schemas.openxmlformats.org/officeDocument/2006/relationships/hyperlink" Target="https://www2.praiagrande.sp.gov.br/" TargetMode="External"/><Relationship Id="rId388" Type="http://schemas.openxmlformats.org/officeDocument/2006/relationships/hyperlink" Target="http://www.festivalforrodaluacheia.com.br" TargetMode="External"/><Relationship Id="rId85" Type="http://schemas.openxmlformats.org/officeDocument/2006/relationships/hyperlink" Target="https://vemprariopardo.sp.gov.br/" TargetMode="External"/><Relationship Id="rId150" Type="http://schemas.openxmlformats.org/officeDocument/2006/relationships/hyperlink" Target="http://www3.santoandre.sp.gov.br/fip/" TargetMode="External"/><Relationship Id="rId192" Type="http://schemas.openxmlformats.org/officeDocument/2006/relationships/hyperlink" Target="http://garca.sp.gov.br" TargetMode="External"/><Relationship Id="rId206" Type="http://schemas.openxmlformats.org/officeDocument/2006/relationships/hyperlink" Target="https://www2.praiagrande.sp.gov.br/" TargetMode="External"/><Relationship Id="rId248" Type="http://schemas.openxmlformats.org/officeDocument/2006/relationships/hyperlink" Target="http://www.clubedeciclismosjc.com.br" TargetMode="External"/><Relationship Id="rId12" Type="http://schemas.openxmlformats.org/officeDocument/2006/relationships/hyperlink" Target="http://sites.google.com/view/sec-turismocultura" TargetMode="External"/><Relationship Id="rId108" Type="http://schemas.openxmlformats.org/officeDocument/2006/relationships/hyperlink" Target="https://barradoturvo.sp.gov.br/" TargetMode="External"/><Relationship Id="rId315" Type="http://schemas.openxmlformats.org/officeDocument/2006/relationships/hyperlink" Target="https://worldtrailraces.com/etapa/wtr-campos-do-jordao-2026/" TargetMode="External"/><Relationship Id="rId357" Type="http://schemas.openxmlformats.org/officeDocument/2006/relationships/hyperlink" Target="http://www.turisagro.com.br" TargetMode="External"/><Relationship Id="rId54" Type="http://schemas.openxmlformats.org/officeDocument/2006/relationships/hyperlink" Target="https://www.instagram.com/turismomarilia/" TargetMode="External"/><Relationship Id="rId96" Type="http://schemas.openxmlformats.org/officeDocument/2006/relationships/hyperlink" Target="https://barradoturvo.sp.gov.br/" TargetMode="External"/><Relationship Id="rId161" Type="http://schemas.openxmlformats.org/officeDocument/2006/relationships/hyperlink" Target="https://www.potim.sp.gov.br" TargetMode="External"/><Relationship Id="rId217" Type="http://schemas.openxmlformats.org/officeDocument/2006/relationships/hyperlink" Target="https://www.serranegra.sp.gov.br/turismo" TargetMode="External"/><Relationship Id="rId399" Type="http://schemas.openxmlformats.org/officeDocument/2006/relationships/hyperlink" Target="http://vemprariopardo.sp.gov.br" TargetMode="External"/><Relationship Id="rId259" Type="http://schemas.openxmlformats.org/officeDocument/2006/relationships/hyperlink" Target="https://www2.praiagrande.sp.gov.br/" TargetMode="External"/><Relationship Id="rId23" Type="http://schemas.openxmlformats.org/officeDocument/2006/relationships/hyperlink" Target="http://sites.google.com/vieew/sec-turismocultura" TargetMode="External"/><Relationship Id="rId119" Type="http://schemas.openxmlformats.org/officeDocument/2006/relationships/hyperlink" Target="http://www.santocartao.com.br/paixao-de-cristo" TargetMode="External"/><Relationship Id="rId270" Type="http://schemas.openxmlformats.org/officeDocument/2006/relationships/hyperlink" Target="http://www.francodarocha.sp.gov.br" TargetMode="External"/><Relationship Id="rId326" Type="http://schemas.openxmlformats.org/officeDocument/2006/relationships/hyperlink" Target="https://www.instagram.com/xinnian.aracatuba/" TargetMode="External"/><Relationship Id="rId65" Type="http://schemas.openxmlformats.org/officeDocument/2006/relationships/hyperlink" Target="https://connectacim.com.br/" TargetMode="External"/><Relationship Id="rId130" Type="http://schemas.openxmlformats.org/officeDocument/2006/relationships/hyperlink" Target="https://turismo.paraibuna.sp.gov.br/agenda" TargetMode="External"/><Relationship Id="rId368" Type="http://schemas.openxmlformats.org/officeDocument/2006/relationships/hyperlink" Target="https://www.americana.sp.gov.br" TargetMode="External"/><Relationship Id="rId172" Type="http://schemas.openxmlformats.org/officeDocument/2006/relationships/hyperlink" Target="https://www.instagram.com/equipe_caveiras/" TargetMode="External"/><Relationship Id="rId228" Type="http://schemas.openxmlformats.org/officeDocument/2006/relationships/hyperlink" Target="http://www.caragua.tur.br" TargetMode="External"/><Relationship Id="rId281" Type="http://schemas.openxmlformats.org/officeDocument/2006/relationships/hyperlink" Target="https://www.ticketsports.com.br/e/giro-d-italia-ride-like-a-pro-brasil-2026-edicao-campos-do-jordao-sp-72185" TargetMode="External"/><Relationship Id="rId337" Type="http://schemas.openxmlformats.org/officeDocument/2006/relationships/hyperlink" Target="https://incentivoesporte.com.br/" TargetMode="External"/><Relationship Id="rId34" Type="http://schemas.openxmlformats.org/officeDocument/2006/relationships/hyperlink" Target="https://prefeitura.santanadeparnaiba.sp.gov.br/Plataforma/smct/eventos" TargetMode="External"/><Relationship Id="rId76" Type="http://schemas.openxmlformats.org/officeDocument/2006/relationships/hyperlink" Target="https://www.instagram.com/corridadaviradamarilia/" TargetMode="External"/><Relationship Id="rId141" Type="http://schemas.openxmlformats.org/officeDocument/2006/relationships/hyperlink" Target="http://acesse.santoandre.br/FestivalSabores" TargetMode="External"/><Relationship Id="rId379" Type="http://schemas.openxmlformats.org/officeDocument/2006/relationships/hyperlink" Target="https://hakarace.com.br/login?redirect=/evento/14&amp;openEnrollment=true" TargetMode="External"/><Relationship Id="rId7" Type="http://schemas.openxmlformats.org/officeDocument/2006/relationships/hyperlink" Target="http://zbrevents.com.br" TargetMode="External"/><Relationship Id="rId183" Type="http://schemas.openxmlformats.org/officeDocument/2006/relationships/hyperlink" Target="http://instagram.com/festadacerejeira/" TargetMode="External"/><Relationship Id="rId239" Type="http://schemas.openxmlformats.org/officeDocument/2006/relationships/hyperlink" Target="https://www.serranegra.sp.gov.br/turismo" TargetMode="External"/><Relationship Id="rId390" Type="http://schemas.openxmlformats.org/officeDocument/2006/relationships/hyperlink" Target="http://guaira.sp.gov.br" TargetMode="External"/><Relationship Id="rId250" Type="http://schemas.openxmlformats.org/officeDocument/2006/relationships/hyperlink" Target="https://minhasinscricoes.com.br/Evento/MeiaMaratonadeCamposdoJordao" TargetMode="External"/><Relationship Id="rId292" Type="http://schemas.openxmlformats.org/officeDocument/2006/relationships/hyperlink" Target="https://tvcomrunning.com.br/" TargetMode="External"/><Relationship Id="rId306" Type="http://schemas.openxmlformats.org/officeDocument/2006/relationships/hyperlink" Target="https://encontroanual.aasp.org.br/" TargetMode="External"/><Relationship Id="rId45" Type="http://schemas.openxmlformats.org/officeDocument/2006/relationships/hyperlink" Target="https://www.rockriopardo.com.br/" TargetMode="External"/><Relationship Id="rId87" Type="http://schemas.openxmlformats.org/officeDocument/2006/relationships/hyperlink" Target="https://www.paroquiadeaparecida.com.br/festadesaobenedito" TargetMode="External"/><Relationship Id="rId110" Type="http://schemas.openxmlformats.org/officeDocument/2006/relationships/hyperlink" Target="https://barradoturvo.sp.gov.br/" TargetMode="External"/><Relationship Id="rId348" Type="http://schemas.openxmlformats.org/officeDocument/2006/relationships/hyperlink" Target="https://turismo.praiagrande.sp.gov.br/2021/05/27/fotos-festival-de-chorinho/" TargetMode="External"/><Relationship Id="rId152" Type="http://schemas.openxmlformats.org/officeDocument/2006/relationships/hyperlink" Target="https://itarare.sp.gov.br/" TargetMode="External"/><Relationship Id="rId194" Type="http://schemas.openxmlformats.org/officeDocument/2006/relationships/hyperlink" Target="http://garca.sp.gov.br" TargetMode="External"/><Relationship Id="rId208" Type="http://schemas.openxmlformats.org/officeDocument/2006/relationships/hyperlink" Target="https://www.facebook.com/share/189QqVfcHc/?mibextid=wwXIfr" TargetMode="External"/><Relationship Id="rId261" Type="http://schemas.openxmlformats.org/officeDocument/2006/relationships/hyperlink" Target="https://www.santaritadopassaquatro.sp.gov.br" TargetMode="External"/><Relationship Id="rId14" Type="http://schemas.openxmlformats.org/officeDocument/2006/relationships/hyperlink" Target="https://santuarioaparecidaolimpia.com.br/" TargetMode="External"/><Relationship Id="rId56" Type="http://schemas.openxmlformats.org/officeDocument/2006/relationships/hyperlink" Target="https://www.instagram.com/rotadascapelas.altocafezal/" TargetMode="External"/><Relationship Id="rId317" Type="http://schemas.openxmlformats.org/officeDocument/2006/relationships/hyperlink" Target="https://www.araraquara.sp.gov.br/noticias/geral/carnaval-2026-tradicao-da-alegria-confira-a-programacao" TargetMode="External"/><Relationship Id="rId359" Type="http://schemas.openxmlformats.org/officeDocument/2006/relationships/hyperlink" Target="http://www.carroantigodopinhal.com.br" TargetMode="External"/><Relationship Id="rId98" Type="http://schemas.openxmlformats.org/officeDocument/2006/relationships/hyperlink" Target="https://turismo.paraibuna.sp.gov.br/agenda" TargetMode="External"/><Relationship Id="rId121" Type="http://schemas.openxmlformats.org/officeDocument/2006/relationships/hyperlink" Target="https://saoluizdoparaitinga.sp.gov.br/41-festival-nho-frade-de-marchinhas-de-sao-luiz-do-paraitinga-sp" TargetMode="External"/><Relationship Id="rId163" Type="http://schemas.openxmlformats.org/officeDocument/2006/relationships/hyperlink" Target="https://www.potim.sp.gov.br/" TargetMode="External"/><Relationship Id="rId219" Type="http://schemas.openxmlformats.org/officeDocument/2006/relationships/hyperlink" Target="https://www.serranegra.sp.gov.br/turismo" TargetMode="External"/><Relationship Id="rId370" Type="http://schemas.openxmlformats.org/officeDocument/2006/relationships/hyperlink" Target="https://www.americana.sp.gov.br" TargetMode="External"/><Relationship Id="rId230" Type="http://schemas.openxmlformats.org/officeDocument/2006/relationships/hyperlink" Target="https://hakarace.com.br/" TargetMode="External"/><Relationship Id="rId25" Type="http://schemas.openxmlformats.org/officeDocument/2006/relationships/hyperlink" Target="https://www.itupeva.sp.gov.br" TargetMode="External"/><Relationship Id="rId67" Type="http://schemas.openxmlformats.org/officeDocument/2006/relationships/hyperlink" Target="https://www.instagram.com/reels/DIG9aVuOFGt/" TargetMode="External"/><Relationship Id="rId272" Type="http://schemas.openxmlformats.org/officeDocument/2006/relationships/hyperlink" Target="https://aracatuba.sp.gov.br/turismo/" TargetMode="External"/><Relationship Id="rId328" Type="http://schemas.openxmlformats.org/officeDocument/2006/relationships/hyperlink" Target="https://despertaaracatubaoficial.manus.space/?utm_source=ig&amp;utm_medium=social&amp;utm_content=link_in_bio&amp;fbclid=PAZXh0bgNhZW0CMTEAc3J0YwZhcHBfaWQMMjU2MjgxMDQwNTU4AAGnJfl1A8pnhMM_4whoiAcm4gvj55qPslexUW073X2epJm7j69VFK1XPJ5i424_aem_Hl6iAGUzWZi9YlBGgrHT-Q" TargetMode="External"/><Relationship Id="rId132" Type="http://schemas.openxmlformats.org/officeDocument/2006/relationships/hyperlink" Target="https://turismo.paraibuna.sp.gov.br/agenda" TargetMode="External"/><Relationship Id="rId174" Type="http://schemas.openxmlformats.org/officeDocument/2006/relationships/hyperlink" Target="https://fitecgarca.com.br/" TargetMode="External"/><Relationship Id="rId381" Type="http://schemas.openxmlformats.org/officeDocument/2006/relationships/hyperlink" Target="https://site.ticketsports.com.br/Inscricao/categoria.aspx?__idEvento=73833&amp;origem=novo-site&amp;lang=pt-BR" TargetMode="External"/><Relationship Id="rId241" Type="http://schemas.openxmlformats.org/officeDocument/2006/relationships/hyperlink" Target="https://www.serranegra.sp.gov.br/turismo" TargetMode="External"/><Relationship Id="rId36" Type="http://schemas.openxmlformats.org/officeDocument/2006/relationships/hyperlink" Target="https://prefeitura.santanadeparnaiba.sp.gov.br/Plataforma/smct/eventos" TargetMode="External"/><Relationship Id="rId283" Type="http://schemas.openxmlformats.org/officeDocument/2006/relationships/hyperlink" Target="https://mantiqueiracup.com.br/inscricoes/" TargetMode="External"/><Relationship Id="rId339" Type="http://schemas.openxmlformats.org/officeDocument/2006/relationships/hyperlink" Target="http://www.cedral.sp.gov.br" TargetMode="External"/><Relationship Id="rId78" Type="http://schemas.openxmlformats.org/officeDocument/2006/relationships/hyperlink" Target="https://www.instagram.com/p/DSX-torDtBv/?img_index=1" TargetMode="External"/><Relationship Id="rId101" Type="http://schemas.openxmlformats.org/officeDocument/2006/relationships/hyperlink" Target="https://maratonaaquatica.com.br/" TargetMode="External"/><Relationship Id="rId143" Type="http://schemas.openxmlformats.org/officeDocument/2006/relationships/hyperlink" Target="https://bunkasantoandre.com.br/" TargetMode="External"/><Relationship Id="rId185" Type="http://schemas.openxmlformats.org/officeDocument/2006/relationships/hyperlink" Target="http://garca.sp.gov.br" TargetMode="External"/><Relationship Id="rId350" Type="http://schemas.openxmlformats.org/officeDocument/2006/relationships/hyperlink" Target="https://www.viagogo.com/br/Ingressos-Shows/Pop-Rock/Album-Rock/Guns-N-Roses-Ingressos?=&amp;PCID=PSBRADWHOME43351040802433&amp;MetroRegionID=&amp;psc=&amp;ps=&amp;ps_p=0&amp;ps_c=21103190093&amp;ps_ag=175767021510&amp;ps_tg=kwd-2284243381831&amp;ps_ad=783279568280&amp;ps_adp=&amp;ps_fi=&amp;ps_li=&amp;ps_lp=9100642&amp;ps_n=g&amp;ps_d=c&amp;ps_ex=&amp;pscpag=&amp;gad_source=1&amp;gad_campaignid=21103190093&amp;gbraid=0AAAAAD3dCeBYKNPl2TNJqurRFKQzXX-Dq&amp;gclid=Cj0KCQjw9-PNBhDfARIsABHN6-08S_9gxXVk2-w8QeZf5K6Mjvz-JcZgx54ZJ6w7IU-jK-RXqPpHSbwaAumUEALw_wcB&amp;ct=" TargetMode="External"/><Relationship Id="rId9" Type="http://schemas.openxmlformats.org/officeDocument/2006/relationships/hyperlink" Target="http://sites.google.com/view/sec-turismocultura" TargetMode="External"/><Relationship Id="rId210" Type="http://schemas.openxmlformats.org/officeDocument/2006/relationships/hyperlink" Target="https://www.serranegra.sp.gov.br/turismo" TargetMode="External"/><Relationship Id="rId392" Type="http://schemas.openxmlformats.org/officeDocument/2006/relationships/hyperlink" Target="http://guaira.sp.gov.br" TargetMode="External"/><Relationship Id="rId252" Type="http://schemas.openxmlformats.org/officeDocument/2006/relationships/hyperlink" Target="https://xkrsports.com.br/ktrcampos/" TargetMode="External"/><Relationship Id="rId294" Type="http://schemas.openxmlformats.org/officeDocument/2006/relationships/hyperlink" Target="https://tvcomrunning.com.br/" TargetMode="External"/><Relationship Id="rId308" Type="http://schemas.openxmlformats.org/officeDocument/2006/relationships/hyperlink" Target="https://www.epicrace.com.br/" TargetMode="External"/><Relationship Id="rId47" Type="http://schemas.openxmlformats.org/officeDocument/2006/relationships/hyperlink" Target="http://olimpia.sp.gov.br" TargetMode="External"/><Relationship Id="rId89" Type="http://schemas.openxmlformats.org/officeDocument/2006/relationships/hyperlink" Target="https://barradoturvo.sp.gov.br/" TargetMode="External"/><Relationship Id="rId112" Type="http://schemas.openxmlformats.org/officeDocument/2006/relationships/hyperlink" Target="https://turismo.paraibuna.sp.gov.br/agenda" TargetMode="External"/><Relationship Id="rId154" Type="http://schemas.openxmlformats.org/officeDocument/2006/relationships/hyperlink" Target="https://www.pongai.sp.gov.br/" TargetMode="External"/><Relationship Id="rId361" Type="http://schemas.openxmlformats.org/officeDocument/2006/relationships/hyperlink" Target="https://cidadeembudasartes.sp.gov.br/parque-do-lago-francisco-rizzo" TargetMode="External"/><Relationship Id="rId196" Type="http://schemas.openxmlformats.org/officeDocument/2006/relationships/hyperlink" Target="http://www.premiopromessagospel.com" TargetMode="External"/><Relationship Id="rId16" Type="http://schemas.openxmlformats.org/officeDocument/2006/relationships/hyperlink" Target="https://guia.destinosinteligentes.tur.br/Brodowski/" TargetMode="External"/><Relationship Id="rId221" Type="http://schemas.openxmlformats.org/officeDocument/2006/relationships/hyperlink" Target="https://www.serranegra.sp.gov.br/turismo" TargetMode="External"/><Relationship Id="rId263" Type="http://schemas.openxmlformats.org/officeDocument/2006/relationships/hyperlink" Target="https://www.santaritadopassaquatro.sp.gov.br" TargetMode="External"/><Relationship Id="rId319" Type="http://schemas.openxmlformats.org/officeDocument/2006/relationships/hyperlink" Target="https://rockymountaingames.com.br/" TargetMode="External"/><Relationship Id="rId58" Type="http://schemas.openxmlformats.org/officeDocument/2006/relationships/hyperlink" Target="https://www.instagram.com/festadasnacoespariquera?igsh=MXdkbWxjbHFwdDY1Yw==" TargetMode="External"/><Relationship Id="rId123" Type="http://schemas.openxmlformats.org/officeDocument/2006/relationships/hyperlink" Target="https://www.culturaparaibuna.org.br/" TargetMode="External"/><Relationship Id="rId330" Type="http://schemas.openxmlformats.org/officeDocument/2006/relationships/hyperlink" Target="https://aracatuba.sp.gov.br/turismo/" TargetMode="External"/><Relationship Id="rId90" Type="http://schemas.openxmlformats.org/officeDocument/2006/relationships/hyperlink" Target="https://barradoturvo.sp.gov.br/" TargetMode="External"/><Relationship Id="rId165" Type="http://schemas.openxmlformats.org/officeDocument/2006/relationships/hyperlink" Target="https://www.potim.sp.gov.br/" TargetMode="External"/><Relationship Id="rId186" Type="http://schemas.openxmlformats.org/officeDocument/2006/relationships/hyperlink" Target="https://www.facebook.com/SantuarioNossaSenhoraDeLourdes" TargetMode="External"/><Relationship Id="rId351" Type="http://schemas.openxmlformats.org/officeDocument/2006/relationships/hyperlink" Target="https://www.riopreto.sp.gov.br/noticias/prefeitura-divulga-atracoes-do-aniversario-de-rio-preto" TargetMode="External"/><Relationship Id="rId372" Type="http://schemas.openxmlformats.org/officeDocument/2006/relationships/hyperlink" Target="https://festadopeaodeamericana.com.br/" TargetMode="External"/><Relationship Id="rId393" Type="http://schemas.openxmlformats.org/officeDocument/2006/relationships/hyperlink" Target="http://guaira.sp.gov.br" TargetMode="External"/><Relationship Id="rId211" Type="http://schemas.openxmlformats.org/officeDocument/2006/relationships/hyperlink" Target="https://www.serranegra.sp.gov.br/turismo" TargetMode="External"/><Relationship Id="rId232" Type="http://schemas.openxmlformats.org/officeDocument/2006/relationships/hyperlink" Target="https://xterrabrasil.com.br/" TargetMode="External"/><Relationship Id="rId253" Type="http://schemas.openxmlformats.org/officeDocument/2006/relationships/hyperlink" Target="https://www.serranegra.sp.gov.br/turismo" TargetMode="External"/><Relationship Id="rId274" Type="http://schemas.openxmlformats.org/officeDocument/2006/relationships/hyperlink" Target="https://cultura.camposdojordao.sp.gov.br/" TargetMode="External"/><Relationship Id="rId295" Type="http://schemas.openxmlformats.org/officeDocument/2006/relationships/hyperlink" Target="https://tvcomrunning.com.br/" TargetMode="External"/><Relationship Id="rId309" Type="http://schemas.openxmlformats.org/officeDocument/2006/relationships/hyperlink" Target="https://cjdesignfestival.com.br/" TargetMode="External"/><Relationship Id="rId27" Type="http://schemas.openxmlformats.org/officeDocument/2006/relationships/hyperlink" Target="https://www.saomanuel.sp.gov.br/" TargetMode="External"/><Relationship Id="rId48" Type="http://schemas.openxmlformats.org/officeDocument/2006/relationships/hyperlink" Target="https://fliv.com.br" TargetMode="External"/><Relationship Id="rId69" Type="http://schemas.openxmlformats.org/officeDocument/2006/relationships/hyperlink" Target="https://www.instagram.com/p/DK7KIVZO66K/" TargetMode="External"/><Relationship Id="rId113" Type="http://schemas.openxmlformats.org/officeDocument/2006/relationships/hyperlink" Target="https://turismo.paraibuna.sp.gov.br/agenda" TargetMode="External"/><Relationship Id="rId134" Type="http://schemas.openxmlformats.org/officeDocument/2006/relationships/hyperlink" Target="https://saobentodosapucai.sp.gov.br/ze-pereira/" TargetMode="External"/><Relationship Id="rId320" Type="http://schemas.openxmlformats.org/officeDocument/2006/relationships/hyperlink" Target="https://rockymountaingames.com.br/" TargetMode="External"/><Relationship Id="rId80" Type="http://schemas.openxmlformats.org/officeDocument/2006/relationships/hyperlink" Target="http://olimpia.sp.gov.br" TargetMode="External"/><Relationship Id="rId155" Type="http://schemas.openxmlformats.org/officeDocument/2006/relationships/hyperlink" Target="https://www.pongai.sp.gov.br/" TargetMode="External"/><Relationship Id="rId176" Type="http://schemas.openxmlformats.org/officeDocument/2006/relationships/hyperlink" Target="http://zbrevents.com.br/igt23k" TargetMode="External"/><Relationship Id="rId197" Type="http://schemas.openxmlformats.org/officeDocument/2006/relationships/hyperlink" Target="https://www.instagram.com/prefeituramiracatu/" TargetMode="External"/><Relationship Id="rId341" Type="http://schemas.openxmlformats.org/officeDocument/2006/relationships/hyperlink" Target="http://www.sales.sp.gov.br" TargetMode="External"/><Relationship Id="rId362" Type="http://schemas.openxmlformats.org/officeDocument/2006/relationships/hyperlink" Target="https://www.instagram.com/fejupi.2025/" TargetMode="External"/><Relationship Id="rId383" Type="http://schemas.openxmlformats.org/officeDocument/2006/relationships/hyperlink" Target="https://www.instagram.com/paroquiabomjesusrg/" TargetMode="External"/><Relationship Id="rId201" Type="http://schemas.openxmlformats.org/officeDocument/2006/relationships/hyperlink" Target="http://www.cafelandia.sp.gov.br" TargetMode="External"/><Relationship Id="rId222" Type="http://schemas.openxmlformats.org/officeDocument/2006/relationships/hyperlink" Target="https://itupeva.sp.gov.br/" TargetMode="External"/><Relationship Id="rId243" Type="http://schemas.openxmlformats.org/officeDocument/2006/relationships/hyperlink" Target="https://www.sympla.com.br/evento/baile-de-gala-pre-carnaval-campos-do-jordao/3266556?referrer=www.google.com&amp;referrer=www.google.com" TargetMode="External"/><Relationship Id="rId264" Type="http://schemas.openxmlformats.org/officeDocument/2006/relationships/hyperlink" Target="https://www.santaritadopassaquatro.sp.gov.br" TargetMode="External"/><Relationship Id="rId285" Type="http://schemas.openxmlformats.org/officeDocument/2006/relationships/hyperlink" Target="https://saboresdamontanha.com.br/serra-da-mantiqueira/" TargetMode="External"/><Relationship Id="rId17" Type="http://schemas.openxmlformats.org/officeDocument/2006/relationships/hyperlink" Target="https://guia.destinosinteligentes.tur.br/Brodowski/" TargetMode="External"/><Relationship Id="rId38" Type="http://schemas.openxmlformats.org/officeDocument/2006/relationships/hyperlink" Target="https://prefeitura.santanadeparnaiba.sp.gov.br/Plataforma/smct/eventos" TargetMode="External"/><Relationship Id="rId59" Type="http://schemas.openxmlformats.org/officeDocument/2006/relationships/hyperlink" Target="https://cienp.com.br" TargetMode="External"/><Relationship Id="rId103" Type="http://schemas.openxmlformats.org/officeDocument/2006/relationships/hyperlink" Target="https://barradoturvo.sp.gov.br/" TargetMode="External"/><Relationship Id="rId124" Type="http://schemas.openxmlformats.org/officeDocument/2006/relationships/hyperlink" Target="https://www.lagoinha.sp.gov.br/" TargetMode="External"/><Relationship Id="rId310" Type="http://schemas.openxmlformats.org/officeDocument/2006/relationships/hyperlink" Target="https://www.ultrarunnereventos.com.br/" TargetMode="External"/><Relationship Id="rId70" Type="http://schemas.openxmlformats.org/officeDocument/2006/relationships/hyperlink" Target="https://www.facebook.com/profile.php?id=100092163698604" TargetMode="External"/><Relationship Id="rId91" Type="http://schemas.openxmlformats.org/officeDocument/2006/relationships/hyperlink" Target="https://barradoturvo.sp.gov.br/" TargetMode="External"/><Relationship Id="rId145" Type="http://schemas.openxmlformats.org/officeDocument/2006/relationships/hyperlink" Target="https://www.santoandrenatalsolidario.com.br" TargetMode="External"/><Relationship Id="rId166" Type="http://schemas.openxmlformats.org/officeDocument/2006/relationships/hyperlink" Target="http://www.valedagraca.com" TargetMode="External"/><Relationship Id="rId187" Type="http://schemas.openxmlformats.org/officeDocument/2006/relationships/hyperlink" Target="http://garca.sp.gov.br" TargetMode="External"/><Relationship Id="rId331" Type="http://schemas.openxmlformats.org/officeDocument/2006/relationships/hyperlink" Target="https://www.abqm.com.br/" TargetMode="External"/><Relationship Id="rId352" Type="http://schemas.openxmlformats.org/officeDocument/2006/relationships/hyperlink" Target="https://www.fitriopreto.com.br/" TargetMode="External"/><Relationship Id="rId373" Type="http://schemas.openxmlformats.org/officeDocument/2006/relationships/hyperlink" Target="https://blog.vitoriahoteis.com.br/eventos-e-cultura/rodeio-de-americana" TargetMode="External"/><Relationship Id="rId394" Type="http://schemas.openxmlformats.org/officeDocument/2006/relationships/hyperlink" Target="http://guaira.sp.gov.br" TargetMode="External"/><Relationship Id="rId1" Type="http://schemas.openxmlformats.org/officeDocument/2006/relationships/hyperlink" Target="https://www.independentes.com.br/festadopeao/inicio" TargetMode="External"/><Relationship Id="rId212" Type="http://schemas.openxmlformats.org/officeDocument/2006/relationships/hyperlink" Target="https://www.serranegra.sp.gov.br/turismo" TargetMode="External"/><Relationship Id="rId233" Type="http://schemas.openxmlformats.org/officeDocument/2006/relationships/hyperlink" Target="https://www.caraguatatuba.sp.gov.br/" TargetMode="External"/><Relationship Id="rId254" Type="http://schemas.openxmlformats.org/officeDocument/2006/relationships/hyperlink" Target="https://serranegra.letapeseries.com/" TargetMode="External"/><Relationship Id="rId28" Type="http://schemas.openxmlformats.org/officeDocument/2006/relationships/hyperlink" Target="https://www.facebook.com/santuariodamaeaparecida" TargetMode="External"/><Relationship Id="rId49" Type="http://schemas.openxmlformats.org/officeDocument/2006/relationships/hyperlink" Target="http://www.revelandosp.com.br" TargetMode="External"/><Relationship Id="rId114" Type="http://schemas.openxmlformats.org/officeDocument/2006/relationships/hyperlink" Target="https://turismo.paraibuna.sp.gov.br/agenda" TargetMode="External"/><Relationship Id="rId275" Type="http://schemas.openxmlformats.org/officeDocument/2006/relationships/hyperlink" Target="https://camposdojordao.sp.gov.br/" TargetMode="External"/><Relationship Id="rId296" Type="http://schemas.openxmlformats.org/officeDocument/2006/relationships/hyperlink" Target="https://tvcomrunning.com.br/" TargetMode="External"/><Relationship Id="rId300" Type="http://schemas.openxmlformats.org/officeDocument/2006/relationships/hyperlink" Target="https://www.instagram.com/primatasarcanosassis/?hl=pt-br" TargetMode="External"/><Relationship Id="rId60" Type="http://schemas.openxmlformats.org/officeDocument/2006/relationships/hyperlink" Target="https://itatiba.sp.gov.br/" TargetMode="External"/><Relationship Id="rId81" Type="http://schemas.openxmlformats.org/officeDocument/2006/relationships/hyperlink" Target="http://cultura.itai.sp.gov.br" TargetMode="External"/><Relationship Id="rId135" Type="http://schemas.openxmlformats.org/officeDocument/2006/relationships/hyperlink" Target="https://www.sympla.com.br/produtor/afropira" TargetMode="External"/><Relationship Id="rId156" Type="http://schemas.openxmlformats.org/officeDocument/2006/relationships/hyperlink" Target="https://www.pongai.sp.gov.br/" TargetMode="External"/><Relationship Id="rId177" Type="http://schemas.openxmlformats.org/officeDocument/2006/relationships/hyperlink" Target="https://uga.com.br/" TargetMode="External"/><Relationship Id="rId198" Type="http://schemas.openxmlformats.org/officeDocument/2006/relationships/hyperlink" Target="https://www.instagram.com/p/DTStgcKjtt2/?utm_source=ig_web_copy_link&amp;igsh=MzRlODBiNWFlZA==" TargetMode="External"/><Relationship Id="rId321" Type="http://schemas.openxmlformats.org/officeDocument/2006/relationships/hyperlink" Target="https://cultura.camposdojordao.sp.gov.br/" TargetMode="External"/><Relationship Id="rId342" Type="http://schemas.openxmlformats.org/officeDocument/2006/relationships/hyperlink" Target="http://www.sales.sp.gov.br" TargetMode="External"/><Relationship Id="rId363" Type="http://schemas.openxmlformats.org/officeDocument/2006/relationships/hyperlink" Target="https://comidadibuteco.com.br/butecos/campinas/" TargetMode="External"/><Relationship Id="rId384" Type="http://schemas.openxmlformats.org/officeDocument/2006/relationships/hyperlink" Target="https://itupeva.sp.gov.br/" TargetMode="External"/><Relationship Id="rId202" Type="http://schemas.openxmlformats.org/officeDocument/2006/relationships/hyperlink" Target="https://www.tycket.com.br/catalog/product/view/id/18850/s/carnaval-bloco-banda-bicha-2026-07-02/?utm_source=ig&amp;utm_medium=social&amp;utm_content=link_in_bio&amp;fbclid=PAZXh0bgNhZW0CMTEAc3J0YwZhcHBfaWQMMjU2MjgxMDQwNTU4AAGnN7owzg1NROHiyc1c73V3dmK7Zm_cWZZVcwF8fiqVtKLHTZiHx3VqKsX6x_Q_aem_-yOVf5jXPq_UwDI4XmS9nA" TargetMode="External"/><Relationship Id="rId223" Type="http://schemas.openxmlformats.org/officeDocument/2006/relationships/hyperlink" Target="https://itupeva.sp.gov.br/" TargetMode="External"/><Relationship Id="rId244" Type="http://schemas.openxmlformats.org/officeDocument/2006/relationships/hyperlink" Target="https://www.sympla.com.br/evento/baile-de-gala-pre-carnaval-campos-do-jordao/3266556?referrer=www.google.com&amp;referrer=www.google.com" TargetMode="External"/><Relationship Id="rId18" Type="http://schemas.openxmlformats.org/officeDocument/2006/relationships/hyperlink" Target="http://sites.google.com/view/sec-turismocultuta" TargetMode="External"/><Relationship Id="rId39" Type="http://schemas.openxmlformats.org/officeDocument/2006/relationships/hyperlink" Target="http://olimpia.sp.gov.br" TargetMode="External"/><Relationship Id="rId265" Type="http://schemas.openxmlformats.org/officeDocument/2006/relationships/hyperlink" Target="https://www.santaritadopassaquatro.sp.gov.br" TargetMode="External"/><Relationship Id="rId286" Type="http://schemas.openxmlformats.org/officeDocument/2006/relationships/hyperlink" Target="https://conexidades.com.br/" TargetMode="External"/><Relationship Id="rId50" Type="http://schemas.openxmlformats.org/officeDocument/2006/relationships/hyperlink" Target="https://www.totalacesso.com/events/VotuInternationalRodeo?utm_source=ig&amp;utm_medium=social&amp;utm_content=link_in_bio&amp;fbclid=PAdGRleAOv4wVleHRuA2FlbQIxMQBzcnRjBmFwcF9pZA8xMjQwMjQ1NzQyODc0MTQAAaeTDL7CqlMZhpQ9oaQnGDf4QBd2h4EhZdynF5Bj5N7Tj3L1DmW0okh1j--8gQ_aem_BFdiZ96lqeE0iZQyBV_HLw" TargetMode="External"/><Relationship Id="rId104" Type="http://schemas.openxmlformats.org/officeDocument/2006/relationships/hyperlink" Target="https://barradoturvo.sp.gov.br/" TargetMode="External"/><Relationship Id="rId125" Type="http://schemas.openxmlformats.org/officeDocument/2006/relationships/hyperlink" Target="https://turismo.paraibuna.sp.gov.br/agenda" TargetMode="External"/><Relationship Id="rId146" Type="http://schemas.openxmlformats.org/officeDocument/2006/relationships/hyperlink" Target="http://www3.santoandre.sp.gov.br/turismosantoandre/" TargetMode="External"/><Relationship Id="rId167" Type="http://schemas.openxmlformats.org/officeDocument/2006/relationships/hyperlink" Target="https://www.facebook.com/SantuarioNossaSenhoraDeLourdes" TargetMode="External"/><Relationship Id="rId188" Type="http://schemas.openxmlformats.org/officeDocument/2006/relationships/hyperlink" Target="https://pirambamtb.com/" TargetMode="External"/><Relationship Id="rId311" Type="http://schemas.openxmlformats.org/officeDocument/2006/relationships/hyperlink" Target="https://www.ultrarunnereventos.com.br/" TargetMode="External"/><Relationship Id="rId332" Type="http://schemas.openxmlformats.org/officeDocument/2006/relationships/hyperlink" Target="https://www.francodarocha.sp.gov.br/" TargetMode="External"/><Relationship Id="rId353" Type="http://schemas.openxmlformats.org/officeDocument/2006/relationships/hyperlink" Target="https://www.fitriopreto.com.br/" TargetMode="External"/><Relationship Id="rId374" Type="http://schemas.openxmlformats.org/officeDocument/2006/relationships/hyperlink" Target="https://blog.vitoriahoteis.com.br/eventos-e-cultura/rodeio-de-americana" TargetMode="External"/><Relationship Id="rId395" Type="http://schemas.openxmlformats.org/officeDocument/2006/relationships/hyperlink" Target="http://www.panorama.sp.gov.br" TargetMode="External"/><Relationship Id="rId71" Type="http://schemas.openxmlformats.org/officeDocument/2006/relationships/hyperlink" Target="https://www.santaritadoeste.sp.gov.br/noticias/luzes-que-encantam-2025-santa-rita-d-oeste-ja-vive-o-clima-especial-do-natal" TargetMode="External"/><Relationship Id="rId92" Type="http://schemas.openxmlformats.org/officeDocument/2006/relationships/hyperlink" Target="https://barradoturvo.sp.gov.br/" TargetMode="External"/><Relationship Id="rId213" Type="http://schemas.openxmlformats.org/officeDocument/2006/relationships/hyperlink" Target="https://www.serranegra.sp.gov.br/turismo" TargetMode="External"/><Relationship Id="rId234" Type="http://schemas.openxmlformats.org/officeDocument/2006/relationships/hyperlink" Target="https://www.caraguatatuba.sp.gov.br/" TargetMode="External"/><Relationship Id="rId2" Type="http://schemas.openxmlformats.org/officeDocument/2006/relationships/hyperlink" Target="http://www.barretos.totalacesso.com/" TargetMode="External"/><Relationship Id="rId29" Type="http://schemas.openxmlformats.org/officeDocument/2006/relationships/hyperlink" Target="https://prefeitura.santanadeparnaiba.sp.gov.br/Plataforma/smct/eventos" TargetMode="External"/><Relationship Id="rId255" Type="http://schemas.openxmlformats.org/officeDocument/2006/relationships/hyperlink" Target="https://apaepraiagrande.org.br/" TargetMode="External"/><Relationship Id="rId276" Type="http://schemas.openxmlformats.org/officeDocument/2006/relationships/hyperlink" Target="https://www.instagram.com/vinhos.naserra/" TargetMode="External"/><Relationship Id="rId297" Type="http://schemas.openxmlformats.org/officeDocument/2006/relationships/hyperlink" Target="https://tvcomrunning.com.br/" TargetMode="External"/><Relationship Id="rId40" Type="http://schemas.openxmlformats.org/officeDocument/2006/relationships/hyperlink" Target="https://prefeitura.santanadeparnaiba.sp.gov.br/Plataforma/smct/eventos" TargetMode="External"/><Relationship Id="rId115" Type="http://schemas.openxmlformats.org/officeDocument/2006/relationships/hyperlink" Target="https://turismo.paraibuna.sp.gov.br/agenda" TargetMode="External"/><Relationship Id="rId136" Type="http://schemas.openxmlformats.org/officeDocument/2006/relationships/hyperlink" Target="http://lindoia.sp.gov.br" TargetMode="External"/><Relationship Id="rId157" Type="http://schemas.openxmlformats.org/officeDocument/2006/relationships/hyperlink" Target="https://www.cptm.sp.gov.br/cptm/sua-viagem/expresso-turistico" TargetMode="External"/><Relationship Id="rId178" Type="http://schemas.openxmlformats.org/officeDocument/2006/relationships/hyperlink" Target="http://uga.com.br" TargetMode="External"/><Relationship Id="rId301" Type="http://schemas.openxmlformats.org/officeDocument/2006/relationships/hyperlink" Target="https://cobbind.com.br/" TargetMode="External"/><Relationship Id="rId322" Type="http://schemas.openxmlformats.org/officeDocument/2006/relationships/hyperlink" Target="https://destinocamposdojordao.sp.gov.br/" TargetMode="External"/><Relationship Id="rId343" Type="http://schemas.openxmlformats.org/officeDocument/2006/relationships/hyperlink" Target="http://www.sales.sp.gov.br" TargetMode="External"/><Relationship Id="rId364" Type="http://schemas.openxmlformats.org/officeDocument/2006/relationships/hyperlink" Target="https://canoagem.org.br/calendario?modalidade=slalom" TargetMode="External"/><Relationship Id="rId61" Type="http://schemas.openxmlformats.org/officeDocument/2006/relationships/hyperlink" Target="https://www.estacaoveraopg.com.br/" TargetMode="External"/><Relationship Id="rId82" Type="http://schemas.openxmlformats.org/officeDocument/2006/relationships/hyperlink" Target="http://cultura.itai.sp.gov.br" TargetMode="External"/><Relationship Id="rId199" Type="http://schemas.openxmlformats.org/officeDocument/2006/relationships/hyperlink" Target="https://basilicasaomiguelarcanjo.org.br/" TargetMode="External"/><Relationship Id="rId203" Type="http://schemas.openxmlformats.org/officeDocument/2006/relationships/hyperlink" Target="http://turismo2aguasdesaopedro.sp.gov.br" TargetMode="External"/><Relationship Id="rId385" Type="http://schemas.openxmlformats.org/officeDocument/2006/relationships/hyperlink" Target="http://www.cesariolange.sp.gov.br" TargetMode="External"/><Relationship Id="rId19" Type="http://schemas.openxmlformats.org/officeDocument/2006/relationships/hyperlink" Target="https://www.museucasadeportinari.org.br/" TargetMode="External"/><Relationship Id="rId224" Type="http://schemas.openxmlformats.org/officeDocument/2006/relationships/hyperlink" Target="https://www.sertaozinho.sp.gov.br/portal/noticias/0/3/12613/grito-de-carnaval-anuncia-a-chegada-do-carnalegria-2026-no-dia-08-de-fevereiro/" TargetMode="External"/><Relationship Id="rId245" Type="http://schemas.openxmlformats.org/officeDocument/2006/relationships/hyperlink" Target="https://www.instagram.com/corridasdemontanha/" TargetMode="External"/><Relationship Id="rId266" Type="http://schemas.openxmlformats.org/officeDocument/2006/relationships/hyperlink" Target="https://www.santaritadopassaquatro.sp.gov.br" TargetMode="External"/><Relationship Id="rId287" Type="http://schemas.openxmlformats.org/officeDocument/2006/relationships/hyperlink" Target="https://conexidades.com.br/" TargetMode="External"/><Relationship Id="rId30" Type="http://schemas.openxmlformats.org/officeDocument/2006/relationships/hyperlink" Target="https://prefeitura.santanadeparnaiba.sp.gov.br/Plataforma/smct/eventos" TargetMode="External"/><Relationship Id="rId105" Type="http://schemas.openxmlformats.org/officeDocument/2006/relationships/hyperlink" Target="https://barradoturvo.sp.gov.br/" TargetMode="External"/><Relationship Id="rId126" Type="http://schemas.openxmlformats.org/officeDocument/2006/relationships/hyperlink" Target="https://turismo.paraibuna.sp.gov.br/agenda" TargetMode="External"/><Relationship Id="rId147" Type="http://schemas.openxmlformats.org/officeDocument/2006/relationships/hyperlink" Target="http://www3.santoandre.sp.gov.br/turismosantoandre/" TargetMode="External"/><Relationship Id="rId168" Type="http://schemas.openxmlformats.org/officeDocument/2006/relationships/hyperlink" Target="https://www.instagram.com/studio176_/" TargetMode="External"/><Relationship Id="rId312" Type="http://schemas.openxmlformats.org/officeDocument/2006/relationships/hyperlink" Target="https://camposdojordao.letapeseries.com/" TargetMode="External"/><Relationship Id="rId333" Type="http://schemas.openxmlformats.org/officeDocument/2006/relationships/hyperlink" Target="https://www.francodarocha.sp.gov.br/" TargetMode="External"/><Relationship Id="rId354" Type="http://schemas.openxmlformats.org/officeDocument/2006/relationships/hyperlink" Target="https://www.instagram.com/prefeituradecaieiras/" TargetMode="External"/><Relationship Id="rId51" Type="http://schemas.openxmlformats.org/officeDocument/2006/relationships/hyperlink" Target="https://www.obafestival.com.br/" TargetMode="External"/><Relationship Id="rId72" Type="http://schemas.openxmlformats.org/officeDocument/2006/relationships/hyperlink" Target="https://www.instagram.com/turismomarilia/" TargetMode="External"/><Relationship Id="rId93" Type="http://schemas.openxmlformats.org/officeDocument/2006/relationships/hyperlink" Target="https://www.instagram.com/campeonatodepescasp/" TargetMode="External"/><Relationship Id="rId189" Type="http://schemas.openxmlformats.org/officeDocument/2006/relationships/hyperlink" Target="https://pirambamtb.com/" TargetMode="External"/><Relationship Id="rId375" Type="http://schemas.openxmlformats.org/officeDocument/2006/relationships/hyperlink" Target="http://www.brotas.tur.br" TargetMode="External"/><Relationship Id="rId396" Type="http://schemas.openxmlformats.org/officeDocument/2006/relationships/hyperlink" Target="http://www.panorama.sp.gov.br" TargetMode="External"/><Relationship Id="rId3" Type="http://schemas.openxmlformats.org/officeDocument/2006/relationships/hyperlink" Target="http://www.prefeituramunicipaldesantasalete.sp.gov.br" TargetMode="External"/><Relationship Id="rId214" Type="http://schemas.openxmlformats.org/officeDocument/2006/relationships/hyperlink" Target="https://www.serranegra.sp.gov.br/turismo" TargetMode="External"/><Relationship Id="rId235" Type="http://schemas.openxmlformats.org/officeDocument/2006/relationships/hyperlink" Target="http://www.fbbm.com.br" TargetMode="External"/><Relationship Id="rId256" Type="http://schemas.openxmlformats.org/officeDocument/2006/relationships/hyperlink" Target="https://www.ticketsports.com.br/e/9-corrida-e-caminhada-apae-de-praia-grande-2026-74519?termo=Corrida%20apae&amp;periodo=0&amp;mes=&amp;inicio=&amp;fim=&amp;ordenacao=0&amp;pais=" TargetMode="External"/><Relationship Id="rId277" Type="http://schemas.openxmlformats.org/officeDocument/2006/relationships/hyperlink" Target="https://www.ingressolive.com/vinhos-na-serra-edicao-2026-68026" TargetMode="External"/><Relationship Id="rId298" Type="http://schemas.openxmlformats.org/officeDocument/2006/relationships/hyperlink" Target="https://tvcomrunning.com.br/" TargetMode="External"/><Relationship Id="rId400" Type="http://schemas.openxmlformats.org/officeDocument/2006/relationships/hyperlink" Target="https://turismo.casabranca.sp.gov.br/" TargetMode="External"/><Relationship Id="rId116" Type="http://schemas.openxmlformats.org/officeDocument/2006/relationships/hyperlink" Target="https://turismo.paraibuna.sp.gov.br/agenda" TargetMode="External"/><Relationship Id="rId137" Type="http://schemas.openxmlformats.org/officeDocument/2006/relationships/hyperlink" Target="https://apasshow.com/" TargetMode="External"/><Relationship Id="rId158" Type="http://schemas.openxmlformats.org/officeDocument/2006/relationships/hyperlink" Target="https://www.cptm.sp.gov.br/cptm/sua-viagem/expresso-turistico" TargetMode="External"/><Relationship Id="rId302" Type="http://schemas.openxmlformats.org/officeDocument/2006/relationships/hyperlink" Target="https://cobbind.com.br/" TargetMode="External"/><Relationship Id="rId323" Type="http://schemas.openxmlformats.org/officeDocument/2006/relationships/hyperlink" Target="https://www.instagram.com/4geek_eventos/" TargetMode="External"/><Relationship Id="rId344" Type="http://schemas.openxmlformats.org/officeDocument/2006/relationships/hyperlink" Target="https://www2.praiagrande.sp.gov.br/" TargetMode="External"/><Relationship Id="rId20" Type="http://schemas.openxmlformats.org/officeDocument/2006/relationships/hyperlink" Target="https://www.museucasadeportinari.org.br/" TargetMode="External"/><Relationship Id="rId41" Type="http://schemas.openxmlformats.org/officeDocument/2006/relationships/hyperlink" Target="https://prefeitura.santanadeparnaiba.sp.gov.br/Plataforma/smct/eventos" TargetMode="External"/><Relationship Id="rId62" Type="http://schemas.openxmlformats.org/officeDocument/2006/relationships/hyperlink" Target="https://www2.praiagrande.sp.gov.br/" TargetMode="External"/><Relationship Id="rId83" Type="http://schemas.openxmlformats.org/officeDocument/2006/relationships/hyperlink" Target="https://rodeionazarepaulista.com.br" TargetMode="External"/><Relationship Id="rId179" Type="http://schemas.openxmlformats.org/officeDocument/2006/relationships/hyperlink" Target="http://garca.sp.gov.br" TargetMode="External"/><Relationship Id="rId365" Type="http://schemas.openxmlformats.org/officeDocument/2006/relationships/hyperlink" Target="https://www.americana.sp.gov.br" TargetMode="External"/><Relationship Id="rId386" Type="http://schemas.openxmlformats.org/officeDocument/2006/relationships/hyperlink" Target="http://www.cesariolange.sp.gov.br" TargetMode="External"/><Relationship Id="rId190" Type="http://schemas.openxmlformats.org/officeDocument/2006/relationships/hyperlink" Target="https://www.instagram.com/be7even_" TargetMode="External"/><Relationship Id="rId204" Type="http://schemas.openxmlformats.org/officeDocument/2006/relationships/hyperlink" Target="https://www.instagram.com/reel/DTvxQGEkmuX/?utm_source=ig_web_copy_link&amp;igsh=MzRlODBiNWFlZA==" TargetMode="External"/><Relationship Id="rId225" Type="http://schemas.openxmlformats.org/officeDocument/2006/relationships/hyperlink" Target="https://www.circuitomares.com.br/" TargetMode="External"/><Relationship Id="rId246" Type="http://schemas.openxmlformats.org/officeDocument/2006/relationships/hyperlink" Target="https://minhasinscricoes.com.br/Evento/CORRIDASDEMONTANHA-CAMPOSDOJORDAO2026" TargetMode="External"/><Relationship Id="rId267" Type="http://schemas.openxmlformats.org/officeDocument/2006/relationships/hyperlink" Target="https://www.santaritadopassaquatro.sp.gov.br" TargetMode="External"/><Relationship Id="rId288" Type="http://schemas.openxmlformats.org/officeDocument/2006/relationships/hyperlink" Target="https://sites.google.com/view/pavariniproducoesbr/p%C3%A1gina-inicial?authuser=0" TargetMode="External"/><Relationship Id="rId106" Type="http://schemas.openxmlformats.org/officeDocument/2006/relationships/hyperlink" Target="https://montealto.sp.gov.br/site/guiadoromeiro/" TargetMode="External"/><Relationship Id="rId127" Type="http://schemas.openxmlformats.org/officeDocument/2006/relationships/hyperlink" Target="https://turismo.paraibuna.sp.gov.br/agenda" TargetMode="External"/><Relationship Id="rId313" Type="http://schemas.openxmlformats.org/officeDocument/2006/relationships/hyperlink" Target="https://www.ticketsports.com.br/e/ltape-campos-do-jordo-by-tour-de-france-presented-by-nubank---2026-74115" TargetMode="External"/><Relationship Id="rId10" Type="http://schemas.openxmlformats.org/officeDocument/2006/relationships/hyperlink" Target="http://olimpia.sp.gov.br" TargetMode="External"/><Relationship Id="rId31" Type="http://schemas.openxmlformats.org/officeDocument/2006/relationships/hyperlink" Target="https://prefeitura.santanadeparnaiba.sp.gov.br/Plataforma/smct/eventos" TargetMode="External"/><Relationship Id="rId52" Type="http://schemas.openxmlformats.org/officeDocument/2006/relationships/hyperlink" Target="https://www.guicheweb.com.br/oba-festival-2026_46590" TargetMode="External"/><Relationship Id="rId73" Type="http://schemas.openxmlformats.org/officeDocument/2006/relationships/hyperlink" Target="https://www.instagram.com/p/DSFdzKYDs8i/" TargetMode="External"/><Relationship Id="rId94" Type="http://schemas.openxmlformats.org/officeDocument/2006/relationships/hyperlink" Target="https://www.instagram.com/campeonatodepescasp/" TargetMode="External"/><Relationship Id="rId148" Type="http://schemas.openxmlformats.org/officeDocument/2006/relationships/hyperlink" Target="https://www.convencaodebruxas.com.br/" TargetMode="External"/><Relationship Id="rId169" Type="http://schemas.openxmlformats.org/officeDocument/2006/relationships/hyperlink" Target="https://www.instagram.com/studio176_/" TargetMode="External"/><Relationship Id="rId334" Type="http://schemas.openxmlformats.org/officeDocument/2006/relationships/hyperlink" Target="https://www.francodarocha.sp.gov.br/" TargetMode="External"/><Relationship Id="rId355" Type="http://schemas.openxmlformats.org/officeDocument/2006/relationships/hyperlink" Target="https://www.instagram.com/prefeituradecaieiras/" TargetMode="External"/><Relationship Id="rId376" Type="http://schemas.openxmlformats.org/officeDocument/2006/relationships/hyperlink" Target="http://www.brotas.tur.br" TargetMode="External"/><Relationship Id="rId397" Type="http://schemas.openxmlformats.org/officeDocument/2006/relationships/hyperlink" Target="http://www.panorama.sp.gov.br" TargetMode="External"/><Relationship Id="rId4" Type="http://schemas.openxmlformats.org/officeDocument/2006/relationships/hyperlink" Target="http://www.cabreuva.sp.gov.br" TargetMode="External"/><Relationship Id="rId180" Type="http://schemas.openxmlformats.org/officeDocument/2006/relationships/hyperlink" Target="https://www.instagram.com/arraiadoadrianita/" TargetMode="External"/><Relationship Id="rId215" Type="http://schemas.openxmlformats.org/officeDocument/2006/relationships/hyperlink" Target="https://www.serranegra.sp.gov.br/turismo" TargetMode="External"/><Relationship Id="rId236" Type="http://schemas.openxmlformats.org/officeDocument/2006/relationships/hyperlink" Target="https://lets.4.events/geek-prime-2026-caragua-sp-C25009E8" TargetMode="External"/><Relationship Id="rId257" Type="http://schemas.openxmlformats.org/officeDocument/2006/relationships/hyperlink" Target="https://www.santaritadopassaquatro.sp.gov.br" TargetMode="External"/><Relationship Id="rId278" Type="http://schemas.openxmlformats.org/officeDocument/2006/relationships/hyperlink" Target="https://www.instagram.com/3arunningsports/" TargetMode="External"/><Relationship Id="rId401" Type="http://schemas.openxmlformats.org/officeDocument/2006/relationships/hyperlink" Target="http://marceloasus76gmail.com" TargetMode="External"/><Relationship Id="rId303" Type="http://schemas.openxmlformats.org/officeDocument/2006/relationships/hyperlink" Target="https://mountaindo.com.br/trail-run/mountain-do-campos-do-jordao/" TargetMode="External"/><Relationship Id="rId42" Type="http://schemas.openxmlformats.org/officeDocument/2006/relationships/hyperlink" Target="http://olimpia.sp.gob.br" TargetMode="External"/><Relationship Id="rId84" Type="http://schemas.openxmlformats.org/officeDocument/2006/relationships/hyperlink" Target="https://www.instagram.com/santosreisaparecida?igsh=Y2xoYXZqeXd1YzEw" TargetMode="External"/><Relationship Id="rId138" Type="http://schemas.openxmlformats.org/officeDocument/2006/relationships/hyperlink" Target="https://apas.easyexpo.com.br/apasshow/26/credenciamento?idioma=PT" TargetMode="External"/><Relationship Id="rId345" Type="http://schemas.openxmlformats.org/officeDocument/2006/relationships/hyperlink" Target="https://www.praiagrande.sp.gov.br/atendimento/CulturaTurismo/EncenacaoDaPaixaoDeCristo.asp" TargetMode="External"/><Relationship Id="rId387" Type="http://schemas.openxmlformats.org/officeDocument/2006/relationships/hyperlink" Target="http://www.festivalforrodaluacheia.com.br" TargetMode="External"/><Relationship Id="rId191" Type="http://schemas.openxmlformats.org/officeDocument/2006/relationships/hyperlink" Target="https://www.facebook.com/nossasenhoraaparecidajafa" TargetMode="External"/><Relationship Id="rId205" Type="http://schemas.openxmlformats.org/officeDocument/2006/relationships/hyperlink" Target="https://www.guicheweb.com.br/" TargetMode="External"/><Relationship Id="rId247" Type="http://schemas.openxmlformats.org/officeDocument/2006/relationships/hyperlink" Target="https://cultura.camposdojordao.sp.gov.br/?p=1849" TargetMode="External"/><Relationship Id="rId107" Type="http://schemas.openxmlformats.org/officeDocument/2006/relationships/hyperlink" Target="https://barradoturvo.sp.gov.br/" TargetMode="External"/><Relationship Id="rId289" Type="http://schemas.openxmlformats.org/officeDocument/2006/relationships/hyperlink" Target="https://parquedacerejeira.com.br/" TargetMode="External"/><Relationship Id="rId11" Type="http://schemas.openxmlformats.org/officeDocument/2006/relationships/hyperlink" Target="http://sites.google.com/view/sec-turismocultura" TargetMode="External"/><Relationship Id="rId53" Type="http://schemas.openxmlformats.org/officeDocument/2006/relationships/hyperlink" Target="https://www.festivalcinemamarilia.com.br/contato" TargetMode="External"/><Relationship Id="rId149" Type="http://schemas.openxmlformats.org/officeDocument/2006/relationships/hyperlink" Target="http://www.convencaodebruxas.com.br" TargetMode="External"/><Relationship Id="rId314" Type="http://schemas.openxmlformats.org/officeDocument/2006/relationships/hyperlink" Target="https://worldtrailraces.com/" TargetMode="External"/><Relationship Id="rId356" Type="http://schemas.openxmlformats.org/officeDocument/2006/relationships/hyperlink" Target="http://www.turisagro.com.br" TargetMode="External"/><Relationship Id="rId398" Type="http://schemas.openxmlformats.org/officeDocument/2006/relationships/hyperlink" Target="http://vemprariopardo.sp.gov.br" TargetMode="External"/><Relationship Id="rId95" Type="http://schemas.openxmlformats.org/officeDocument/2006/relationships/hyperlink" Target="https://barradoturvo.sp.gov.br/" TargetMode="External"/><Relationship Id="rId160" Type="http://schemas.openxmlformats.org/officeDocument/2006/relationships/hyperlink" Target="https://www.potim.sp.gov.br" TargetMode="External"/><Relationship Id="rId216" Type="http://schemas.openxmlformats.org/officeDocument/2006/relationships/hyperlink" Target="https://www.serranegra.sp.gov.br/turismo" TargetMode="External"/><Relationship Id="rId258" Type="http://schemas.openxmlformats.org/officeDocument/2006/relationships/hyperlink" Target="https://www.santaritadopassaquatro.sp.gov.br" TargetMode="External"/><Relationship Id="rId22" Type="http://schemas.openxmlformats.org/officeDocument/2006/relationships/hyperlink" Target="http://sites.google.com/vieew/sec-turismocultura" TargetMode="External"/><Relationship Id="rId64" Type="http://schemas.openxmlformats.org/officeDocument/2006/relationships/hyperlink" Target="https://www.guicheweb.com.br/estacao-verao-show-2026_46424" TargetMode="External"/><Relationship Id="rId118" Type="http://schemas.openxmlformats.org/officeDocument/2006/relationships/hyperlink" Target="https://turismo.paraibuna.sp.gov.br/agenda" TargetMode="External"/><Relationship Id="rId325" Type="http://schemas.openxmlformats.org/officeDocument/2006/relationships/hyperlink" Target="https://amorecuidado.com.br" TargetMode="External"/><Relationship Id="rId367" Type="http://schemas.openxmlformats.org/officeDocument/2006/relationships/hyperlink" Target="https://www.americana.sp.gov.br" TargetMode="External"/><Relationship Id="rId171" Type="http://schemas.openxmlformats.org/officeDocument/2006/relationships/hyperlink" Target="https://www.instagram.com/garcamotorock/" TargetMode="External"/><Relationship Id="rId227" Type="http://schemas.openxmlformats.org/officeDocument/2006/relationships/hyperlink" Target="http://www.caraguatatuba.sp.gov.br/" TargetMode="External"/><Relationship Id="rId269" Type="http://schemas.openxmlformats.org/officeDocument/2006/relationships/hyperlink" Target="http://francodorock.com" TargetMode="External"/><Relationship Id="rId33" Type="http://schemas.openxmlformats.org/officeDocument/2006/relationships/hyperlink" Target="https://prefeitura.santanadeparnaiba.sp.gov.br/Plataforma/smct/eventos" TargetMode="External"/><Relationship Id="rId129" Type="http://schemas.openxmlformats.org/officeDocument/2006/relationships/hyperlink" Target="https://turismo.paraibuna.sp.gov.br/agenda" TargetMode="External"/><Relationship Id="rId280" Type="http://schemas.openxmlformats.org/officeDocument/2006/relationships/hyperlink" Target="https://www.giroridelikeapro.com/" TargetMode="External"/><Relationship Id="rId336" Type="http://schemas.openxmlformats.org/officeDocument/2006/relationships/hyperlink" Target="https://www.ticketmaster.com.br/event/fabrica-de-chefs-suhai-music-hall" TargetMode="External"/><Relationship Id="rId75" Type="http://schemas.openxmlformats.org/officeDocument/2006/relationships/hyperlink" Target="https://www.instagram.com/corridadaviradamarilia/" TargetMode="External"/><Relationship Id="rId140" Type="http://schemas.openxmlformats.org/officeDocument/2006/relationships/hyperlink" Target="http://www.santoandre473anos.com.br" TargetMode="External"/><Relationship Id="rId182" Type="http://schemas.openxmlformats.org/officeDocument/2006/relationships/hyperlink" Target="https://www.facebook.com/pspgarca" TargetMode="External"/><Relationship Id="rId378" Type="http://schemas.openxmlformats.org/officeDocument/2006/relationships/hyperlink" Target="https://hakarace.com.br/evento/14" TargetMode="External"/><Relationship Id="rId403" Type="http://schemas.openxmlformats.org/officeDocument/2006/relationships/table" Target="../tables/table1.xml"/><Relationship Id="rId6" Type="http://schemas.openxmlformats.org/officeDocument/2006/relationships/hyperlink" Target="http://zbrevents.com.br" TargetMode="External"/><Relationship Id="rId238" Type="http://schemas.openxmlformats.org/officeDocument/2006/relationships/hyperlink" Target="https://www.serranegra.sp.gov.br/turismo" TargetMode="External"/><Relationship Id="rId291" Type="http://schemas.openxmlformats.org/officeDocument/2006/relationships/hyperlink" Target="https://tvcomrunning.com.br/" TargetMode="External"/><Relationship Id="rId305" Type="http://schemas.openxmlformats.org/officeDocument/2006/relationships/hyperlink" Target="https://encontroanual.aasp.org.br/" TargetMode="External"/><Relationship Id="rId347" Type="http://schemas.openxmlformats.org/officeDocument/2006/relationships/hyperlink" Target="https://turismo.praiagrande.sp.gov.br/2021/08/04/feira-de-artesanato-itinerante/" TargetMode="External"/><Relationship Id="rId44" Type="http://schemas.openxmlformats.org/officeDocument/2006/relationships/hyperlink" Target="http://olimpia.sp.gov.br" TargetMode="External"/><Relationship Id="rId86" Type="http://schemas.openxmlformats.org/officeDocument/2006/relationships/hyperlink" Target="http://www.senabe.com.br" TargetMode="External"/><Relationship Id="rId151" Type="http://schemas.openxmlformats.org/officeDocument/2006/relationships/hyperlink" Target="https://www.ffparanapiacaba.com.br/" TargetMode="External"/><Relationship Id="rId389" Type="http://schemas.openxmlformats.org/officeDocument/2006/relationships/hyperlink" Target="http://guaira.sp.gov.br" TargetMode="External"/><Relationship Id="rId193" Type="http://schemas.openxmlformats.org/officeDocument/2006/relationships/hyperlink" Target="http://tecnocafe.com.br" TargetMode="External"/><Relationship Id="rId207" Type="http://schemas.openxmlformats.org/officeDocument/2006/relationships/hyperlink" Target="http://guicheweb.com.br/estacao-verao-show-2026_46424" TargetMode="External"/><Relationship Id="rId249" Type="http://schemas.openxmlformats.org/officeDocument/2006/relationships/hyperlink" Target="https://www.instagram.com/meiadecampos/" TargetMode="External"/><Relationship Id="rId13" Type="http://schemas.openxmlformats.org/officeDocument/2006/relationships/hyperlink" Target="https://www.folcloreolimpia.com.br/" TargetMode="External"/><Relationship Id="rId109" Type="http://schemas.openxmlformats.org/officeDocument/2006/relationships/hyperlink" Target="https://barradoturvo.sp.gov.br/" TargetMode="External"/><Relationship Id="rId260" Type="http://schemas.openxmlformats.org/officeDocument/2006/relationships/hyperlink" Target="https://www.santaritadopassaquatro.sp.gov.br" TargetMode="External"/><Relationship Id="rId316" Type="http://schemas.openxmlformats.org/officeDocument/2006/relationships/hyperlink" Target="https://www.instagram.com/p/DT_bvjwD7oT/" TargetMode="External"/><Relationship Id="rId55" Type="http://schemas.openxmlformats.org/officeDocument/2006/relationships/hyperlink" Target="https://www.instagram.com/rotadascapelas.altocafezal/" TargetMode="External"/><Relationship Id="rId97" Type="http://schemas.openxmlformats.org/officeDocument/2006/relationships/hyperlink" Target="https://turismo.paraibuna.sp.gov.br/agenda" TargetMode="External"/><Relationship Id="rId120" Type="http://schemas.openxmlformats.org/officeDocument/2006/relationships/hyperlink" Target="https://turismo.paraibuna.sp.gov.br/agenda" TargetMode="External"/><Relationship Id="rId358" Type="http://schemas.openxmlformats.org/officeDocument/2006/relationships/hyperlink" Target="http://www.carroantigodopinhal.com.br" TargetMode="External"/><Relationship Id="rId162" Type="http://schemas.openxmlformats.org/officeDocument/2006/relationships/hyperlink" Target="https://www.potim.sp.gov.br" TargetMode="External"/><Relationship Id="rId218" Type="http://schemas.openxmlformats.org/officeDocument/2006/relationships/hyperlink" Target="https://www.serranegra.sp.gov.br/turismo" TargetMode="External"/><Relationship Id="rId271" Type="http://schemas.openxmlformats.org/officeDocument/2006/relationships/hyperlink" Target="https://aracatuba.sp.gov.br/turismo/" TargetMode="External"/><Relationship Id="rId24" Type="http://schemas.openxmlformats.org/officeDocument/2006/relationships/hyperlink" Target="https://itupeva.sp.gov.br" TargetMode="External"/><Relationship Id="rId66" Type="http://schemas.openxmlformats.org/officeDocument/2006/relationships/hyperlink" Target="https://connectacim.com.br/" TargetMode="External"/><Relationship Id="rId131" Type="http://schemas.openxmlformats.org/officeDocument/2006/relationships/hyperlink" Target="https://turismo.paraibuna.sp.gov.br/agenda" TargetMode="External"/><Relationship Id="rId327" Type="http://schemas.openxmlformats.org/officeDocument/2006/relationships/hyperlink" Target="https://www.instagram.com/despertaaracatuba/" TargetMode="External"/><Relationship Id="rId369" Type="http://schemas.openxmlformats.org/officeDocument/2006/relationships/hyperlink" Target="https://www.americana.sp.gov.br" TargetMode="External"/><Relationship Id="rId173" Type="http://schemas.openxmlformats.org/officeDocument/2006/relationships/hyperlink" Target="https://www.instagram.com/equipe_caveiras/" TargetMode="External"/><Relationship Id="rId229" Type="http://schemas.openxmlformats.org/officeDocument/2006/relationships/hyperlink" Target="https://hakarace.com.br/" TargetMode="External"/><Relationship Id="rId380" Type="http://schemas.openxmlformats.org/officeDocument/2006/relationships/hyperlink" Target="https://www.trirex.com.br/2etapa" TargetMode="External"/><Relationship Id="rId240" Type="http://schemas.openxmlformats.org/officeDocument/2006/relationships/hyperlink" Target="https://www.serranegra.sp.gov.br/turismo" TargetMode="External"/><Relationship Id="rId35" Type="http://schemas.openxmlformats.org/officeDocument/2006/relationships/hyperlink" Target="http://olimpia.sp.gov.br" TargetMode="External"/><Relationship Id="rId77" Type="http://schemas.openxmlformats.org/officeDocument/2006/relationships/hyperlink" Target="https://www.instagram.com/p/DL2rzbDObL1/" TargetMode="External"/><Relationship Id="rId100" Type="http://schemas.openxmlformats.org/officeDocument/2006/relationships/hyperlink" Target="https://maratonaaquatica.com.br/" TargetMode="External"/><Relationship Id="rId282" Type="http://schemas.openxmlformats.org/officeDocument/2006/relationships/hyperlink" Target="https://mantiqueiracup.com.br/" TargetMode="External"/><Relationship Id="rId338" Type="http://schemas.openxmlformats.org/officeDocument/2006/relationships/hyperlink" Target="https://incentivoesporte.com.br/" TargetMode="External"/><Relationship Id="rId8" Type="http://schemas.openxmlformats.org/officeDocument/2006/relationships/hyperlink" Target="https://www.turismo.olimpia.sp.gov.br/" TargetMode="External"/><Relationship Id="rId142" Type="http://schemas.openxmlformats.org/officeDocument/2006/relationships/hyperlink" Target="http://www.arraialsolidariosantoandre.com.br" TargetMode="External"/><Relationship Id="rId184" Type="http://schemas.openxmlformats.org/officeDocument/2006/relationships/hyperlink" Target="https://www.evolvefestival.com.br/" TargetMode="External"/><Relationship Id="rId391" Type="http://schemas.openxmlformats.org/officeDocument/2006/relationships/hyperlink" Target="http://guaira.sp.gov.br" TargetMode="External"/><Relationship Id="rId251" Type="http://schemas.openxmlformats.org/officeDocument/2006/relationships/hyperlink" Target="https://xkrsports.com.br/" TargetMode="External"/><Relationship Id="rId46" Type="http://schemas.openxmlformats.org/officeDocument/2006/relationships/hyperlink" Target="https://www.instagram.com/festivalgastronomicodemarilia/" TargetMode="External"/><Relationship Id="rId293" Type="http://schemas.openxmlformats.org/officeDocument/2006/relationships/hyperlink" Target="https://tvcomrunning.com.br/" TargetMode="External"/><Relationship Id="rId307" Type="http://schemas.openxmlformats.org/officeDocument/2006/relationships/hyperlink" Target="https://www.epicrace.com.br/" TargetMode="External"/><Relationship Id="rId349" Type="http://schemas.openxmlformats.org/officeDocument/2006/relationships/hyperlink" Target="https://gunsnroses.com/pages/tour" TargetMode="External"/><Relationship Id="rId88" Type="http://schemas.openxmlformats.org/officeDocument/2006/relationships/hyperlink" Target="https://www.a12.com/santuario/festa-da-padroeira" TargetMode="External"/><Relationship Id="rId111" Type="http://schemas.openxmlformats.org/officeDocument/2006/relationships/hyperlink" Target="https://turismo.paraibuna.sp.gov.br/agenda" TargetMode="External"/><Relationship Id="rId153" Type="http://schemas.openxmlformats.org/officeDocument/2006/relationships/hyperlink" Target="https://www.onsport.com.br" TargetMode="External"/><Relationship Id="rId195" Type="http://schemas.openxmlformats.org/officeDocument/2006/relationships/hyperlink" Target="http://www.poaorquideafest.com.br" TargetMode="External"/><Relationship Id="rId209" Type="http://schemas.openxmlformats.org/officeDocument/2006/relationships/hyperlink" Target="https://turismo.casabranca.sp.gov.br/" TargetMode="External"/><Relationship Id="rId360" Type="http://schemas.openxmlformats.org/officeDocument/2006/relationships/hyperlink" Target="http://www.carroantigodopinhal.com.br" TargetMode="External"/><Relationship Id="rId220" Type="http://schemas.openxmlformats.org/officeDocument/2006/relationships/hyperlink" Target="https://www.serranegra.sp.gov.br/turismo" TargetMode="External"/><Relationship Id="rId15" Type="http://schemas.openxmlformats.org/officeDocument/2006/relationships/hyperlink" Target="https://www.instagram.com/culturasaltodepirapora/?locale=us&amp;hl=am-et" TargetMode="External"/><Relationship Id="rId57" Type="http://schemas.openxmlformats.org/officeDocument/2006/relationships/hyperlink" Target="https://www.instagram.com/rotadascapelas.altocafezal/" TargetMode="External"/><Relationship Id="rId262" Type="http://schemas.openxmlformats.org/officeDocument/2006/relationships/hyperlink" Target="https://turismo.ribeiraogrande.sp.gov.br/feira-da-lua/" TargetMode="External"/><Relationship Id="rId318" Type="http://schemas.openxmlformats.org/officeDocument/2006/relationships/hyperlink" Target="https://www.fccj.com.br/" TargetMode="External"/><Relationship Id="rId99" Type="http://schemas.openxmlformats.org/officeDocument/2006/relationships/hyperlink" Target="http://www.paraibuna.sp.gov.br" TargetMode="External"/><Relationship Id="rId122" Type="http://schemas.openxmlformats.org/officeDocument/2006/relationships/hyperlink" Target="https://turismo.paraibuna.sp.gov.br/agenda" TargetMode="External"/><Relationship Id="rId164" Type="http://schemas.openxmlformats.org/officeDocument/2006/relationships/hyperlink" Target="https://www.sympla.com.br/evento/8-edicao-da-caminhada-dos-emancipadores-de-praia-grande/3268663?referrer=www2.praiagrande.sp.gov.br&amp;referrer=www2.praiagrande.sp.gov.br" TargetMode="External"/><Relationship Id="rId371" Type="http://schemas.openxmlformats.org/officeDocument/2006/relationships/hyperlink" Target="https://www.americana.sp.gov.br/americana-index.php" TargetMode="External"/><Relationship Id="rId26" Type="http://schemas.openxmlformats.org/officeDocument/2006/relationships/hyperlink" Target="http://sites.google.com/view/sec-turismocultura" TargetMode="External"/><Relationship Id="rId231" Type="http://schemas.openxmlformats.org/officeDocument/2006/relationships/hyperlink" Target="https://xterrabrasil.com.br/" TargetMode="External"/><Relationship Id="rId273" Type="http://schemas.openxmlformats.org/officeDocument/2006/relationships/hyperlink" Target="https://sites.google.com/" TargetMode="External"/><Relationship Id="rId329" Type="http://schemas.openxmlformats.org/officeDocument/2006/relationships/hyperlink" Target="https://www.instagram.com/congressofolcloristas2026/" TargetMode="External"/><Relationship Id="rId68" Type="http://schemas.openxmlformats.org/officeDocument/2006/relationships/hyperlink" Target="https://www.instagram.com/p/C7lqiuUI1Pb/?hl=en" TargetMode="External"/><Relationship Id="rId133" Type="http://schemas.openxmlformats.org/officeDocument/2006/relationships/hyperlink" Target="http://boraceia.sp.gov.br" TargetMode="External"/><Relationship Id="rId175" Type="http://schemas.openxmlformats.org/officeDocument/2006/relationships/hyperlink" Target="https://zbrevents.com.br/igt23k/" TargetMode="External"/><Relationship Id="rId340" Type="http://schemas.openxmlformats.org/officeDocument/2006/relationships/hyperlink" Target="http://www.sales.sp.gov.br" TargetMode="External"/><Relationship Id="rId200" Type="http://schemas.openxmlformats.org/officeDocument/2006/relationships/hyperlink" Target="https://turismo.casabranca.sp.gov.br" TargetMode="External"/><Relationship Id="rId382" Type="http://schemas.openxmlformats.org/officeDocument/2006/relationships/hyperlink" Target="http://sescsp.org.br/CIRCUITO" TargetMode="External"/><Relationship Id="rId242" Type="http://schemas.openxmlformats.org/officeDocument/2006/relationships/hyperlink" Target="https://www.serranegra.sp.gov.br/turismo" TargetMode="External"/><Relationship Id="rId284" Type="http://schemas.openxmlformats.org/officeDocument/2006/relationships/hyperlink" Target="https://www.festcampos.com/" TargetMode="External"/><Relationship Id="rId37" Type="http://schemas.openxmlformats.org/officeDocument/2006/relationships/hyperlink" Target="https://prefeitura.santanadeparnaiba.sp.gov.br/Plataforma/smct/eventos" TargetMode="External"/><Relationship Id="rId79" Type="http://schemas.openxmlformats.org/officeDocument/2006/relationships/hyperlink" Target="http://olimpia.sp.gov.br" TargetMode="External"/><Relationship Id="rId102" Type="http://schemas.openxmlformats.org/officeDocument/2006/relationships/hyperlink" Target="https://barradoturvo.sp.gov.br/" TargetMode="External"/><Relationship Id="rId144" Type="http://schemas.openxmlformats.org/officeDocument/2006/relationships/hyperlink" Target="https://www.instagram.com/blocodorenatao/"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721"/>
  <sheetViews>
    <sheetView tabSelected="1" workbookViewId="0">
      <pane ySplit="1" topLeftCell="A2" activePane="bottomLeft" state="frozen"/>
      <selection pane="bottomLeft" activeCell="B3" sqref="B3"/>
    </sheetView>
  </sheetViews>
  <sheetFormatPr defaultColWidth="12.5703125" defaultRowHeight="15.75" customHeight="1"/>
  <cols>
    <col min="1" max="1" width="21.28515625" customWidth="1"/>
    <col min="2" max="2" width="18.85546875" customWidth="1"/>
    <col min="3" max="3" width="30.7109375" customWidth="1"/>
    <col min="4" max="4" width="18.85546875" customWidth="1"/>
    <col min="5" max="5" width="33.140625" customWidth="1"/>
    <col min="6" max="6" width="23.85546875" customWidth="1"/>
    <col min="7" max="7" width="19.5703125" customWidth="1"/>
    <col min="8" max="8" width="24.7109375" customWidth="1"/>
    <col min="9" max="9" width="26.42578125" customWidth="1"/>
    <col min="10" max="10" width="31.7109375" customWidth="1"/>
    <col min="11" max="11" width="30.5703125" customWidth="1"/>
    <col min="12" max="14" width="37.5703125" customWidth="1"/>
    <col min="15" max="15" width="35.140625" customWidth="1"/>
    <col min="16" max="16" width="29.28515625" customWidth="1"/>
    <col min="17" max="17" width="19.140625" customWidth="1"/>
    <col min="18" max="18" width="18.85546875" customWidth="1"/>
    <col min="19" max="19" width="32.5703125" customWidth="1"/>
    <col min="20" max="22" width="37.5703125" customWidth="1"/>
    <col min="23" max="23" width="28.5703125" customWidth="1"/>
    <col min="24" max="24" width="35.42578125" customWidth="1"/>
    <col min="25" max="25" width="33.7109375" customWidth="1"/>
    <col min="26" max="26" width="37.5703125" customWidth="1"/>
    <col min="27" max="27" width="21.7109375" customWidth="1"/>
    <col min="28" max="28" width="34" customWidth="1"/>
    <col min="29" max="29" width="19.7109375" customWidth="1"/>
    <col min="30" max="37" width="18.85546875" customWidth="1"/>
  </cols>
  <sheetData>
    <row r="1" spans="1:37"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2" t="s">
        <v>30</v>
      </c>
      <c r="AF1" s="2" t="s">
        <v>31</v>
      </c>
      <c r="AG1" s="2" t="s">
        <v>32</v>
      </c>
      <c r="AH1" s="2" t="s">
        <v>33</v>
      </c>
      <c r="AI1" s="2" t="s">
        <v>34</v>
      </c>
      <c r="AJ1" s="3" t="s">
        <v>35</v>
      </c>
      <c r="AK1" s="4" t="s">
        <v>36</v>
      </c>
    </row>
    <row r="2" spans="1:37" ht="22.5" customHeight="1">
      <c r="A2" s="5">
        <v>46002.48901931713</v>
      </c>
      <c r="B2" s="1" t="s">
        <v>37</v>
      </c>
      <c r="C2" s="1" t="s">
        <v>38</v>
      </c>
      <c r="D2" s="1" t="s">
        <v>39</v>
      </c>
      <c r="E2" s="1" t="s">
        <v>40</v>
      </c>
      <c r="F2" s="1"/>
      <c r="G2" s="1" t="s">
        <v>41</v>
      </c>
      <c r="H2" s="6" t="s">
        <v>42</v>
      </c>
      <c r="I2" s="1" t="s">
        <v>43</v>
      </c>
      <c r="J2" s="7">
        <v>45889</v>
      </c>
      <c r="K2" s="7">
        <v>45899</v>
      </c>
      <c r="L2" s="1"/>
      <c r="M2" s="1"/>
      <c r="N2" s="1" t="s">
        <v>44</v>
      </c>
      <c r="O2" s="1" t="s">
        <v>45</v>
      </c>
      <c r="P2" s="1" t="s">
        <v>46</v>
      </c>
      <c r="Q2" s="1" t="s">
        <v>47</v>
      </c>
      <c r="R2" s="1" t="s">
        <v>48</v>
      </c>
      <c r="S2" s="8">
        <v>900000</v>
      </c>
      <c r="T2" s="8">
        <v>900000</v>
      </c>
      <c r="U2" s="8">
        <v>900000</v>
      </c>
      <c r="V2" s="8">
        <v>900000</v>
      </c>
      <c r="W2" s="1" t="s">
        <v>49</v>
      </c>
      <c r="X2" s="9" t="s">
        <v>50</v>
      </c>
      <c r="Y2" s="1" t="s">
        <v>51</v>
      </c>
      <c r="Z2" s="1" t="s">
        <v>52</v>
      </c>
      <c r="AA2" s="1" t="s">
        <v>53</v>
      </c>
      <c r="AB2" s="1" t="s">
        <v>54</v>
      </c>
      <c r="AC2" s="1" t="s">
        <v>55</v>
      </c>
      <c r="AD2" s="1" t="str">
        <f>IFERROR(VLOOKUP(B2,'Regiões Administrativas'!$A$1:$B$646,2,0),"")</f>
        <v>Barretos</v>
      </c>
      <c r="AE2" s="1">
        <f>IFERROR(VLOOKUP(Form_Responses[[#This Row],[Município]],'Regiões Administrativas'!$A$1:$I$646,3,0),"")</f>
        <v>15545</v>
      </c>
      <c r="AF2" s="1">
        <f>IFERROR(VLOOKUP(Form_Responses[[#This Row],[Município]],'Regiões Administrativas'!$A$1:$I$646,4,0),"")</f>
        <v>350550005000001</v>
      </c>
      <c r="AG2" s="1">
        <f>IFERROR(VLOOKUP(Form_Responses[[#This Row],[Município]],'Regiões Administrativas'!$A$1:$I$646,4,0),"")</f>
        <v>350550005000001</v>
      </c>
      <c r="AH2" s="1">
        <f>IFERROR(VLOOKUP(B2,'Regiões Administrativas'!$A$1:$I$646,5,0),"")</f>
        <v>3505500</v>
      </c>
      <c r="AI2" s="1">
        <f>IFERROR(VLOOKUP(B2,'Regiões Administrativas'!$A$1:$I$646,6,0),"")</f>
        <v>-48.567377800000003</v>
      </c>
      <c r="AJ2" s="1">
        <f>IFERROR(VLOOKUP(B2,'Regiões Administrativas'!$A$1:$I$646,8,0),"")</f>
        <v>537.66359699999998</v>
      </c>
      <c r="AK2" s="1" t="str">
        <f>IFERROR(VLOOKUP(Form_Responses[[#This Row],[Município]],'Regiões Administrativas'!$A$1:$I$646,9,0),"")</f>
        <v>1J6RD.n:?3O&gt;</v>
      </c>
    </row>
    <row r="3" spans="1:37" ht="22.5" customHeight="1">
      <c r="A3" s="5">
        <v>46002.559240844908</v>
      </c>
      <c r="B3" s="1" t="s">
        <v>56</v>
      </c>
      <c r="C3" s="10" t="s">
        <v>57</v>
      </c>
      <c r="D3" s="10" t="s">
        <v>58</v>
      </c>
      <c r="E3" s="10" t="s">
        <v>58</v>
      </c>
      <c r="G3" s="10" t="s">
        <v>59</v>
      </c>
      <c r="I3" s="10" t="s">
        <v>60</v>
      </c>
      <c r="J3" s="1"/>
      <c r="K3" s="1"/>
      <c r="L3" s="1"/>
      <c r="M3" s="1"/>
      <c r="N3" s="1" t="s">
        <v>61</v>
      </c>
      <c r="O3" s="1" t="s">
        <v>62</v>
      </c>
      <c r="P3" s="1" t="s">
        <v>63</v>
      </c>
      <c r="Q3" s="1" t="s">
        <v>47</v>
      </c>
      <c r="R3" s="1" t="s">
        <v>48</v>
      </c>
      <c r="S3" s="8">
        <v>45000</v>
      </c>
      <c r="T3" s="8">
        <v>40000</v>
      </c>
      <c r="U3" s="8">
        <v>37000</v>
      </c>
      <c r="V3" s="8">
        <v>30000</v>
      </c>
      <c r="W3" s="1" t="s">
        <v>64</v>
      </c>
      <c r="X3" s="1"/>
      <c r="Y3" s="1" t="s">
        <v>65</v>
      </c>
      <c r="Z3" s="1" t="s">
        <v>66</v>
      </c>
      <c r="AA3" s="1" t="s">
        <v>67</v>
      </c>
      <c r="AB3" s="1" t="s">
        <v>66</v>
      </c>
      <c r="AC3" s="1" t="s">
        <v>68</v>
      </c>
      <c r="AD3" s="1" t="str">
        <f>IFERROR(VLOOKUP(B3,'Regiões Administrativas'!$A$1:$B$646,2,0),"")</f>
        <v>Sorocaba</v>
      </c>
      <c r="AE3" s="1">
        <f>IFERROR(VLOOKUP(Form_Responses[[#This Row],[Município]],'Regiões Administrativas'!$A$1:$I$646,3,0),"")</f>
        <v>15591</v>
      </c>
      <c r="AF3" s="1">
        <f>IFERROR(VLOOKUP(Form_Responses[[#This Row],[Município]],'Regiões Administrativas'!$A$1:$I$646,4,0),"")</f>
        <v>350700105000001</v>
      </c>
      <c r="AG3" s="1">
        <f>IFERROR(VLOOKUP(Form_Responses[[#This Row],[Município]],'Regiões Administrativas'!$A$1:$I$646,4,0),"")</f>
        <v>350700105000001</v>
      </c>
      <c r="AH3" s="1">
        <f>IFERROR(VLOOKUP(B3,'Regiões Administrativas'!$A$1:$I$646,5,0),"")</f>
        <v>3507001</v>
      </c>
      <c r="AI3" s="1">
        <f>IFERROR(VLOOKUP(B3,'Regiões Administrativas'!$A$1:$I$646,6,0),"")</f>
        <v>-47.671473499999998</v>
      </c>
      <c r="AJ3" s="1">
        <f>IFERROR(VLOOKUP(B3,'Regiões Administrativas'!$A$1:$I$646,8,0),"")</f>
        <v>643.45961399999999</v>
      </c>
      <c r="AK3" s="1" t="str">
        <f>IFERROR(VLOOKUP(Form_Responses[[#This Row],[Município]],'Regiões Administrativas'!$A$1:$I$646,9,0),"")</f>
        <v>1J6tlW*483;&gt;</v>
      </c>
    </row>
    <row r="4" spans="1:37" ht="22.5" customHeight="1">
      <c r="A4" s="5">
        <v>46002.560876030097</v>
      </c>
      <c r="B4" s="1" t="s">
        <v>56</v>
      </c>
      <c r="C4" s="10" t="s">
        <v>57</v>
      </c>
      <c r="D4" s="10" t="s">
        <v>69</v>
      </c>
      <c r="E4" s="10" t="s">
        <v>70</v>
      </c>
      <c r="G4" s="10" t="s">
        <v>71</v>
      </c>
      <c r="I4" s="10" t="s">
        <v>72</v>
      </c>
      <c r="J4" s="1"/>
      <c r="K4" s="1"/>
      <c r="L4" s="1"/>
      <c r="M4" s="1"/>
      <c r="N4" s="1" t="s">
        <v>73</v>
      </c>
      <c r="O4" s="1" t="s">
        <v>45</v>
      </c>
      <c r="P4" s="1" t="s">
        <v>63</v>
      </c>
      <c r="Q4" s="1" t="s">
        <v>47</v>
      </c>
      <c r="R4" s="1" t="s">
        <v>74</v>
      </c>
      <c r="S4" s="8">
        <v>30000</v>
      </c>
      <c r="T4" s="8">
        <v>27000</v>
      </c>
      <c r="U4" s="8">
        <v>23000</v>
      </c>
      <c r="V4" s="8">
        <v>20000</v>
      </c>
      <c r="W4" s="1" t="s">
        <v>75</v>
      </c>
      <c r="X4" s="1"/>
      <c r="Y4" s="1" t="s">
        <v>65</v>
      </c>
      <c r="Z4" s="1" t="s">
        <v>76</v>
      </c>
      <c r="AA4" s="1" t="s">
        <v>77</v>
      </c>
      <c r="AB4" s="1" t="s">
        <v>54</v>
      </c>
      <c r="AC4" s="1" t="s">
        <v>68</v>
      </c>
      <c r="AD4" s="1" t="str">
        <f>IFERROR(VLOOKUP(B4,'Regiões Administrativas'!$A$1:$B$646,2,0),"")</f>
        <v>Sorocaba</v>
      </c>
      <c r="AE4" s="1">
        <f>IFERROR(VLOOKUP(Form_Responses[[#This Row],[Município]],'Regiões Administrativas'!$A$1:$I$646,3,0),"")</f>
        <v>15591</v>
      </c>
      <c r="AF4" s="1">
        <f>IFERROR(VLOOKUP(Form_Responses[[#This Row],[Município]],'Regiões Administrativas'!$A$1:$I$646,4,0),"")</f>
        <v>350700105000001</v>
      </c>
      <c r="AG4" s="1">
        <f>IFERROR(VLOOKUP(Form_Responses[[#This Row],[Município]],'Regiões Administrativas'!$A$1:$I$646,4,0),"")</f>
        <v>350700105000001</v>
      </c>
      <c r="AH4" s="1">
        <f>IFERROR(VLOOKUP(B4,'Regiões Administrativas'!$A$1:$I$646,5,0),"")</f>
        <v>3507001</v>
      </c>
      <c r="AI4" s="1">
        <f>IFERROR(VLOOKUP(B4,'Regiões Administrativas'!$A$1:$I$646,6,0),"")</f>
        <v>-47.671473499999998</v>
      </c>
      <c r="AJ4" s="1">
        <f>IFERROR(VLOOKUP(B4,'Regiões Administrativas'!$A$1:$I$646,8,0),"")</f>
        <v>643.45961399999999</v>
      </c>
      <c r="AK4" s="1" t="str">
        <f>IFERROR(VLOOKUP(Form_Responses[[#This Row],[Município]],'Regiões Administrativas'!$A$1:$I$646,9,0),"")</f>
        <v>1J6tlW*483;&gt;</v>
      </c>
    </row>
    <row r="5" spans="1:37" ht="22.5" customHeight="1">
      <c r="A5" s="5">
        <v>46002.563433877316</v>
      </c>
      <c r="B5" s="1" t="s">
        <v>56</v>
      </c>
      <c r="C5" s="10" t="s">
        <v>57</v>
      </c>
      <c r="D5" s="10" t="s">
        <v>78</v>
      </c>
      <c r="E5" s="10" t="s">
        <v>79</v>
      </c>
      <c r="G5" s="10" t="s">
        <v>80</v>
      </c>
      <c r="I5" s="10" t="s">
        <v>81</v>
      </c>
      <c r="J5" s="1"/>
      <c r="K5" s="1"/>
      <c r="L5" s="1"/>
      <c r="M5" s="1"/>
      <c r="N5" s="1" t="s">
        <v>44</v>
      </c>
      <c r="O5" s="1" t="s">
        <v>45</v>
      </c>
      <c r="P5" s="1" t="s">
        <v>46</v>
      </c>
      <c r="Q5" s="1" t="s">
        <v>47</v>
      </c>
      <c r="R5" s="1" t="s">
        <v>74</v>
      </c>
      <c r="S5" s="8">
        <v>45000</v>
      </c>
      <c r="T5" s="8">
        <v>39000</v>
      </c>
      <c r="U5" s="8">
        <v>35000</v>
      </c>
      <c r="V5" s="8">
        <v>30000</v>
      </c>
      <c r="W5" s="1" t="s">
        <v>82</v>
      </c>
      <c r="X5" s="1"/>
      <c r="Y5" s="1" t="s">
        <v>65</v>
      </c>
      <c r="Z5" s="1" t="s">
        <v>66</v>
      </c>
      <c r="AA5" s="1" t="s">
        <v>66</v>
      </c>
      <c r="AB5" s="1" t="s">
        <v>66</v>
      </c>
      <c r="AC5" s="1" t="s">
        <v>83</v>
      </c>
      <c r="AD5" s="1" t="str">
        <f>IFERROR(VLOOKUP(B5,'Regiões Administrativas'!$A$1:$B$646,2,0),"")</f>
        <v>Sorocaba</v>
      </c>
      <c r="AE5" s="1">
        <f>IFERROR(VLOOKUP(Form_Responses[[#This Row],[Município]],'Regiões Administrativas'!$A$1:$I$646,3,0),"")</f>
        <v>15591</v>
      </c>
      <c r="AF5" s="1">
        <f>IFERROR(VLOOKUP(Form_Responses[[#This Row],[Município]],'Regiões Administrativas'!$A$1:$I$646,4,0),"")</f>
        <v>350700105000001</v>
      </c>
      <c r="AG5" s="1">
        <f>IFERROR(VLOOKUP(Form_Responses[[#This Row],[Município]],'Regiões Administrativas'!$A$1:$I$646,4,0),"")</f>
        <v>350700105000001</v>
      </c>
      <c r="AH5" s="1">
        <f>IFERROR(VLOOKUP(B5,'Regiões Administrativas'!$A$1:$I$646,5,0),"")</f>
        <v>3507001</v>
      </c>
      <c r="AI5" s="1">
        <f>IFERROR(VLOOKUP(B5,'Regiões Administrativas'!$A$1:$I$646,6,0),"")</f>
        <v>-47.671473499999998</v>
      </c>
      <c r="AJ5" s="1">
        <f>IFERROR(VLOOKUP(B5,'Regiões Administrativas'!$A$1:$I$646,8,0),"")</f>
        <v>643.45961399999999</v>
      </c>
      <c r="AK5" s="1" t="str">
        <f>IFERROR(VLOOKUP(Form_Responses[[#This Row],[Município]],'Regiões Administrativas'!$A$1:$I$646,9,0),"")</f>
        <v>1J6tlW*483;&gt;</v>
      </c>
    </row>
    <row r="6" spans="1:37" ht="22.5" customHeight="1">
      <c r="A6" s="5">
        <v>46002.568704745368</v>
      </c>
      <c r="B6" s="1" t="s">
        <v>84</v>
      </c>
      <c r="C6" s="10" t="s">
        <v>85</v>
      </c>
      <c r="D6" s="10" t="s">
        <v>86</v>
      </c>
      <c r="E6" s="10" t="s">
        <v>87</v>
      </c>
      <c r="G6" s="10" t="s">
        <v>88</v>
      </c>
      <c r="I6" s="10" t="s">
        <v>89</v>
      </c>
      <c r="J6" s="7">
        <v>46066</v>
      </c>
      <c r="K6" s="7">
        <v>46070</v>
      </c>
      <c r="L6" s="1"/>
      <c r="M6" s="1"/>
      <c r="N6" s="1" t="s">
        <v>44</v>
      </c>
      <c r="O6" s="1" t="s">
        <v>45</v>
      </c>
      <c r="P6" s="1" t="s">
        <v>90</v>
      </c>
      <c r="Q6" s="1" t="s">
        <v>47</v>
      </c>
      <c r="R6" s="1" t="s">
        <v>48</v>
      </c>
      <c r="S6" s="8">
        <v>25000</v>
      </c>
      <c r="T6" s="8">
        <v>20000</v>
      </c>
      <c r="U6" s="8">
        <v>15000</v>
      </c>
      <c r="V6" s="8">
        <v>15000</v>
      </c>
      <c r="W6" s="1" t="s">
        <v>91</v>
      </c>
      <c r="X6" s="1"/>
      <c r="Y6" s="1" t="s">
        <v>92</v>
      </c>
      <c r="Z6" s="1" t="s">
        <v>76</v>
      </c>
      <c r="AA6" s="1" t="s">
        <v>93</v>
      </c>
      <c r="AB6" s="1" t="s">
        <v>66</v>
      </c>
      <c r="AC6" s="1" t="s">
        <v>94</v>
      </c>
      <c r="AD6" s="1" t="str">
        <f>IFERROR(VLOOKUP(B6,'Regiões Administrativas'!$A$1:$B$646,2,0),"")</f>
        <v>Campinas</v>
      </c>
      <c r="AE6" s="1">
        <f>IFERROR(VLOOKUP(Form_Responses[[#This Row],[Município]],'Regiões Administrativas'!$A$1:$I$646,3,0),"")</f>
        <v>17171</v>
      </c>
      <c r="AF6" s="1">
        <f>IFERROR(VLOOKUP(Form_Responses[[#This Row],[Município]],'Regiões Administrativas'!$A$1:$I$646,4,0),"")</f>
        <v>354970605000001</v>
      </c>
      <c r="AG6" s="1">
        <f>IFERROR(VLOOKUP(Form_Responses[[#This Row],[Município]],'Regiões Administrativas'!$A$1:$I$646,4,0),"")</f>
        <v>354970605000001</v>
      </c>
      <c r="AH6" s="1">
        <f>IFERROR(VLOOKUP(B6,'Regiões Administrativas'!$A$1:$I$646,5,0),"")</f>
        <v>3549706</v>
      </c>
      <c r="AI6" s="1">
        <f>IFERROR(VLOOKUP(B6,'Regiões Administrativas'!$A$1:$I$646,6,0),"")</f>
        <v>-46.8882659</v>
      </c>
      <c r="AJ6" s="1">
        <f>IFERROR(VLOOKUP(B6,'Regiões Administrativas'!$A$1:$I$646,8,0),"")</f>
        <v>718.57108200000005</v>
      </c>
      <c r="AK6" s="1" t="str">
        <f>IFERROR(VLOOKUP(Form_Responses[[#This Row],[Município]],'Regiões Administrativas'!$A$1:$I$646,9,0),"")</f>
        <v>1J6t_zRG&lt;GU-</v>
      </c>
    </row>
    <row r="7" spans="1:37" ht="22.5" customHeight="1">
      <c r="A7" s="5">
        <v>46002.579567743058</v>
      </c>
      <c r="B7" s="1" t="s">
        <v>84</v>
      </c>
      <c r="C7" s="1" t="s">
        <v>85</v>
      </c>
      <c r="D7" s="1" t="s">
        <v>95</v>
      </c>
      <c r="E7" s="10" t="s">
        <v>96</v>
      </c>
      <c r="G7" s="10" t="s">
        <v>97</v>
      </c>
      <c r="I7" s="10" t="s">
        <v>43</v>
      </c>
      <c r="J7" s="7">
        <v>46243</v>
      </c>
      <c r="K7" s="7">
        <v>46249</v>
      </c>
      <c r="L7" s="1"/>
      <c r="M7" s="1"/>
      <c r="N7" s="1" t="s">
        <v>98</v>
      </c>
      <c r="O7" s="1" t="s">
        <v>99</v>
      </c>
      <c r="P7" s="1" t="s">
        <v>99</v>
      </c>
      <c r="Q7" s="1" t="s">
        <v>47</v>
      </c>
      <c r="R7" s="1" t="s">
        <v>48</v>
      </c>
      <c r="S7" s="8">
        <v>15000</v>
      </c>
      <c r="T7" s="8">
        <v>15000</v>
      </c>
      <c r="U7" s="8">
        <v>13000</v>
      </c>
      <c r="V7" s="8">
        <v>11000</v>
      </c>
      <c r="W7" s="1" t="s">
        <v>100</v>
      </c>
      <c r="X7" s="1"/>
      <c r="Y7" s="1" t="s">
        <v>92</v>
      </c>
      <c r="Z7" s="1" t="s">
        <v>52</v>
      </c>
      <c r="AA7" s="1" t="s">
        <v>101</v>
      </c>
      <c r="AB7" s="1" t="s">
        <v>66</v>
      </c>
      <c r="AC7" s="1" t="s">
        <v>68</v>
      </c>
      <c r="AD7" s="1" t="str">
        <f>IFERROR(VLOOKUP(B7,'Regiões Administrativas'!$A$1:$B$646,2,0),"")</f>
        <v>Campinas</v>
      </c>
      <c r="AE7" s="1">
        <f>IFERROR(VLOOKUP(Form_Responses[[#This Row],[Município]],'Regiões Administrativas'!$A$1:$I$646,3,0),"")</f>
        <v>17171</v>
      </c>
      <c r="AF7" s="1">
        <f>IFERROR(VLOOKUP(Form_Responses[[#This Row],[Município]],'Regiões Administrativas'!$A$1:$I$646,4,0),"")</f>
        <v>354970605000001</v>
      </c>
      <c r="AG7" s="1">
        <f>IFERROR(VLOOKUP(Form_Responses[[#This Row],[Município]],'Regiões Administrativas'!$A$1:$I$646,4,0),"")</f>
        <v>354970605000001</v>
      </c>
      <c r="AH7" s="1">
        <f>IFERROR(VLOOKUP(B7,'Regiões Administrativas'!$A$1:$I$646,5,0),"")</f>
        <v>3549706</v>
      </c>
      <c r="AI7" s="1">
        <f>IFERROR(VLOOKUP(B7,'Regiões Administrativas'!$A$1:$I$646,6,0),"")</f>
        <v>-46.8882659</v>
      </c>
      <c r="AJ7" s="1">
        <f>IFERROR(VLOOKUP(B7,'Regiões Administrativas'!$A$1:$I$646,8,0),"")</f>
        <v>718.57108200000005</v>
      </c>
      <c r="AK7" s="1" t="str">
        <f>IFERROR(VLOOKUP(Form_Responses[[#This Row],[Município]],'Regiões Administrativas'!$A$1:$I$646,9,0),"")</f>
        <v>1J6t_zRG&lt;GU-</v>
      </c>
    </row>
    <row r="8" spans="1:37" ht="22.5" customHeight="1">
      <c r="A8" s="5">
        <v>46002.616595277781</v>
      </c>
      <c r="B8" s="1" t="s">
        <v>102</v>
      </c>
      <c r="C8" s="1" t="s">
        <v>103</v>
      </c>
      <c r="D8" s="1" t="s">
        <v>104</v>
      </c>
      <c r="E8" s="10" t="s">
        <v>105</v>
      </c>
      <c r="F8" s="10" t="s">
        <v>106</v>
      </c>
      <c r="G8" s="10" t="s">
        <v>107</v>
      </c>
      <c r="H8" s="72" t="s">
        <v>108</v>
      </c>
      <c r="I8" s="10" t="s">
        <v>109</v>
      </c>
      <c r="J8" s="7">
        <v>46103</v>
      </c>
      <c r="K8" s="7">
        <v>46110</v>
      </c>
      <c r="L8" s="1"/>
      <c r="M8" s="1"/>
      <c r="N8" s="1" t="s">
        <v>110</v>
      </c>
      <c r="O8" s="1" t="s">
        <v>99</v>
      </c>
      <c r="P8" s="1" t="s">
        <v>99</v>
      </c>
      <c r="Q8" s="1" t="s">
        <v>47</v>
      </c>
      <c r="R8" s="1" t="s">
        <v>74</v>
      </c>
      <c r="S8" s="8">
        <v>4000</v>
      </c>
      <c r="T8" s="8">
        <v>3000</v>
      </c>
      <c r="U8" s="8">
        <v>2500</v>
      </c>
      <c r="V8" s="8">
        <v>1500</v>
      </c>
      <c r="W8" s="1" t="s">
        <v>111</v>
      </c>
      <c r="X8" s="1"/>
      <c r="Y8" s="1" t="s">
        <v>112</v>
      </c>
      <c r="Z8" s="1" t="s">
        <v>76</v>
      </c>
      <c r="AA8" s="1" t="s">
        <v>113</v>
      </c>
      <c r="AB8" s="1" t="s">
        <v>66</v>
      </c>
      <c r="AC8" s="1" t="s">
        <v>68</v>
      </c>
      <c r="AD8" s="1" t="str">
        <f>IFERROR(VLOOKUP(B8,'Regiões Administrativas'!$A$1:$B$646,2,0),"")</f>
        <v>São José do Rio Preto</v>
      </c>
      <c r="AE8" s="1">
        <f>IFERROR(VLOOKUP(Form_Responses[[#This Row],[Município]],'Regiões Administrativas'!$A$1:$I$646,3,0),"")</f>
        <v>17107</v>
      </c>
      <c r="AF8" s="1">
        <f>IFERROR(VLOOKUP(Form_Responses[[#This Row],[Município]],'Regiões Administrativas'!$A$1:$I$646,4,0),"")</f>
        <v>354765005000001</v>
      </c>
      <c r="AG8" s="1">
        <f>IFERROR(VLOOKUP(Form_Responses[[#This Row],[Município]],'Regiões Administrativas'!$A$1:$I$646,4,0),"")</f>
        <v>354765005000001</v>
      </c>
      <c r="AH8" s="1">
        <f>IFERROR(VLOOKUP(B8,'Regiões Administrativas'!$A$1:$I$646,5,0),"")</f>
        <v>3547650</v>
      </c>
      <c r="AI8" s="1">
        <f>IFERROR(VLOOKUP(B8,'Regiões Administrativas'!$A$1:$I$646,6,0),"")</f>
        <v>-50.6884619</v>
      </c>
      <c r="AJ8" s="1">
        <f>IFERROR(VLOOKUP(B8,'Regiões Administrativas'!$A$1:$I$646,8,0),"")</f>
        <v>443.15183100000002</v>
      </c>
      <c r="AK8" s="1" t="str">
        <f>IFERROR(VLOOKUP(Form_Responses[[#This Row],[Município]],'Regiões Administrativas'!$A$1:$I$646,9,0),"")</f>
        <v>1J6R@Sgi2B&lt;f</v>
      </c>
    </row>
    <row r="9" spans="1:37" ht="22.5" customHeight="1">
      <c r="A9" s="5">
        <v>46002.620794212962</v>
      </c>
      <c r="B9" s="1" t="s">
        <v>114</v>
      </c>
      <c r="C9" s="1" t="s">
        <v>115</v>
      </c>
      <c r="D9" s="1" t="s">
        <v>116</v>
      </c>
      <c r="E9" s="10" t="s">
        <v>117</v>
      </c>
      <c r="F9" s="10" t="s">
        <v>118</v>
      </c>
      <c r="G9" s="10" t="s">
        <v>119</v>
      </c>
      <c r="H9" s="10" t="s">
        <v>120</v>
      </c>
      <c r="I9" s="10" t="s">
        <v>89</v>
      </c>
      <c r="J9" s="7">
        <v>46066</v>
      </c>
      <c r="K9" s="7">
        <v>46068</v>
      </c>
      <c r="L9" s="11">
        <v>0.83333333333575865</v>
      </c>
      <c r="M9" s="11">
        <v>8.3333333335758653E-2</v>
      </c>
      <c r="N9" s="1" t="s">
        <v>44</v>
      </c>
      <c r="O9" s="1" t="s">
        <v>45</v>
      </c>
      <c r="P9" s="1" t="s">
        <v>90</v>
      </c>
      <c r="Q9" s="1" t="s">
        <v>47</v>
      </c>
      <c r="R9" s="1" t="s">
        <v>74</v>
      </c>
      <c r="S9" s="8">
        <v>10000</v>
      </c>
      <c r="T9" s="8">
        <v>9000</v>
      </c>
      <c r="U9" s="8">
        <v>8000</v>
      </c>
      <c r="V9" s="8">
        <v>6500</v>
      </c>
      <c r="W9" s="1" t="s">
        <v>121</v>
      </c>
      <c r="X9" s="1" t="s">
        <v>122</v>
      </c>
      <c r="Y9" s="1" t="s">
        <v>123</v>
      </c>
      <c r="Z9" s="1" t="s">
        <v>76</v>
      </c>
      <c r="AA9" s="1" t="s">
        <v>113</v>
      </c>
      <c r="AB9" s="1" t="s">
        <v>66</v>
      </c>
      <c r="AC9" s="1" t="s">
        <v>68</v>
      </c>
      <c r="AD9" s="1" t="str">
        <f>IFERROR(VLOOKUP(B9,'Regiões Administrativas'!$A$1:$B$646,2,0),"")</f>
        <v>Itapeva</v>
      </c>
      <c r="AE9" s="1">
        <f>IFERROR(VLOOKUP(Form_Responses[[#This Row],[Município]],'Regiões Administrativas'!$A$1:$I$646,3,0),"")</f>
        <v>16121</v>
      </c>
      <c r="AF9" s="1">
        <f>IFERROR(VLOOKUP(Form_Responses[[#This Row],[Município]],'Regiões Administrativas'!$A$1:$I$646,4,0),"")</f>
        <v>352280205000001</v>
      </c>
      <c r="AG9" s="1">
        <f>IFERROR(VLOOKUP(Form_Responses[[#This Row],[Município]],'Regiões Administrativas'!$A$1:$I$646,4,0),"")</f>
        <v>352280205000001</v>
      </c>
      <c r="AH9" s="1">
        <f>IFERROR(VLOOKUP(B9,'Regiões Administrativas'!$A$1:$I$646,5,0),"")</f>
        <v>3522802</v>
      </c>
      <c r="AI9" s="1">
        <f>IFERROR(VLOOKUP(B9,'Regiões Administrativas'!$A$1:$I$646,6,0),"")</f>
        <v>-49.4843963</v>
      </c>
      <c r="AJ9" s="1">
        <f>IFERROR(VLOOKUP(B9,'Regiões Administrativas'!$A$1:$I$646,8,0),"")</f>
        <v>545.30364799999995</v>
      </c>
      <c r="AK9" s="1" t="str">
        <f>IFERROR(VLOOKUP(Form_Responses[[#This Row],[Município]],'Regiões Administrativas'!$A$1:$I$646,9,0),"")</f>
        <v>1J6RXcH1e3dp</v>
      </c>
    </row>
    <row r="10" spans="1:37" ht="22.5" customHeight="1">
      <c r="A10" s="5">
        <v>46002.627708344909</v>
      </c>
      <c r="B10" s="1" t="s">
        <v>114</v>
      </c>
      <c r="C10" s="1" t="s">
        <v>115</v>
      </c>
      <c r="D10" s="1" t="s">
        <v>124</v>
      </c>
      <c r="E10" s="10" t="s">
        <v>125</v>
      </c>
      <c r="F10" s="10" t="s">
        <v>126</v>
      </c>
      <c r="G10" s="10" t="s">
        <v>127</v>
      </c>
      <c r="H10" s="10" t="s">
        <v>118</v>
      </c>
      <c r="I10" s="10" t="s">
        <v>128</v>
      </c>
      <c r="J10" s="7">
        <v>46139</v>
      </c>
      <c r="K10" s="7">
        <v>46143</v>
      </c>
      <c r="L10" s="11">
        <v>0.33333333333575865</v>
      </c>
      <c r="M10" s="11">
        <v>0.75</v>
      </c>
      <c r="N10" s="1" t="s">
        <v>44</v>
      </c>
      <c r="O10" s="1" t="s">
        <v>45</v>
      </c>
      <c r="P10" s="1" t="s">
        <v>63</v>
      </c>
      <c r="Q10" s="1" t="s">
        <v>47</v>
      </c>
      <c r="R10" s="1" t="s">
        <v>48</v>
      </c>
      <c r="S10" s="8">
        <v>6000</v>
      </c>
      <c r="T10" s="8">
        <v>5500</v>
      </c>
      <c r="U10" s="8">
        <v>4800</v>
      </c>
      <c r="V10" s="8">
        <v>4000</v>
      </c>
      <c r="W10" s="1" t="s">
        <v>129</v>
      </c>
      <c r="X10" s="1" t="s">
        <v>130</v>
      </c>
      <c r="Y10" s="1" t="s">
        <v>131</v>
      </c>
      <c r="Z10" s="1" t="s">
        <v>76</v>
      </c>
      <c r="AA10" s="1" t="s">
        <v>66</v>
      </c>
      <c r="AB10" s="1" t="s">
        <v>66</v>
      </c>
      <c r="AC10" s="1" t="s">
        <v>68</v>
      </c>
      <c r="AD10" s="1" t="str">
        <f>IFERROR(VLOOKUP(B10,'Regiões Administrativas'!$A$1:$B$646,2,0),"")</f>
        <v>Itapeva</v>
      </c>
      <c r="AE10" s="1">
        <f>IFERROR(VLOOKUP(Form_Responses[[#This Row],[Município]],'Regiões Administrativas'!$A$1:$I$646,3,0),"")</f>
        <v>16121</v>
      </c>
      <c r="AF10" s="1">
        <f>IFERROR(VLOOKUP(Form_Responses[[#This Row],[Município]],'Regiões Administrativas'!$A$1:$I$646,4,0),"")</f>
        <v>352280205000001</v>
      </c>
      <c r="AG10" s="1">
        <f>IFERROR(VLOOKUP(Form_Responses[[#This Row],[Município]],'Regiões Administrativas'!$A$1:$I$646,4,0),"")</f>
        <v>352280205000001</v>
      </c>
      <c r="AH10" s="1">
        <f>IFERROR(VLOOKUP(B10,'Regiões Administrativas'!$A$1:$I$646,5,0),"")</f>
        <v>3522802</v>
      </c>
      <c r="AI10" s="1">
        <f>IFERROR(VLOOKUP(B10,'Regiões Administrativas'!$A$1:$I$646,6,0),"")</f>
        <v>-49.4843963</v>
      </c>
      <c r="AJ10" s="1">
        <f>IFERROR(VLOOKUP(B10,'Regiões Administrativas'!$A$1:$I$646,8,0),"")</f>
        <v>545.30364799999995</v>
      </c>
      <c r="AK10" s="1" t="str">
        <f>IFERROR(VLOOKUP(Form_Responses[[#This Row],[Município]],'Regiões Administrativas'!$A$1:$I$646,9,0),"")</f>
        <v>1J6RXcH1e3dp</v>
      </c>
    </row>
    <row r="11" spans="1:37" ht="22.5" customHeight="1">
      <c r="A11" s="5">
        <v>46002.639837013892</v>
      </c>
      <c r="B11" s="1" t="s">
        <v>102</v>
      </c>
      <c r="C11" s="1" t="s">
        <v>103</v>
      </c>
      <c r="D11" s="1" t="s">
        <v>132</v>
      </c>
      <c r="E11" s="10" t="s">
        <v>133</v>
      </c>
      <c r="G11" s="10" t="s">
        <v>134</v>
      </c>
      <c r="I11" s="10" t="s">
        <v>60</v>
      </c>
      <c r="J11" s="7">
        <v>46201</v>
      </c>
      <c r="K11" s="7">
        <v>46202</v>
      </c>
      <c r="L11" s="11">
        <v>0.79166666666424135</v>
      </c>
      <c r="M11" s="11">
        <v>8.3333333335758653E-2</v>
      </c>
      <c r="N11" s="1" t="s">
        <v>44</v>
      </c>
      <c r="O11" s="1" t="s">
        <v>45</v>
      </c>
      <c r="P11" s="1" t="s">
        <v>135</v>
      </c>
      <c r="Q11" s="1" t="s">
        <v>47</v>
      </c>
      <c r="R11" s="1" t="s">
        <v>74</v>
      </c>
      <c r="S11" s="8">
        <v>3000</v>
      </c>
      <c r="T11" s="8">
        <v>2000</v>
      </c>
      <c r="U11" s="8">
        <v>1500</v>
      </c>
      <c r="V11" s="8">
        <v>1500</v>
      </c>
      <c r="W11" s="1" t="s">
        <v>136</v>
      </c>
      <c r="X11" s="1"/>
      <c r="Y11" s="1" t="s">
        <v>112</v>
      </c>
      <c r="Z11" s="1" t="s">
        <v>76</v>
      </c>
      <c r="AA11" s="1" t="s">
        <v>113</v>
      </c>
      <c r="AB11" s="1" t="s">
        <v>66</v>
      </c>
      <c r="AC11" s="1" t="s">
        <v>68</v>
      </c>
      <c r="AD11" s="1" t="str">
        <f>IFERROR(VLOOKUP(B11,'Regiões Administrativas'!$A$1:$B$646,2,0),"")</f>
        <v>São José do Rio Preto</v>
      </c>
      <c r="AE11" s="1">
        <f>IFERROR(VLOOKUP(Form_Responses[[#This Row],[Município]],'Regiões Administrativas'!$A$1:$I$646,3,0),"")</f>
        <v>17107</v>
      </c>
      <c r="AF11" s="1">
        <f>IFERROR(VLOOKUP(Form_Responses[[#This Row],[Município]],'Regiões Administrativas'!$A$1:$I$646,4,0),"")</f>
        <v>354765005000001</v>
      </c>
      <c r="AG11" s="1">
        <f>IFERROR(VLOOKUP(Form_Responses[[#This Row],[Município]],'Regiões Administrativas'!$A$1:$I$646,4,0),"")</f>
        <v>354765005000001</v>
      </c>
      <c r="AH11" s="1">
        <f>IFERROR(VLOOKUP(B11,'Regiões Administrativas'!$A$1:$I$646,5,0),"")</f>
        <v>3547650</v>
      </c>
      <c r="AI11" s="1">
        <f>IFERROR(VLOOKUP(B11,'Regiões Administrativas'!$A$1:$I$646,6,0),"")</f>
        <v>-50.6884619</v>
      </c>
      <c r="AJ11" s="1">
        <f>IFERROR(VLOOKUP(B11,'Regiões Administrativas'!$A$1:$I$646,8,0),"")</f>
        <v>443.15183100000002</v>
      </c>
      <c r="AK11" s="1" t="str">
        <f>IFERROR(VLOOKUP(Form_Responses[[#This Row],[Município]],'Regiões Administrativas'!$A$1:$I$646,9,0),"")</f>
        <v>1J6R@Sgi2B&lt;f</v>
      </c>
    </row>
    <row r="12" spans="1:37" ht="22.5" customHeight="1">
      <c r="A12" s="5">
        <v>46002.656835833332</v>
      </c>
      <c r="B12" s="1" t="s">
        <v>137</v>
      </c>
      <c r="C12" s="1" t="s">
        <v>138</v>
      </c>
      <c r="D12" s="1" t="s">
        <v>139</v>
      </c>
      <c r="E12" s="10" t="s">
        <v>140</v>
      </c>
      <c r="G12" s="10" t="s">
        <v>141</v>
      </c>
      <c r="I12" s="10" t="s">
        <v>89</v>
      </c>
      <c r="J12" s="7">
        <v>46059</v>
      </c>
      <c r="K12" s="7">
        <v>46060</v>
      </c>
      <c r="L12" s="11">
        <v>0.83333333333575865</v>
      </c>
      <c r="M12" s="11">
        <v>0.125</v>
      </c>
      <c r="N12" s="1" t="s">
        <v>44</v>
      </c>
      <c r="O12" s="1" t="s">
        <v>142</v>
      </c>
      <c r="P12" s="1" t="s">
        <v>90</v>
      </c>
      <c r="Q12" s="1" t="s">
        <v>47</v>
      </c>
      <c r="R12" s="1" t="s">
        <v>74</v>
      </c>
      <c r="S12" s="8">
        <v>5000</v>
      </c>
      <c r="T12" s="8"/>
      <c r="U12" s="8">
        <v>4500</v>
      </c>
      <c r="V12" s="8">
        <v>6000</v>
      </c>
      <c r="W12" s="1" t="s">
        <v>143</v>
      </c>
      <c r="X12" s="1"/>
      <c r="Y12" s="1" t="s">
        <v>144</v>
      </c>
      <c r="Z12" s="1" t="s">
        <v>66</v>
      </c>
      <c r="AA12" s="1" t="s">
        <v>66</v>
      </c>
      <c r="AB12" s="1" t="s">
        <v>66</v>
      </c>
      <c r="AC12" s="1" t="s">
        <v>68</v>
      </c>
      <c r="AD12" s="1" t="str">
        <f>IFERROR(VLOOKUP(B12,'Regiões Administrativas'!$A$1:$B$646,2,0),"")</f>
        <v>São José dos Campos</v>
      </c>
      <c r="AE12" s="1">
        <f>IFERROR(VLOOKUP(Form_Responses[[#This Row],[Município]],'Regiões Administrativas'!$A$1:$I$646,3,0),"")</f>
        <v>15465</v>
      </c>
      <c r="AF12" s="1">
        <f>IFERROR(VLOOKUP(Form_Responses[[#This Row],[Município]],'Regiões Administrativas'!$A$1:$I$646,4,0),"")</f>
        <v>350350505000001</v>
      </c>
      <c r="AG12" s="1">
        <f>IFERROR(VLOOKUP(Form_Responses[[#This Row],[Município]],'Regiões Administrativas'!$A$1:$I$646,4,0),"")</f>
        <v>350350505000001</v>
      </c>
      <c r="AH12" s="1">
        <f>IFERROR(VLOOKUP(B12,'Regiões Administrativas'!$A$1:$I$646,5,0),"")</f>
        <v>3503505</v>
      </c>
      <c r="AI12" s="1">
        <f>IFERROR(VLOOKUP(B12,'Regiões Administrativas'!$A$1:$I$646,6,0),"")</f>
        <v>-44.699432000000002</v>
      </c>
      <c r="AJ12" s="1">
        <f>IFERROR(VLOOKUP(B12,'Regiões Administrativas'!$A$1:$I$646,8,0),"")</f>
        <v>534.09202100000005</v>
      </c>
      <c r="AK12" s="1" t="str">
        <f>IFERROR(VLOOKUP(Form_Responses[[#This Row],[Município]],'Regiões Administrativas'!$A$1:$I$646,9,0),"")</f>
        <v>1J6tSQUiW^Gf</v>
      </c>
    </row>
    <row r="13" spans="1:37" ht="22.5" customHeight="1">
      <c r="A13" s="5">
        <v>46002.664388495366</v>
      </c>
      <c r="B13" s="1" t="s">
        <v>137</v>
      </c>
      <c r="C13" s="1" t="s">
        <v>138</v>
      </c>
      <c r="D13" s="1" t="s">
        <v>145</v>
      </c>
      <c r="E13" s="10" t="s">
        <v>146</v>
      </c>
      <c r="G13" s="10" t="s">
        <v>147</v>
      </c>
      <c r="I13" s="10" t="s">
        <v>89</v>
      </c>
      <c r="J13" s="7">
        <v>46067</v>
      </c>
      <c r="K13" s="7">
        <v>46071</v>
      </c>
      <c r="L13" s="11">
        <v>0.83333333333575865</v>
      </c>
      <c r="M13" s="11">
        <v>0.125</v>
      </c>
      <c r="N13" s="1" t="s">
        <v>44</v>
      </c>
      <c r="O13" s="1" t="s">
        <v>45</v>
      </c>
      <c r="P13" s="1" t="s">
        <v>90</v>
      </c>
      <c r="Q13" s="1" t="s">
        <v>47</v>
      </c>
      <c r="R13" s="1" t="s">
        <v>74</v>
      </c>
      <c r="S13" s="8">
        <v>3000</v>
      </c>
      <c r="T13" s="8">
        <v>3000</v>
      </c>
      <c r="U13" s="8">
        <v>4000</v>
      </c>
      <c r="V13" s="8">
        <v>4000</v>
      </c>
      <c r="W13" s="1" t="s">
        <v>143</v>
      </c>
      <c r="X13" s="1"/>
      <c r="Y13" s="1" t="s">
        <v>144</v>
      </c>
      <c r="Z13" s="1" t="s">
        <v>66</v>
      </c>
      <c r="AA13" s="1" t="s">
        <v>66</v>
      </c>
      <c r="AB13" s="1" t="s">
        <v>66</v>
      </c>
      <c r="AC13" s="1" t="s">
        <v>68</v>
      </c>
      <c r="AD13" s="1" t="str">
        <f>IFERROR(VLOOKUP(B13,'Regiões Administrativas'!$A$1:$B$646,2,0),"")</f>
        <v>São José dos Campos</v>
      </c>
      <c r="AE13" s="1">
        <f>IFERROR(VLOOKUP(Form_Responses[[#This Row],[Município]],'Regiões Administrativas'!$A$1:$I$646,3,0),"")</f>
        <v>15465</v>
      </c>
      <c r="AF13" s="1">
        <f>IFERROR(VLOOKUP(Form_Responses[[#This Row],[Município]],'Regiões Administrativas'!$A$1:$I$646,4,0),"")</f>
        <v>350350505000001</v>
      </c>
      <c r="AG13" s="1">
        <f>IFERROR(VLOOKUP(Form_Responses[[#This Row],[Município]],'Regiões Administrativas'!$A$1:$I$646,4,0),"")</f>
        <v>350350505000001</v>
      </c>
      <c r="AH13" s="1">
        <f>IFERROR(VLOOKUP(B13,'Regiões Administrativas'!$A$1:$I$646,5,0),"")</f>
        <v>3503505</v>
      </c>
      <c r="AI13" s="1">
        <f>IFERROR(VLOOKUP(B13,'Regiões Administrativas'!$A$1:$I$646,6,0),"")</f>
        <v>-44.699432000000002</v>
      </c>
      <c r="AJ13" s="1">
        <f>IFERROR(VLOOKUP(B13,'Regiões Administrativas'!$A$1:$I$646,8,0),"")</f>
        <v>534.09202100000005</v>
      </c>
      <c r="AK13" s="1" t="str">
        <f>IFERROR(VLOOKUP(Form_Responses[[#This Row],[Município]],'Regiões Administrativas'!$A$1:$I$646,9,0),"")</f>
        <v>1J6tSQUiW^Gf</v>
      </c>
    </row>
    <row r="14" spans="1:37" ht="22.5" customHeight="1">
      <c r="A14" s="5">
        <v>46002.665112523144</v>
      </c>
      <c r="B14" s="1" t="s">
        <v>148</v>
      </c>
      <c r="C14" s="1" t="s">
        <v>149</v>
      </c>
      <c r="D14" s="1" t="s">
        <v>150</v>
      </c>
      <c r="E14" s="10" t="s">
        <v>151</v>
      </c>
      <c r="G14" s="10" t="s">
        <v>152</v>
      </c>
      <c r="H14" s="72" t="s">
        <v>153</v>
      </c>
      <c r="I14" s="10" t="s">
        <v>89</v>
      </c>
      <c r="J14" s="7">
        <v>45701</v>
      </c>
      <c r="K14" s="7">
        <v>45705</v>
      </c>
      <c r="L14" s="11">
        <v>0.58333333333575865</v>
      </c>
      <c r="M14" s="11">
        <v>0</v>
      </c>
      <c r="N14" s="1" t="s">
        <v>44</v>
      </c>
      <c r="O14" s="1" t="s">
        <v>45</v>
      </c>
      <c r="P14" s="1" t="s">
        <v>90</v>
      </c>
      <c r="Q14" s="1" t="s">
        <v>47</v>
      </c>
      <c r="R14" s="1" t="s">
        <v>74</v>
      </c>
      <c r="S14" s="8">
        <v>24000</v>
      </c>
      <c r="T14" s="8">
        <v>24000</v>
      </c>
      <c r="U14" s="8">
        <v>22000</v>
      </c>
      <c r="V14" s="8">
        <v>20000</v>
      </c>
      <c r="W14" s="1" t="s">
        <v>154</v>
      </c>
      <c r="X14" s="1"/>
      <c r="Y14" s="1" t="s">
        <v>155</v>
      </c>
      <c r="Z14" s="1" t="s">
        <v>76</v>
      </c>
      <c r="AA14" s="1" t="s">
        <v>156</v>
      </c>
      <c r="AB14" s="1" t="s">
        <v>66</v>
      </c>
      <c r="AC14" s="1" t="s">
        <v>68</v>
      </c>
      <c r="AD14" s="1" t="str">
        <f>IFERROR(VLOOKUP(B14,'Regiões Administrativas'!$A$1:$B$646,2,0),"")</f>
        <v>Campinas</v>
      </c>
      <c r="AE14" s="1">
        <f>IFERROR(VLOOKUP(Form_Responses[[#This Row],[Município]],'Regiões Administrativas'!$A$1:$I$646,3,0),"")</f>
        <v>15658</v>
      </c>
      <c r="AF14" s="1">
        <f>IFERROR(VLOOKUP(Form_Responses[[#This Row],[Município]],'Regiões Administrativas'!$A$1:$I$646,4,0),"")</f>
        <v>350840505000001</v>
      </c>
      <c r="AG14" s="1">
        <f>IFERROR(VLOOKUP(Form_Responses[[#This Row],[Município]],'Regiões Administrativas'!$A$1:$I$646,4,0),"")</f>
        <v>350840505000001</v>
      </c>
      <c r="AH14" s="1">
        <f>IFERROR(VLOOKUP(B14,'Regiões Administrativas'!$A$1:$I$646,5,0),"")</f>
        <v>3508405</v>
      </c>
      <c r="AI14" s="1">
        <f>IFERROR(VLOOKUP(B14,'Regiões Administrativas'!$A$1:$I$646,6,0),"")</f>
        <v>-47.133658400000002</v>
      </c>
      <c r="AJ14" s="1">
        <f>IFERROR(VLOOKUP(B14,'Regiões Administrativas'!$A$1:$I$646,8,0),"")</f>
        <v>656.60309900000004</v>
      </c>
      <c r="AK14" s="1" t="str">
        <f>IFERROR(VLOOKUP(Form_Responses[[#This Row],[Município]],'Regiões Administrativas'!$A$1:$I$646,9,0),"")</f>
        <v>1J6tLv=^]h4&gt;</v>
      </c>
    </row>
    <row r="15" spans="1:37" ht="22.5" customHeight="1">
      <c r="A15" s="5">
        <v>46002.667387673609</v>
      </c>
      <c r="B15" s="1" t="s">
        <v>148</v>
      </c>
      <c r="C15" s="1" t="s">
        <v>149</v>
      </c>
      <c r="D15" s="1" t="s">
        <v>157</v>
      </c>
      <c r="E15" s="10" t="s">
        <v>158</v>
      </c>
      <c r="G15" s="10" t="s">
        <v>152</v>
      </c>
      <c r="H15" s="72" t="s">
        <v>153</v>
      </c>
      <c r="I15" s="10" t="s">
        <v>72</v>
      </c>
      <c r="J15" s="7">
        <v>46214</v>
      </c>
      <c r="K15" s="7">
        <v>46215</v>
      </c>
      <c r="L15" s="11">
        <v>0.45833333333575865</v>
      </c>
      <c r="M15" s="11">
        <v>0</v>
      </c>
      <c r="N15" s="1" t="s">
        <v>73</v>
      </c>
      <c r="O15" s="1" t="s">
        <v>45</v>
      </c>
      <c r="P15" s="1" t="s">
        <v>63</v>
      </c>
      <c r="Q15" s="1" t="s">
        <v>47</v>
      </c>
      <c r="R15" s="1" t="s">
        <v>48</v>
      </c>
      <c r="S15" s="8">
        <v>30000</v>
      </c>
      <c r="T15" s="8">
        <v>28000</v>
      </c>
      <c r="U15" s="8">
        <v>30000</v>
      </c>
      <c r="V15" s="8">
        <v>26000</v>
      </c>
      <c r="W15" s="1" t="s">
        <v>154</v>
      </c>
      <c r="X15" s="1"/>
      <c r="Y15" s="1" t="s">
        <v>155</v>
      </c>
      <c r="Z15" s="1" t="s">
        <v>159</v>
      </c>
      <c r="AA15" s="1" t="s">
        <v>156</v>
      </c>
      <c r="AB15" s="1" t="s">
        <v>66</v>
      </c>
      <c r="AC15" s="1" t="s">
        <v>68</v>
      </c>
      <c r="AD15" s="1" t="str">
        <f>IFERROR(VLOOKUP(B15,'Regiões Administrativas'!$A$1:$B$646,2,0),"")</f>
        <v>Campinas</v>
      </c>
      <c r="AE15" s="1">
        <f>IFERROR(VLOOKUP(Form_Responses[[#This Row],[Município]],'Regiões Administrativas'!$A$1:$I$646,3,0),"")</f>
        <v>15658</v>
      </c>
      <c r="AF15" s="1">
        <f>IFERROR(VLOOKUP(Form_Responses[[#This Row],[Município]],'Regiões Administrativas'!$A$1:$I$646,4,0),"")</f>
        <v>350840505000001</v>
      </c>
      <c r="AG15" s="1">
        <f>IFERROR(VLOOKUP(Form_Responses[[#This Row],[Município]],'Regiões Administrativas'!$A$1:$I$646,4,0),"")</f>
        <v>350840505000001</v>
      </c>
      <c r="AH15" s="1">
        <f>IFERROR(VLOOKUP(B15,'Regiões Administrativas'!$A$1:$I$646,5,0),"")</f>
        <v>3508405</v>
      </c>
      <c r="AI15" s="1">
        <f>IFERROR(VLOOKUP(B15,'Regiões Administrativas'!$A$1:$I$646,6,0),"")</f>
        <v>-47.133658400000002</v>
      </c>
      <c r="AJ15" s="1">
        <f>IFERROR(VLOOKUP(B15,'Regiões Administrativas'!$A$1:$I$646,8,0),"")</f>
        <v>656.60309900000004</v>
      </c>
      <c r="AK15" s="1" t="str">
        <f>IFERROR(VLOOKUP(Form_Responses[[#This Row],[Município]],'Regiões Administrativas'!$A$1:$I$646,9,0),"")</f>
        <v>1J6tLv=^]h4&gt;</v>
      </c>
    </row>
    <row r="16" spans="1:37" ht="22.5" customHeight="1">
      <c r="A16" s="5">
        <v>46002.669377280094</v>
      </c>
      <c r="B16" s="1" t="s">
        <v>137</v>
      </c>
      <c r="C16" s="1" t="s">
        <v>138</v>
      </c>
      <c r="D16" s="1" t="s">
        <v>160</v>
      </c>
      <c r="E16" s="10" t="s">
        <v>161</v>
      </c>
      <c r="G16" s="10" t="s">
        <v>147</v>
      </c>
      <c r="I16" s="10" t="s">
        <v>162</v>
      </c>
      <c r="J16" s="7">
        <v>46369</v>
      </c>
      <c r="K16" s="7">
        <v>46369</v>
      </c>
      <c r="L16" s="11">
        <v>0.45833333333575865</v>
      </c>
      <c r="M16" s="11">
        <v>0.83333333333575865</v>
      </c>
      <c r="N16" s="1" t="s">
        <v>73</v>
      </c>
      <c r="O16" s="1" t="s">
        <v>45</v>
      </c>
      <c r="P16" s="1" t="s">
        <v>63</v>
      </c>
      <c r="Q16" s="1" t="s">
        <v>47</v>
      </c>
      <c r="R16" s="1" t="s">
        <v>74</v>
      </c>
      <c r="S16" s="8">
        <v>2000</v>
      </c>
      <c r="T16" s="8">
        <v>2000</v>
      </c>
      <c r="U16" s="12" t="s">
        <v>163</v>
      </c>
      <c r="V16" s="8">
        <v>2000</v>
      </c>
      <c r="W16" s="1" t="s">
        <v>143</v>
      </c>
      <c r="X16" s="1" t="s">
        <v>164</v>
      </c>
      <c r="Y16" s="1" t="s">
        <v>144</v>
      </c>
      <c r="Z16" s="1" t="s">
        <v>66</v>
      </c>
      <c r="AA16" s="1" t="s">
        <v>66</v>
      </c>
      <c r="AB16" s="1" t="s">
        <v>66</v>
      </c>
      <c r="AC16" s="1" t="s">
        <v>68</v>
      </c>
      <c r="AD16" s="1" t="str">
        <f>IFERROR(VLOOKUP(B16,'Regiões Administrativas'!$A$1:$B$646,2,0),"")</f>
        <v>São José dos Campos</v>
      </c>
      <c r="AE16" s="1">
        <f>IFERROR(VLOOKUP(Form_Responses[[#This Row],[Município]],'Regiões Administrativas'!$A$1:$I$646,3,0),"")</f>
        <v>15465</v>
      </c>
      <c r="AF16" s="1">
        <f>IFERROR(VLOOKUP(Form_Responses[[#This Row],[Município]],'Regiões Administrativas'!$A$1:$I$646,4,0),"")</f>
        <v>350350505000001</v>
      </c>
      <c r="AG16" s="1">
        <f>IFERROR(VLOOKUP(Form_Responses[[#This Row],[Município]],'Regiões Administrativas'!$A$1:$I$646,4,0),"")</f>
        <v>350350505000001</v>
      </c>
      <c r="AH16" s="1">
        <f>IFERROR(VLOOKUP(B16,'Regiões Administrativas'!$A$1:$I$646,5,0),"")</f>
        <v>3503505</v>
      </c>
      <c r="AI16" s="1">
        <f>IFERROR(VLOOKUP(B16,'Regiões Administrativas'!$A$1:$I$646,6,0),"")</f>
        <v>-44.699432000000002</v>
      </c>
      <c r="AJ16" s="1">
        <f>IFERROR(VLOOKUP(B16,'Regiões Administrativas'!$A$1:$I$646,8,0),"")</f>
        <v>534.09202100000005</v>
      </c>
      <c r="AK16" s="1" t="str">
        <f>IFERROR(VLOOKUP(Form_Responses[[#This Row],[Município]],'Regiões Administrativas'!$A$1:$I$646,9,0),"")</f>
        <v>1J6tSQUiW^Gf</v>
      </c>
    </row>
    <row r="17" spans="1:37" ht="22.5" customHeight="1">
      <c r="A17" s="5">
        <v>46002.673990138894</v>
      </c>
      <c r="B17" s="1" t="s">
        <v>165</v>
      </c>
      <c r="C17" s="1" t="s">
        <v>166</v>
      </c>
      <c r="D17" s="1" t="s">
        <v>167</v>
      </c>
      <c r="E17" s="10" t="s">
        <v>168</v>
      </c>
      <c r="F17" s="10" t="s">
        <v>169</v>
      </c>
      <c r="G17" s="10" t="s">
        <v>170</v>
      </c>
      <c r="H17" s="72" t="s">
        <v>171</v>
      </c>
      <c r="I17" s="10" t="s">
        <v>109</v>
      </c>
      <c r="J17" s="7">
        <v>46103</v>
      </c>
      <c r="K17" s="7">
        <v>46104</v>
      </c>
      <c r="L17" s="11">
        <v>0.33333333333575865</v>
      </c>
      <c r="M17" s="1"/>
      <c r="N17" s="1" t="s">
        <v>61</v>
      </c>
      <c r="O17" s="1" t="s">
        <v>62</v>
      </c>
      <c r="P17" s="1" t="s">
        <v>63</v>
      </c>
      <c r="Q17" s="1" t="s">
        <v>47</v>
      </c>
      <c r="R17" s="1" t="s">
        <v>48</v>
      </c>
      <c r="S17" s="8">
        <v>6000</v>
      </c>
      <c r="T17" s="8">
        <v>5500</v>
      </c>
      <c r="U17" s="8">
        <v>4600</v>
      </c>
      <c r="V17" s="8">
        <v>6000</v>
      </c>
      <c r="W17" s="1" t="s">
        <v>172</v>
      </c>
      <c r="X17" s="6" t="s">
        <v>171</v>
      </c>
      <c r="Y17" s="1" t="s">
        <v>173</v>
      </c>
      <c r="Z17" s="1" t="s">
        <v>66</v>
      </c>
      <c r="AA17" s="1" t="s">
        <v>66</v>
      </c>
      <c r="AB17" s="1" t="s">
        <v>66</v>
      </c>
      <c r="AC17" s="1" t="s">
        <v>55</v>
      </c>
      <c r="AD17" s="1" t="str">
        <f>IFERROR(VLOOKUP(B17,'Regiões Administrativas'!$A$1:$B$646,2,0),"")</f>
        <v>São José dos Campos</v>
      </c>
      <c r="AE17" s="1">
        <f>IFERROR(VLOOKUP(Form_Responses[[#This Row],[Município]],'Regiões Administrativas'!$A$1:$I$646,3,0),"")</f>
        <v>16025</v>
      </c>
      <c r="AF17" s="1">
        <f>IFERROR(VLOOKUP(Form_Responses[[#This Row],[Município]],'Regiões Administrativas'!$A$1:$I$646,4,0),"")</f>
        <v>352020205000001</v>
      </c>
      <c r="AG17" s="1">
        <f>IFERROR(VLOOKUP(Form_Responses[[#This Row],[Município]],'Regiões Administrativas'!$A$1:$I$646,4,0),"")</f>
        <v>352020205000001</v>
      </c>
      <c r="AH17" s="1">
        <f>IFERROR(VLOOKUP(B17,'Regiões Administrativas'!$A$1:$I$646,5,0),"")</f>
        <v>3520202</v>
      </c>
      <c r="AI17" s="1">
        <f>IFERROR(VLOOKUP(B17,'Regiões Administrativas'!$A$1:$I$646,6,0),"")</f>
        <v>-46.156314399999999</v>
      </c>
      <c r="AJ17" s="1">
        <f>IFERROR(VLOOKUP(B17,'Regiões Administrativas'!$A$1:$I$646,8,0),"")</f>
        <v>741.813129</v>
      </c>
      <c r="AK17" s="1" t="str">
        <f>IFERROR(VLOOKUP(Form_Responses[[#This Row],[Município]],'Regiões Administrativas'!$A$1:$I$646,9,0),"")</f>
        <v>1J6tOGPM^=vp</v>
      </c>
    </row>
    <row r="18" spans="1:37" ht="22.5" customHeight="1">
      <c r="A18" s="5">
        <v>46002.697892557873</v>
      </c>
      <c r="B18" s="1" t="s">
        <v>174</v>
      </c>
      <c r="C18" s="1" t="s">
        <v>175</v>
      </c>
      <c r="D18" s="1" t="s">
        <v>176</v>
      </c>
      <c r="E18" s="10" t="s">
        <v>177</v>
      </c>
      <c r="F18" s="10" t="s">
        <v>178</v>
      </c>
      <c r="G18" s="10" t="s">
        <v>179</v>
      </c>
      <c r="H18" s="10" t="s">
        <v>66</v>
      </c>
      <c r="I18" s="10" t="s">
        <v>162</v>
      </c>
      <c r="J18" s="7">
        <v>46019</v>
      </c>
      <c r="K18" s="7">
        <v>46022</v>
      </c>
      <c r="L18" s="1"/>
      <c r="M18" s="11">
        <v>0.20833333333575865</v>
      </c>
      <c r="N18" s="1" t="s">
        <v>44</v>
      </c>
      <c r="O18" s="1" t="s">
        <v>99</v>
      </c>
      <c r="P18" s="1" t="s">
        <v>180</v>
      </c>
      <c r="Q18" s="1" t="s">
        <v>47</v>
      </c>
      <c r="R18" s="1" t="s">
        <v>48</v>
      </c>
      <c r="S18" s="8">
        <v>2500</v>
      </c>
      <c r="T18" s="8">
        <v>2500</v>
      </c>
      <c r="U18" s="8">
        <v>1900</v>
      </c>
      <c r="V18" s="8">
        <v>1500</v>
      </c>
      <c r="W18" s="1" t="s">
        <v>181</v>
      </c>
      <c r="X18" s="1" t="s">
        <v>182</v>
      </c>
      <c r="Y18" s="1" t="s">
        <v>183</v>
      </c>
      <c r="Z18" s="1" t="s">
        <v>76</v>
      </c>
      <c r="AA18" s="1" t="s">
        <v>156</v>
      </c>
      <c r="AB18" s="1" t="s">
        <v>66</v>
      </c>
      <c r="AC18" s="1" t="s">
        <v>68</v>
      </c>
      <c r="AD18" s="1" t="str">
        <f>IFERROR(VLOOKUP(B18,'Regiões Administrativas'!$A$1:$B$646,2,0),"")</f>
        <v>Itapeva</v>
      </c>
      <c r="AE18" s="1">
        <f>IFERROR(VLOOKUP(Form_Responses[[#This Row],[Município]],'Regiões Administrativas'!$A$1:$I$646,3,0),"")</f>
        <v>16090</v>
      </c>
      <c r="AF18" s="1">
        <f>IFERROR(VLOOKUP(Form_Responses[[#This Row],[Município]],'Regiões Administrativas'!$A$1:$I$646,4,0),"")</f>
        <v>352215805000001</v>
      </c>
      <c r="AG18" s="1">
        <f>IFERROR(VLOOKUP(Form_Responses[[#This Row],[Município]],'Regiões Administrativas'!$A$1:$I$646,4,0),"")</f>
        <v>352215805000001</v>
      </c>
      <c r="AH18" s="1">
        <f>IFERROR(VLOOKUP(B18,'Regiões Administrativas'!$A$1:$I$646,5,0),"")</f>
        <v>3522158</v>
      </c>
      <c r="AI18" s="1">
        <f>IFERROR(VLOOKUP(B18,'Regiões Administrativas'!$A$1:$I$646,6,0),"")</f>
        <v>-48.842855700000001</v>
      </c>
      <c r="AJ18" s="1">
        <f>IFERROR(VLOOKUP(B18,'Regiões Administrativas'!$A$1:$I$646,8,0),"")</f>
        <v>170.37789699999999</v>
      </c>
      <c r="AK18" s="1" t="str">
        <f>IFERROR(VLOOKUP(Form_Responses[[#This Row],[Município]],'Regiões Administrativas'!$A$1:$I$646,9,0),"")</f>
        <v>1J6S8237rK;&gt;</v>
      </c>
    </row>
    <row r="19" spans="1:37" ht="22.5" customHeight="1">
      <c r="A19" s="5">
        <v>46002.701175011578</v>
      </c>
      <c r="B19" s="1" t="s">
        <v>184</v>
      </c>
      <c r="C19" s="1" t="s">
        <v>185</v>
      </c>
      <c r="D19" s="1" t="s">
        <v>186</v>
      </c>
      <c r="E19" s="10" t="s">
        <v>187</v>
      </c>
      <c r="F19" s="10" t="s">
        <v>188</v>
      </c>
      <c r="G19" s="10" t="s">
        <v>189</v>
      </c>
      <c r="I19" s="10" t="s">
        <v>60</v>
      </c>
      <c r="J19" s="7">
        <v>46193</v>
      </c>
      <c r="K19" s="7">
        <v>46194</v>
      </c>
      <c r="L19" s="11">
        <v>0.375</v>
      </c>
      <c r="M19" s="11">
        <v>0.875</v>
      </c>
      <c r="N19" s="1" t="s">
        <v>61</v>
      </c>
      <c r="O19" s="1" t="s">
        <v>190</v>
      </c>
      <c r="P19" s="1" t="s">
        <v>63</v>
      </c>
      <c r="Q19" s="1" t="s">
        <v>47</v>
      </c>
      <c r="R19" s="1" t="s">
        <v>48</v>
      </c>
      <c r="S19" s="8">
        <v>4000</v>
      </c>
      <c r="T19" s="8"/>
      <c r="U19" s="8"/>
      <c r="V19" s="8"/>
      <c r="W19" s="1" t="s">
        <v>191</v>
      </c>
      <c r="X19" s="1"/>
      <c r="Y19" s="1" t="s">
        <v>192</v>
      </c>
      <c r="Z19" s="1" t="s">
        <v>52</v>
      </c>
      <c r="AA19" s="1" t="s">
        <v>193</v>
      </c>
      <c r="AB19" s="1" t="s">
        <v>66</v>
      </c>
      <c r="AC19" s="1" t="s">
        <v>68</v>
      </c>
      <c r="AD19" s="1" t="str">
        <f>IFERROR(VLOOKUP(B19,'Regiões Administrativas'!$A$1:$B$646,2,0),"")</f>
        <v>Registro</v>
      </c>
      <c r="AE19" s="1">
        <f>IFERROR(VLOOKUP(Form_Responses[[#This Row],[Município]],'Regiões Administrativas'!$A$1:$I$646,3,0),"")</f>
        <v>16773</v>
      </c>
      <c r="AF19" s="1">
        <f>IFERROR(VLOOKUP(Form_Responses[[#This Row],[Município]],'Regiões Administrativas'!$A$1:$I$646,4,0),"")</f>
        <v>353720605000001</v>
      </c>
      <c r="AG19" s="1">
        <f>IFERROR(VLOOKUP(Form_Responses[[#This Row],[Município]],'Regiões Administrativas'!$A$1:$I$646,4,0),"")</f>
        <v>353720605000001</v>
      </c>
      <c r="AH19" s="1">
        <f>IFERROR(VLOOKUP(B19,'Regiões Administrativas'!$A$1:$I$646,5,0),"")</f>
        <v>3537206</v>
      </c>
      <c r="AI19" s="1">
        <f>IFERROR(VLOOKUP(B19,'Regiões Administrativas'!$A$1:$I$646,6,0),"")</f>
        <v>-47.229076300000003</v>
      </c>
      <c r="AJ19" s="1">
        <f>IFERROR(VLOOKUP(B19,'Regiões Administrativas'!$A$1:$I$646,8,0),"")</f>
        <v>62.710276</v>
      </c>
      <c r="AK19" s="1" t="str">
        <f>IFERROR(VLOOKUP(Form_Responses[[#This Row],[Município]],'Regiões Administrativas'!$A$1:$I$646,9,0),"")</f>
        <v>1J6U*=,UtcP&gt;</v>
      </c>
    </row>
    <row r="20" spans="1:37" ht="22.5" customHeight="1">
      <c r="A20" s="5">
        <v>46002.702131122685</v>
      </c>
      <c r="B20" s="1" t="s">
        <v>174</v>
      </c>
      <c r="C20" s="1" t="s">
        <v>175</v>
      </c>
      <c r="D20" s="1" t="s">
        <v>194</v>
      </c>
      <c r="E20" s="10" t="s">
        <v>195</v>
      </c>
      <c r="G20" s="10" t="s">
        <v>196</v>
      </c>
      <c r="I20" s="10" t="s">
        <v>197</v>
      </c>
      <c r="J20" s="7">
        <v>45979</v>
      </c>
      <c r="K20" s="7">
        <v>45983</v>
      </c>
      <c r="L20" s="1"/>
      <c r="M20" s="1"/>
      <c r="N20" s="1" t="s">
        <v>110</v>
      </c>
      <c r="O20" s="1" t="s">
        <v>99</v>
      </c>
      <c r="P20" s="1" t="s">
        <v>99</v>
      </c>
      <c r="Q20" s="1" t="s">
        <v>47</v>
      </c>
      <c r="R20" s="1" t="s">
        <v>48</v>
      </c>
      <c r="S20" s="8">
        <v>1500</v>
      </c>
      <c r="T20" s="8">
        <v>1500</v>
      </c>
      <c r="U20" s="8">
        <v>1000</v>
      </c>
      <c r="V20" s="8">
        <v>1000</v>
      </c>
      <c r="W20" s="1" t="s">
        <v>181</v>
      </c>
      <c r="X20" s="1"/>
      <c r="Y20" s="1" t="s">
        <v>183</v>
      </c>
      <c r="Z20" s="1" t="s">
        <v>76</v>
      </c>
      <c r="AA20" s="1" t="s">
        <v>156</v>
      </c>
      <c r="AB20" s="1" t="s">
        <v>66</v>
      </c>
      <c r="AC20" s="1" t="s">
        <v>68</v>
      </c>
      <c r="AD20" s="1" t="str">
        <f>IFERROR(VLOOKUP(B20,'Regiões Administrativas'!$A$1:$B$646,2,0),"")</f>
        <v>Itapeva</v>
      </c>
      <c r="AE20" s="1">
        <f>IFERROR(VLOOKUP(Form_Responses[[#This Row],[Município]],'Regiões Administrativas'!$A$1:$I$646,3,0),"")</f>
        <v>16090</v>
      </c>
      <c r="AF20" s="1">
        <f>IFERROR(VLOOKUP(Form_Responses[[#This Row],[Município]],'Regiões Administrativas'!$A$1:$I$646,4,0),"")</f>
        <v>352215805000001</v>
      </c>
      <c r="AG20" s="1">
        <f>IFERROR(VLOOKUP(Form_Responses[[#This Row],[Município]],'Regiões Administrativas'!$A$1:$I$646,4,0),"")</f>
        <v>352215805000001</v>
      </c>
      <c r="AH20" s="1">
        <f>IFERROR(VLOOKUP(B20,'Regiões Administrativas'!$A$1:$I$646,5,0),"")</f>
        <v>3522158</v>
      </c>
      <c r="AI20" s="1">
        <f>IFERROR(VLOOKUP(B20,'Regiões Administrativas'!$A$1:$I$646,6,0),"")</f>
        <v>-48.842855700000001</v>
      </c>
      <c r="AJ20" s="1">
        <f>IFERROR(VLOOKUP(B20,'Regiões Administrativas'!$A$1:$I$646,8,0),"")</f>
        <v>170.37789699999999</v>
      </c>
      <c r="AK20" s="1" t="str">
        <f>IFERROR(VLOOKUP(Form_Responses[[#This Row],[Município]],'Regiões Administrativas'!$A$1:$I$646,9,0),"")</f>
        <v>1J6S8237rK;&gt;</v>
      </c>
    </row>
    <row r="21" spans="1:37" ht="22.5" customHeight="1">
      <c r="A21" s="5">
        <v>46003.395166331014</v>
      </c>
      <c r="B21" s="10" t="s">
        <v>198</v>
      </c>
      <c r="C21" s="10" t="s">
        <v>38</v>
      </c>
      <c r="D21" s="10" t="s">
        <v>199</v>
      </c>
      <c r="E21" s="10" t="s">
        <v>200</v>
      </c>
      <c r="F21" s="10" t="s">
        <v>201</v>
      </c>
      <c r="G21" s="10" t="s">
        <v>202</v>
      </c>
      <c r="H21" s="72" t="s">
        <v>203</v>
      </c>
      <c r="I21" s="10" t="s">
        <v>89</v>
      </c>
      <c r="J21" s="7">
        <v>46066</v>
      </c>
      <c r="K21" s="7">
        <v>46069</v>
      </c>
      <c r="L21" s="11">
        <v>0.79166666666424135</v>
      </c>
      <c r="M21" s="11">
        <v>0.99930555555329192</v>
      </c>
      <c r="N21" s="1" t="s">
        <v>44</v>
      </c>
      <c r="O21" s="1" t="s">
        <v>45</v>
      </c>
      <c r="P21" s="1" t="s">
        <v>90</v>
      </c>
      <c r="Q21" s="1" t="s">
        <v>47</v>
      </c>
      <c r="R21" s="1" t="s">
        <v>48</v>
      </c>
      <c r="S21" s="8">
        <v>80000</v>
      </c>
      <c r="T21" s="8">
        <v>60000</v>
      </c>
      <c r="U21" s="8">
        <v>40000</v>
      </c>
      <c r="V21" s="8">
        <v>60000</v>
      </c>
      <c r="W21" s="1" t="s">
        <v>204</v>
      </c>
      <c r="X21" s="1"/>
      <c r="Y21" s="1" t="s">
        <v>205</v>
      </c>
      <c r="Z21" s="1" t="s">
        <v>76</v>
      </c>
      <c r="AA21" s="1" t="s">
        <v>206</v>
      </c>
      <c r="AB21" s="10" t="s">
        <v>207</v>
      </c>
      <c r="AC21" s="10" t="s">
        <v>68</v>
      </c>
      <c r="AD21" s="1" t="str">
        <f>IFERROR(VLOOKUP(B21,'Regiões Administrativas'!$A$1:$B$646,2,0),"")</f>
        <v>Barretos</v>
      </c>
      <c r="AE21" s="1">
        <f>IFERROR(VLOOKUP(Form_Responses[[#This Row],[Município]],'Regiões Administrativas'!$A$1:$I$646,3,0),"")</f>
        <v>16671</v>
      </c>
      <c r="AF21" s="1">
        <f>IFERROR(VLOOKUP(Form_Responses[[#This Row],[Município]],'Regiões Administrativas'!$A$1:$I$646,4,0),"")</f>
        <v>353390805000001</v>
      </c>
      <c r="AG21" s="1">
        <f>IFERROR(VLOOKUP(Form_Responses[[#This Row],[Município]],'Regiões Administrativas'!$A$1:$I$646,4,0),"")</f>
        <v>353390805000001</v>
      </c>
      <c r="AH21" s="1">
        <f>IFERROR(VLOOKUP(B21,'Regiões Administrativas'!$A$1:$I$646,5,0),"")</f>
        <v>3533908</v>
      </c>
      <c r="AI21" s="1">
        <f>IFERROR(VLOOKUP(B21,'Regiões Administrativas'!$A$1:$I$646,6,0),"")</f>
        <v>-48.913491700000002</v>
      </c>
      <c r="AJ21" s="1">
        <f>IFERROR(VLOOKUP(B21,'Regiões Administrativas'!$A$1:$I$646,8,0),"")</f>
        <v>500.315541</v>
      </c>
      <c r="AK21" s="1" t="str">
        <f>IFERROR(VLOOKUP(Form_Responses[[#This Row],[Município]],'Regiões Administrativas'!$A$1:$I$646,9,0),"")</f>
        <v>1J6RdQ4;ieE-</v>
      </c>
    </row>
    <row r="22" spans="1:37" ht="22.5" customHeight="1">
      <c r="A22" s="5">
        <v>46003.409282534718</v>
      </c>
      <c r="B22" s="10" t="s">
        <v>208</v>
      </c>
      <c r="C22" s="10" t="s">
        <v>209</v>
      </c>
      <c r="D22" s="10" t="s">
        <v>210</v>
      </c>
      <c r="E22" s="10" t="s">
        <v>211</v>
      </c>
      <c r="F22" s="10" t="s">
        <v>212</v>
      </c>
      <c r="G22" s="10" t="s">
        <v>213</v>
      </c>
      <c r="H22" s="10" t="s">
        <v>212</v>
      </c>
      <c r="I22" s="10" t="s">
        <v>162</v>
      </c>
      <c r="J22" s="7">
        <v>46387</v>
      </c>
      <c r="K22" s="7">
        <v>46388</v>
      </c>
      <c r="L22" s="11">
        <v>0.89583333333575865</v>
      </c>
      <c r="M22" s="11">
        <v>0.125</v>
      </c>
      <c r="N22" s="1" t="s">
        <v>44</v>
      </c>
      <c r="O22" s="1" t="s">
        <v>99</v>
      </c>
      <c r="P22" s="1" t="s">
        <v>180</v>
      </c>
      <c r="Q22" s="1" t="s">
        <v>47</v>
      </c>
      <c r="R22" s="1" t="s">
        <v>74</v>
      </c>
      <c r="S22" s="8">
        <v>4500</v>
      </c>
      <c r="T22" s="8">
        <v>4500</v>
      </c>
      <c r="U22" s="8">
        <v>4000</v>
      </c>
      <c r="V22" s="8">
        <v>4000</v>
      </c>
      <c r="W22" s="1" t="s">
        <v>1</v>
      </c>
      <c r="X22" s="1" t="s">
        <v>212</v>
      </c>
      <c r="Y22" s="1" t="s">
        <v>214</v>
      </c>
      <c r="Z22" s="1" t="s">
        <v>76</v>
      </c>
      <c r="AA22" s="1" t="s">
        <v>93</v>
      </c>
      <c r="AB22" s="10" t="s">
        <v>66</v>
      </c>
      <c r="AC22" s="10" t="s">
        <v>68</v>
      </c>
      <c r="AD22" s="1" t="str">
        <f>IFERROR(VLOOKUP(B22,'Regiões Administrativas'!$A$1:$B$646,2,0),"")</f>
        <v>Presidente Prudente</v>
      </c>
      <c r="AE22" s="1">
        <f>IFERROR(VLOOKUP(Form_Responses[[#This Row],[Município]],'Regiões Administrativas'!$A$1:$I$646,3,0),"")</f>
        <v>16749</v>
      </c>
      <c r="AF22" s="1">
        <f>IFERROR(VLOOKUP(Form_Responses[[#This Row],[Município]],'Regiões Administrativas'!$A$1:$I$646,4,0),"")</f>
        <v>353640605000001</v>
      </c>
      <c r="AG22" s="1">
        <f>IFERROR(VLOOKUP(Form_Responses[[#This Row],[Município]],'Regiões Administrativas'!$A$1:$I$646,4,0),"")</f>
        <v>353640605000001</v>
      </c>
      <c r="AH22" s="1">
        <f>IFERROR(VLOOKUP(B22,'Regiões Administrativas'!$A$1:$I$646,5,0),"")</f>
        <v>3536406</v>
      </c>
      <c r="AI22" s="1">
        <f>IFERROR(VLOOKUP(B22,'Regiões Administrativas'!$A$1:$I$646,6,0),"")</f>
        <v>-51.847140000000003</v>
      </c>
      <c r="AJ22" s="1">
        <f>IFERROR(VLOOKUP(B22,'Regiões Administrativas'!$A$1:$I$646,8,0),"")</f>
        <v>294.97141699999997</v>
      </c>
      <c r="AK22" s="1" t="str">
        <f>IFERROR(VLOOKUP(Form_Responses[[#This Row],[Município]],'Regiões Administrativas'!$A$1:$I$646,9,0),"")</f>
        <v>1J6R_cv7:*h&gt;</v>
      </c>
    </row>
    <row r="23" spans="1:37" ht="22.5" customHeight="1">
      <c r="A23" s="5">
        <v>46003.409878865743</v>
      </c>
      <c r="B23" s="10" t="s">
        <v>215</v>
      </c>
      <c r="C23" s="10" t="s">
        <v>216</v>
      </c>
      <c r="D23" s="10" t="s">
        <v>217</v>
      </c>
      <c r="E23" s="10" t="s">
        <v>218</v>
      </c>
      <c r="G23" s="10" t="s">
        <v>219</v>
      </c>
      <c r="I23" s="10" t="s">
        <v>220</v>
      </c>
      <c r="J23" s="7">
        <v>46165</v>
      </c>
      <c r="K23" s="7">
        <v>46180</v>
      </c>
      <c r="L23" s="11">
        <v>0.79166666666424135</v>
      </c>
      <c r="M23" s="11">
        <v>0.97916666666424135</v>
      </c>
      <c r="N23" s="1" t="s">
        <v>44</v>
      </c>
      <c r="O23" s="1" t="s">
        <v>221</v>
      </c>
      <c r="P23" s="1" t="s">
        <v>221</v>
      </c>
      <c r="Q23" s="1" t="s">
        <v>47</v>
      </c>
      <c r="R23" s="1" t="s">
        <v>74</v>
      </c>
      <c r="S23" s="8">
        <v>15000</v>
      </c>
      <c r="T23" s="8">
        <v>15000</v>
      </c>
      <c r="U23" s="8">
        <v>14500</v>
      </c>
      <c r="V23" s="8">
        <v>14500</v>
      </c>
      <c r="W23" s="1" t="s">
        <v>222</v>
      </c>
      <c r="X23" s="1"/>
      <c r="Y23" s="1" t="s">
        <v>223</v>
      </c>
      <c r="Z23" s="1" t="s">
        <v>224</v>
      </c>
      <c r="AA23" s="1" t="s">
        <v>225</v>
      </c>
      <c r="AB23" s="10" t="s">
        <v>66</v>
      </c>
      <c r="AC23" s="10" t="s">
        <v>68</v>
      </c>
      <c r="AD23" s="1" t="str">
        <f>IFERROR(VLOOKUP(B23,'Regiões Administrativas'!$A$1:$B$646,2,0),"")</f>
        <v>Santos</v>
      </c>
      <c r="AE23" s="1">
        <f>IFERROR(VLOOKUP(Form_Responses[[#This Row],[Município]],'Regiões Administrativas'!$A$1:$I$646,3,0),"")</f>
        <v>16088</v>
      </c>
      <c r="AF23" s="1">
        <f>IFERROR(VLOOKUP(Form_Responses[[#This Row],[Município]],'Regiões Administrativas'!$A$1:$I$646,4,0),"")</f>
        <v>352210905000001</v>
      </c>
      <c r="AG23" s="1">
        <f>IFERROR(VLOOKUP(Form_Responses[[#This Row],[Município]],'Regiões Administrativas'!$A$1:$I$646,4,0),"")</f>
        <v>352210905000001</v>
      </c>
      <c r="AH23" s="1">
        <f>IFERROR(VLOOKUP(B23,'Regiões Administrativas'!$A$1:$I$646,5,0),"")</f>
        <v>3522109</v>
      </c>
      <c r="AI23" s="1">
        <f>IFERROR(VLOOKUP(B23,'Regiões Administrativas'!$A$1:$I$646,6,0),"")</f>
        <v>-46.790991499999997</v>
      </c>
      <c r="AJ23" s="1">
        <f>IFERROR(VLOOKUP(B23,'Regiões Administrativas'!$A$1:$I$646,8,0),"")</f>
        <v>6.4738429999999996</v>
      </c>
      <c r="AK23" s="1" t="str">
        <f>IFERROR(VLOOKUP(Form_Responses[[#This Row],[Município]],'Regiões Administrativas'!$A$1:$I$646,9,0),"")</f>
        <v>1J6U:\7bhJ?f</v>
      </c>
    </row>
    <row r="24" spans="1:37" ht="22.5" customHeight="1">
      <c r="A24" s="5">
        <v>46003.41386912037</v>
      </c>
      <c r="B24" s="1" t="s">
        <v>208</v>
      </c>
      <c r="C24" s="1" t="s">
        <v>209</v>
      </c>
      <c r="D24" s="1" t="s">
        <v>90</v>
      </c>
      <c r="E24" s="1" t="s">
        <v>226</v>
      </c>
      <c r="F24" s="1" t="s">
        <v>212</v>
      </c>
      <c r="G24" s="10" t="s">
        <v>213</v>
      </c>
      <c r="H24" s="10" t="s">
        <v>212</v>
      </c>
      <c r="I24" s="10" t="s">
        <v>89</v>
      </c>
      <c r="J24" s="7">
        <v>46066</v>
      </c>
      <c r="K24" s="7">
        <v>46070</v>
      </c>
      <c r="L24" s="11">
        <v>0.91666666666424135</v>
      </c>
      <c r="M24" s="11">
        <v>0.125</v>
      </c>
      <c r="N24" s="1" t="s">
        <v>44</v>
      </c>
      <c r="O24" s="1" t="s">
        <v>45</v>
      </c>
      <c r="P24" s="1" t="s">
        <v>90</v>
      </c>
      <c r="Q24" s="1" t="s">
        <v>47</v>
      </c>
      <c r="R24" s="1" t="s">
        <v>74</v>
      </c>
      <c r="S24" s="8">
        <v>5000</v>
      </c>
      <c r="T24" s="8">
        <v>4500</v>
      </c>
      <c r="U24" s="8">
        <v>4500</v>
      </c>
      <c r="V24" s="8">
        <v>4500</v>
      </c>
      <c r="W24" s="1" t="s">
        <v>1</v>
      </c>
      <c r="X24" s="1" t="s">
        <v>212</v>
      </c>
      <c r="Y24" s="1" t="s">
        <v>214</v>
      </c>
      <c r="Z24" s="1" t="s">
        <v>76</v>
      </c>
      <c r="AA24" s="1" t="s">
        <v>93</v>
      </c>
      <c r="AB24" s="10" t="s">
        <v>66</v>
      </c>
      <c r="AC24" s="10" t="s">
        <v>68</v>
      </c>
      <c r="AD24" s="1" t="str">
        <f>IFERROR(VLOOKUP(B24,'Regiões Administrativas'!$A$1:$B$646,2,0),"")</f>
        <v>Presidente Prudente</v>
      </c>
      <c r="AE24" s="1">
        <f>IFERROR(VLOOKUP(Form_Responses[[#This Row],[Município]],'Regiões Administrativas'!$A$1:$I$646,3,0),"")</f>
        <v>16749</v>
      </c>
      <c r="AF24" s="1">
        <f>IFERROR(VLOOKUP(Form_Responses[[#This Row],[Município]],'Regiões Administrativas'!$A$1:$I$646,4,0),"")</f>
        <v>353640605000001</v>
      </c>
      <c r="AG24" s="1">
        <f>IFERROR(VLOOKUP(Form_Responses[[#This Row],[Município]],'Regiões Administrativas'!$A$1:$I$646,4,0),"")</f>
        <v>353640605000001</v>
      </c>
      <c r="AH24" s="1">
        <f>IFERROR(VLOOKUP(B24,'Regiões Administrativas'!$A$1:$I$646,5,0),"")</f>
        <v>3536406</v>
      </c>
      <c r="AI24" s="1">
        <f>IFERROR(VLOOKUP(B24,'Regiões Administrativas'!$A$1:$I$646,6,0),"")</f>
        <v>-51.847140000000003</v>
      </c>
      <c r="AJ24" s="1">
        <f>IFERROR(VLOOKUP(B24,'Regiões Administrativas'!$A$1:$I$646,8,0),"")</f>
        <v>294.97141699999997</v>
      </c>
      <c r="AK24" s="1" t="str">
        <f>IFERROR(VLOOKUP(Form_Responses[[#This Row],[Município]],'Regiões Administrativas'!$A$1:$I$646,9,0),"")</f>
        <v>1J6R_cv7:*h&gt;</v>
      </c>
    </row>
    <row r="25" spans="1:37" ht="22.5" customHeight="1">
      <c r="A25" s="5">
        <v>46003.418436828702</v>
      </c>
      <c r="B25" s="1" t="s">
        <v>208</v>
      </c>
      <c r="C25" s="1" t="s">
        <v>209</v>
      </c>
      <c r="D25" s="1" t="s">
        <v>227</v>
      </c>
      <c r="E25" s="1" t="s">
        <v>228</v>
      </c>
      <c r="F25" s="1" t="s">
        <v>212</v>
      </c>
      <c r="G25" s="10" t="s">
        <v>229</v>
      </c>
      <c r="H25" s="10" t="s">
        <v>212</v>
      </c>
      <c r="I25" s="10" t="s">
        <v>89</v>
      </c>
      <c r="J25" s="7">
        <v>46067</v>
      </c>
      <c r="K25" s="7">
        <v>46069</v>
      </c>
      <c r="L25" s="11">
        <v>0.33333333333575865</v>
      </c>
      <c r="M25" s="11">
        <v>0.83333333333575865</v>
      </c>
      <c r="N25" s="1" t="s">
        <v>61</v>
      </c>
      <c r="O25" s="1" t="s">
        <v>62</v>
      </c>
      <c r="P25" s="1" t="s">
        <v>90</v>
      </c>
      <c r="Q25" s="1" t="s">
        <v>47</v>
      </c>
      <c r="R25" s="1" t="s">
        <v>230</v>
      </c>
      <c r="S25" s="8">
        <v>4000</v>
      </c>
      <c r="T25" s="8">
        <v>3800</v>
      </c>
      <c r="U25" s="8">
        <v>4500</v>
      </c>
      <c r="V25" s="8">
        <v>4500</v>
      </c>
      <c r="W25" s="1" t="s">
        <v>1</v>
      </c>
      <c r="X25" s="1" t="s">
        <v>212</v>
      </c>
      <c r="Y25" s="1" t="s">
        <v>214</v>
      </c>
      <c r="Z25" s="1" t="s">
        <v>76</v>
      </c>
      <c r="AA25" s="1" t="s">
        <v>67</v>
      </c>
      <c r="AB25" s="10" t="s">
        <v>66</v>
      </c>
      <c r="AC25" s="10" t="s">
        <v>68</v>
      </c>
      <c r="AD25" s="1" t="str">
        <f>IFERROR(VLOOKUP(B25,'Regiões Administrativas'!$A$1:$B$646,2,0),"")</f>
        <v>Presidente Prudente</v>
      </c>
      <c r="AE25" s="1">
        <f>IFERROR(VLOOKUP(Form_Responses[[#This Row],[Município]],'Regiões Administrativas'!$A$1:$I$646,3,0),"")</f>
        <v>16749</v>
      </c>
      <c r="AF25" s="1">
        <f>IFERROR(VLOOKUP(Form_Responses[[#This Row],[Município]],'Regiões Administrativas'!$A$1:$I$646,4,0),"")</f>
        <v>353640605000001</v>
      </c>
      <c r="AG25" s="1">
        <f>IFERROR(VLOOKUP(Form_Responses[[#This Row],[Município]],'Regiões Administrativas'!$A$1:$I$646,4,0),"")</f>
        <v>353640605000001</v>
      </c>
      <c r="AH25" s="1">
        <f>IFERROR(VLOOKUP(B25,'Regiões Administrativas'!$A$1:$I$646,5,0),"")</f>
        <v>3536406</v>
      </c>
      <c r="AI25" s="1">
        <f>IFERROR(VLOOKUP(B25,'Regiões Administrativas'!$A$1:$I$646,6,0),"")</f>
        <v>-51.847140000000003</v>
      </c>
      <c r="AJ25" s="1">
        <f>IFERROR(VLOOKUP(B25,'Regiões Administrativas'!$A$1:$I$646,8,0),"")</f>
        <v>294.97141699999997</v>
      </c>
      <c r="AK25" s="1" t="str">
        <f>IFERROR(VLOOKUP(Form_Responses[[#This Row],[Município]],'Regiões Administrativas'!$A$1:$I$646,9,0),"")</f>
        <v>1J6R_cv7:*h&gt;</v>
      </c>
    </row>
    <row r="26" spans="1:37" ht="22.5" customHeight="1">
      <c r="A26" s="5">
        <v>46003.423113842597</v>
      </c>
      <c r="B26" s="1" t="s">
        <v>208</v>
      </c>
      <c r="C26" s="1" t="s">
        <v>209</v>
      </c>
      <c r="D26" s="1" t="s">
        <v>231</v>
      </c>
      <c r="E26" s="1" t="s">
        <v>232</v>
      </c>
      <c r="F26" s="1" t="s">
        <v>212</v>
      </c>
      <c r="G26" s="10" t="s">
        <v>233</v>
      </c>
      <c r="H26" s="10" t="s">
        <v>212</v>
      </c>
      <c r="I26" s="10" t="s">
        <v>60</v>
      </c>
      <c r="J26" s="7">
        <v>46180</v>
      </c>
      <c r="K26" s="7">
        <v>46180</v>
      </c>
      <c r="L26" s="11">
        <v>0.3125</v>
      </c>
      <c r="M26" s="11">
        <v>0.625</v>
      </c>
      <c r="N26" s="1" t="s">
        <v>110</v>
      </c>
      <c r="O26" s="1" t="s">
        <v>234</v>
      </c>
      <c r="P26" s="1" t="s">
        <v>235</v>
      </c>
      <c r="Q26" s="1" t="s">
        <v>47</v>
      </c>
      <c r="R26" s="1" t="s">
        <v>74</v>
      </c>
      <c r="S26" s="8">
        <v>1500</v>
      </c>
      <c r="T26" s="8">
        <v>1400</v>
      </c>
      <c r="U26" s="8">
        <v>1400</v>
      </c>
      <c r="V26" s="8">
        <v>1400</v>
      </c>
      <c r="W26" s="1" t="s">
        <v>1</v>
      </c>
      <c r="X26" s="1" t="s">
        <v>212</v>
      </c>
      <c r="Y26" s="1" t="s">
        <v>214</v>
      </c>
      <c r="Z26" s="1" t="s">
        <v>66</v>
      </c>
      <c r="AA26" s="1" t="s">
        <v>66</v>
      </c>
      <c r="AB26" s="10" t="s">
        <v>66</v>
      </c>
      <c r="AC26" s="10" t="s">
        <v>68</v>
      </c>
      <c r="AD26" s="1" t="str">
        <f>IFERROR(VLOOKUP(B26,'Regiões Administrativas'!$A$1:$B$646,2,0),"")</f>
        <v>Presidente Prudente</v>
      </c>
      <c r="AE26" s="1">
        <f>IFERROR(VLOOKUP(Form_Responses[[#This Row],[Município]],'Regiões Administrativas'!$A$1:$I$646,3,0),"")</f>
        <v>16749</v>
      </c>
      <c r="AF26" s="1">
        <f>IFERROR(VLOOKUP(Form_Responses[[#This Row],[Município]],'Regiões Administrativas'!$A$1:$I$646,4,0),"")</f>
        <v>353640605000001</v>
      </c>
      <c r="AG26" s="1">
        <f>IFERROR(VLOOKUP(Form_Responses[[#This Row],[Município]],'Regiões Administrativas'!$A$1:$I$646,4,0),"")</f>
        <v>353640605000001</v>
      </c>
      <c r="AH26" s="1">
        <f>IFERROR(VLOOKUP(B26,'Regiões Administrativas'!$A$1:$I$646,5,0),"")</f>
        <v>3536406</v>
      </c>
      <c r="AI26" s="1">
        <f>IFERROR(VLOOKUP(B26,'Regiões Administrativas'!$A$1:$I$646,6,0),"")</f>
        <v>-51.847140000000003</v>
      </c>
      <c r="AJ26" s="1">
        <f>IFERROR(VLOOKUP(B26,'Regiões Administrativas'!$A$1:$I$646,8,0),"")</f>
        <v>294.97141699999997</v>
      </c>
      <c r="AK26" s="1" t="str">
        <f>IFERROR(VLOOKUP(Form_Responses[[#This Row],[Município]],'Regiões Administrativas'!$A$1:$I$646,9,0),"")</f>
        <v>1J6R_cv7:*h&gt;</v>
      </c>
    </row>
    <row r="27" spans="1:37" ht="22.5" customHeight="1">
      <c r="A27" s="5">
        <v>46003.426671400463</v>
      </c>
      <c r="B27" s="1" t="s">
        <v>236</v>
      </c>
      <c r="C27" s="1" t="s">
        <v>237</v>
      </c>
      <c r="D27" s="1" t="s">
        <v>238</v>
      </c>
      <c r="E27" s="1" t="s">
        <v>239</v>
      </c>
      <c r="F27" s="1"/>
      <c r="G27" s="10" t="s">
        <v>240</v>
      </c>
      <c r="H27" s="72" t="s">
        <v>241</v>
      </c>
      <c r="I27" s="10" t="s">
        <v>162</v>
      </c>
      <c r="J27" s="7">
        <v>46015</v>
      </c>
      <c r="K27" s="7">
        <v>46032</v>
      </c>
      <c r="L27" s="11">
        <v>0.95833333333575865</v>
      </c>
      <c r="M27" s="11">
        <v>0.79166666666424135</v>
      </c>
      <c r="N27" s="1" t="s">
        <v>98</v>
      </c>
      <c r="O27" s="1" t="s">
        <v>45</v>
      </c>
      <c r="P27" s="1" t="s">
        <v>221</v>
      </c>
      <c r="Q27" s="1" t="s">
        <v>47</v>
      </c>
      <c r="R27" s="1" t="s">
        <v>48</v>
      </c>
      <c r="S27" s="8">
        <v>2000</v>
      </c>
      <c r="T27" s="8">
        <v>2500</v>
      </c>
      <c r="U27" s="8">
        <v>2000</v>
      </c>
      <c r="V27" s="8">
        <v>1350</v>
      </c>
      <c r="W27" s="1" t="s">
        <v>242</v>
      </c>
      <c r="X27" s="1"/>
      <c r="Y27" s="1" t="s">
        <v>243</v>
      </c>
      <c r="Z27" s="1" t="s">
        <v>76</v>
      </c>
      <c r="AA27" s="1" t="s">
        <v>244</v>
      </c>
      <c r="AB27" s="10" t="s">
        <v>66</v>
      </c>
      <c r="AC27" s="10" t="s">
        <v>68</v>
      </c>
      <c r="AD27" s="1" t="str">
        <f>IFERROR(VLOOKUP(B27,'Regiões Administrativas'!$A$1:$B$646,2,0),"")</f>
        <v>Presidente Prudente</v>
      </c>
      <c r="AE27" s="1">
        <f>IFERROR(VLOOKUP(Form_Responses[[#This Row],[Município]],'Regiões Administrativas'!$A$1:$I$646,3,0),"")</f>
        <v>17369</v>
      </c>
      <c r="AF27" s="1">
        <f>IFERROR(VLOOKUP(Form_Responses[[#This Row],[Município]],'Regiões Administrativas'!$A$1:$I$646,4,0),"")</f>
        <v>355430005000001</v>
      </c>
      <c r="AG27" s="1">
        <f>IFERROR(VLOOKUP(Form_Responses[[#This Row],[Município]],'Regiões Administrativas'!$A$1:$I$646,4,0),"")</f>
        <v>355430005000001</v>
      </c>
      <c r="AH27" s="1">
        <f>IFERROR(VLOOKUP(B27,'Regiões Administrativas'!$A$1:$I$646,5,0),"")</f>
        <v>3554300</v>
      </c>
      <c r="AI27" s="1">
        <f>IFERROR(VLOOKUP(B27,'Regiões Administrativas'!$A$1:$I$646,6,0),"")</f>
        <v>-52.171194800000002</v>
      </c>
      <c r="AJ27" s="1">
        <f>IFERROR(VLOOKUP(B27,'Regiões Administrativas'!$A$1:$I$646,8,0),"")</f>
        <v>352.74982899999998</v>
      </c>
      <c r="AK27" s="1" t="str">
        <f>IFERROR(VLOOKUP(Form_Responses[[#This Row],[Município]],'Regiões Administrativas'!$A$1:$I$646,9,0),"")</f>
        <v>1J6RhG:@,eW&gt;</v>
      </c>
    </row>
    <row r="28" spans="1:37" ht="22.5" customHeight="1">
      <c r="A28" s="5">
        <v>46003.440592280094</v>
      </c>
      <c r="B28" s="1" t="s">
        <v>208</v>
      </c>
      <c r="C28" s="1" t="s">
        <v>209</v>
      </c>
      <c r="D28" s="1" t="s">
        <v>245</v>
      </c>
      <c r="E28" s="1" t="s">
        <v>246</v>
      </c>
      <c r="F28" s="1" t="s">
        <v>212</v>
      </c>
      <c r="G28" s="10" t="s">
        <v>247</v>
      </c>
      <c r="H28" s="10" t="s">
        <v>212</v>
      </c>
      <c r="I28" s="10" t="s">
        <v>60</v>
      </c>
      <c r="J28" s="7">
        <v>46200</v>
      </c>
      <c r="K28" s="7">
        <v>46201</v>
      </c>
      <c r="L28" s="11">
        <v>0.79166666666424135</v>
      </c>
      <c r="M28" s="11">
        <v>0.1875</v>
      </c>
      <c r="N28" s="1" t="s">
        <v>110</v>
      </c>
      <c r="O28" s="1" t="s">
        <v>99</v>
      </c>
      <c r="P28" s="1" t="s">
        <v>135</v>
      </c>
      <c r="Q28" s="1" t="s">
        <v>47</v>
      </c>
      <c r="R28" s="1" t="s">
        <v>48</v>
      </c>
      <c r="S28" s="8">
        <v>30000</v>
      </c>
      <c r="T28" s="8">
        <v>26000</v>
      </c>
      <c r="U28" s="8">
        <v>24000</v>
      </c>
      <c r="V28" s="8">
        <v>22000</v>
      </c>
      <c r="W28" s="1" t="s">
        <v>1</v>
      </c>
      <c r="X28" s="1" t="s">
        <v>212</v>
      </c>
      <c r="Y28" s="1" t="s">
        <v>214</v>
      </c>
      <c r="Z28" s="1" t="s">
        <v>76</v>
      </c>
      <c r="AA28" s="1" t="s">
        <v>113</v>
      </c>
      <c r="AB28" s="10" t="s">
        <v>66</v>
      </c>
      <c r="AC28" s="10" t="s">
        <v>68</v>
      </c>
      <c r="AD28" s="1" t="str">
        <f>IFERROR(VLOOKUP(B28,'Regiões Administrativas'!$A$1:$B$646,2,0),"")</f>
        <v>Presidente Prudente</v>
      </c>
      <c r="AE28" s="1">
        <f>IFERROR(VLOOKUP(Form_Responses[[#This Row],[Município]],'Regiões Administrativas'!$A$1:$I$646,3,0),"")</f>
        <v>16749</v>
      </c>
      <c r="AF28" s="1">
        <f>IFERROR(VLOOKUP(Form_Responses[[#This Row],[Município]],'Regiões Administrativas'!$A$1:$I$646,4,0),"")</f>
        <v>353640605000001</v>
      </c>
      <c r="AG28" s="1">
        <f>IFERROR(VLOOKUP(Form_Responses[[#This Row],[Município]],'Regiões Administrativas'!$A$1:$I$646,4,0),"")</f>
        <v>353640605000001</v>
      </c>
      <c r="AH28" s="1">
        <f>IFERROR(VLOOKUP(B28,'Regiões Administrativas'!$A$1:$I$646,5,0),"")</f>
        <v>3536406</v>
      </c>
      <c r="AI28" s="1">
        <f>IFERROR(VLOOKUP(B28,'Regiões Administrativas'!$A$1:$I$646,6,0),"")</f>
        <v>-51.847140000000003</v>
      </c>
      <c r="AJ28" s="1">
        <f>IFERROR(VLOOKUP(B28,'Regiões Administrativas'!$A$1:$I$646,8,0),"")</f>
        <v>294.97141699999997</v>
      </c>
      <c r="AK28" s="1" t="str">
        <f>IFERROR(VLOOKUP(Form_Responses[[#This Row],[Município]],'Regiões Administrativas'!$A$1:$I$646,9,0),"")</f>
        <v>1J6R_cv7:*h&gt;</v>
      </c>
    </row>
    <row r="29" spans="1:37" ht="22.5" customHeight="1">
      <c r="A29" s="5">
        <v>46003.444056597218</v>
      </c>
      <c r="B29" s="1" t="s">
        <v>208</v>
      </c>
      <c r="C29" s="1" t="s">
        <v>209</v>
      </c>
      <c r="D29" s="1" t="s">
        <v>248</v>
      </c>
      <c r="E29" s="1" t="s">
        <v>249</v>
      </c>
      <c r="F29" s="1" t="s">
        <v>212</v>
      </c>
      <c r="G29" s="10" t="s">
        <v>250</v>
      </c>
      <c r="H29" s="10" t="s">
        <v>212</v>
      </c>
      <c r="I29" s="10" t="s">
        <v>162</v>
      </c>
      <c r="J29" s="7">
        <v>46362</v>
      </c>
      <c r="K29" s="7">
        <v>46362</v>
      </c>
      <c r="L29" s="11">
        <v>0.77083333333575865</v>
      </c>
      <c r="M29" s="11">
        <v>0.89583333333575865</v>
      </c>
      <c r="N29" s="1" t="s">
        <v>44</v>
      </c>
      <c r="O29" s="1" t="s">
        <v>45</v>
      </c>
      <c r="P29" s="1" t="s">
        <v>251</v>
      </c>
      <c r="Q29" s="1" t="s">
        <v>47</v>
      </c>
      <c r="R29" s="1" t="s">
        <v>74</v>
      </c>
      <c r="S29" s="8">
        <v>4000</v>
      </c>
      <c r="T29" s="8">
        <v>4000</v>
      </c>
      <c r="U29" s="8">
        <v>4000</v>
      </c>
      <c r="V29" s="8">
        <v>4000</v>
      </c>
      <c r="W29" s="1" t="s">
        <v>1</v>
      </c>
      <c r="X29" s="1" t="s">
        <v>212</v>
      </c>
      <c r="Y29" s="1" t="s">
        <v>214</v>
      </c>
      <c r="Z29" s="1" t="s">
        <v>76</v>
      </c>
      <c r="AA29" s="1" t="s">
        <v>113</v>
      </c>
      <c r="AB29" s="10" t="s">
        <v>66</v>
      </c>
      <c r="AC29" s="10" t="s">
        <v>68</v>
      </c>
      <c r="AD29" s="1" t="str">
        <f>IFERROR(VLOOKUP(B29,'Regiões Administrativas'!$A$1:$B$646,2,0),"")</f>
        <v>Presidente Prudente</v>
      </c>
      <c r="AE29" s="1">
        <f>IFERROR(VLOOKUP(Form_Responses[[#This Row],[Município]],'Regiões Administrativas'!$A$1:$I$646,3,0),"")</f>
        <v>16749</v>
      </c>
      <c r="AF29" s="1">
        <f>IFERROR(VLOOKUP(Form_Responses[[#This Row],[Município]],'Regiões Administrativas'!$A$1:$I$646,4,0),"")</f>
        <v>353640605000001</v>
      </c>
      <c r="AG29" s="1">
        <f>IFERROR(VLOOKUP(Form_Responses[[#This Row],[Município]],'Regiões Administrativas'!$A$1:$I$646,4,0),"")</f>
        <v>353640605000001</v>
      </c>
      <c r="AH29" s="1">
        <f>IFERROR(VLOOKUP(B29,'Regiões Administrativas'!$A$1:$I$646,5,0),"")</f>
        <v>3536406</v>
      </c>
      <c r="AI29" s="1">
        <f>IFERROR(VLOOKUP(B29,'Regiões Administrativas'!$A$1:$I$646,6,0),"")</f>
        <v>-51.847140000000003</v>
      </c>
      <c r="AJ29" s="1">
        <f>IFERROR(VLOOKUP(B29,'Regiões Administrativas'!$A$1:$I$646,8,0),"")</f>
        <v>294.97141699999997</v>
      </c>
      <c r="AK29" s="1" t="str">
        <f>IFERROR(VLOOKUP(Form_Responses[[#This Row],[Município]],'Regiões Administrativas'!$A$1:$I$646,9,0),"")</f>
        <v>1J6R_cv7:*h&gt;</v>
      </c>
    </row>
    <row r="30" spans="1:37" ht="22.5" customHeight="1">
      <c r="A30" s="13">
        <v>46003.448143472226</v>
      </c>
      <c r="B30" s="1" t="s">
        <v>208</v>
      </c>
      <c r="C30" s="1" t="s">
        <v>209</v>
      </c>
      <c r="D30" s="1" t="s">
        <v>252</v>
      </c>
      <c r="E30" s="1" t="s">
        <v>253</v>
      </c>
      <c r="F30" s="1" t="s">
        <v>212</v>
      </c>
      <c r="G30" s="10" t="s">
        <v>254</v>
      </c>
      <c r="H30" s="10" t="s">
        <v>212</v>
      </c>
      <c r="I30" s="10" t="s">
        <v>255</v>
      </c>
      <c r="J30" s="1"/>
      <c r="K30" s="1"/>
      <c r="L30" s="11">
        <v>0.33333333333575865</v>
      </c>
      <c r="M30" s="11">
        <v>0.58333333333575865</v>
      </c>
      <c r="N30" s="1" t="s">
        <v>44</v>
      </c>
      <c r="O30" s="1" t="s">
        <v>99</v>
      </c>
      <c r="P30" s="1" t="s">
        <v>99</v>
      </c>
      <c r="Q30" s="1" t="s">
        <v>47</v>
      </c>
      <c r="R30" s="1" t="s">
        <v>256</v>
      </c>
      <c r="S30" s="8">
        <v>1800</v>
      </c>
      <c r="T30" s="8">
        <v>1500</v>
      </c>
      <c r="U30" s="8">
        <v>1500</v>
      </c>
      <c r="V30" s="8">
        <v>1500</v>
      </c>
      <c r="W30" s="1" t="s">
        <v>257</v>
      </c>
      <c r="X30" s="1" t="s">
        <v>212</v>
      </c>
      <c r="Y30" s="1" t="s">
        <v>214</v>
      </c>
      <c r="Z30" s="1" t="s">
        <v>76</v>
      </c>
      <c r="AA30" s="1" t="s">
        <v>113</v>
      </c>
      <c r="AB30" s="10" t="s">
        <v>66</v>
      </c>
      <c r="AC30" s="10" t="s">
        <v>68</v>
      </c>
      <c r="AD30" s="1" t="str">
        <f>IFERROR(VLOOKUP(B30,'Regiões Administrativas'!$A$1:$B$646,2,0),"")</f>
        <v>Presidente Prudente</v>
      </c>
      <c r="AE30" s="1">
        <f>IFERROR(VLOOKUP(Form_Responses[[#This Row],[Município]],'Regiões Administrativas'!$A$1:$I$646,3,0),"")</f>
        <v>16749</v>
      </c>
      <c r="AF30" s="1">
        <f>IFERROR(VLOOKUP(Form_Responses[[#This Row],[Município]],'Regiões Administrativas'!$A$1:$I$646,4,0),"")</f>
        <v>353640605000001</v>
      </c>
      <c r="AG30" s="1">
        <f>IFERROR(VLOOKUP(Form_Responses[[#This Row],[Município]],'Regiões Administrativas'!$A$1:$I$646,4,0),"")</f>
        <v>353640605000001</v>
      </c>
      <c r="AH30" s="1">
        <f>IFERROR(VLOOKUP(B30,'Regiões Administrativas'!$A$1:$I$646,5,0),"")</f>
        <v>3536406</v>
      </c>
      <c r="AI30" s="1">
        <f>IFERROR(VLOOKUP(B30,'Regiões Administrativas'!$A$1:$I$646,6,0),"")</f>
        <v>-51.847140000000003</v>
      </c>
      <c r="AJ30" s="1">
        <f>IFERROR(VLOOKUP(B30,'Regiões Administrativas'!$A$1:$I$646,8,0),"")</f>
        <v>294.97141699999997</v>
      </c>
      <c r="AK30" s="1" t="str">
        <f>IFERROR(VLOOKUP(Form_Responses[[#This Row],[Município]],'Regiões Administrativas'!$A$1:$I$646,9,0),"")</f>
        <v>1J6R_cv7:*h&gt;</v>
      </c>
    </row>
    <row r="31" spans="1:37" ht="22.5" customHeight="1">
      <c r="A31" s="5">
        <v>46003.460061886573</v>
      </c>
      <c r="B31" s="1" t="s">
        <v>198</v>
      </c>
      <c r="C31" s="1" t="s">
        <v>38</v>
      </c>
      <c r="D31" s="1" t="s">
        <v>258</v>
      </c>
      <c r="E31" s="1" t="s">
        <v>259</v>
      </c>
      <c r="F31" s="1"/>
      <c r="G31" s="10" t="s">
        <v>260</v>
      </c>
      <c r="H31" s="72" t="s">
        <v>261</v>
      </c>
      <c r="I31" s="10" t="s">
        <v>109</v>
      </c>
      <c r="J31" s="7">
        <v>46083</v>
      </c>
      <c r="K31" s="7">
        <v>46083</v>
      </c>
      <c r="L31" s="11">
        <v>0.83333333333575865</v>
      </c>
      <c r="M31" s="11">
        <v>0.99930555555329192</v>
      </c>
      <c r="N31" s="1" t="s">
        <v>110</v>
      </c>
      <c r="O31" s="1" t="s">
        <v>99</v>
      </c>
      <c r="P31" s="1" t="s">
        <v>99</v>
      </c>
      <c r="Q31" s="1" t="s">
        <v>47</v>
      </c>
      <c r="R31" s="1" t="s">
        <v>256</v>
      </c>
      <c r="S31" s="8">
        <v>30000</v>
      </c>
      <c r="T31" s="8">
        <v>50000</v>
      </c>
      <c r="U31" s="8">
        <v>30000</v>
      </c>
      <c r="V31" s="8">
        <v>7000</v>
      </c>
      <c r="W31" s="1" t="s">
        <v>262</v>
      </c>
      <c r="X31" s="1"/>
      <c r="Y31" s="1" t="s">
        <v>205</v>
      </c>
      <c r="Z31" s="1" t="s">
        <v>76</v>
      </c>
      <c r="AA31" s="1" t="s">
        <v>263</v>
      </c>
      <c r="AB31" s="10" t="s">
        <v>207</v>
      </c>
      <c r="AC31" s="10" t="s">
        <v>68</v>
      </c>
      <c r="AD31" s="1" t="str">
        <f>IFERROR(VLOOKUP(B31,'Regiões Administrativas'!$A$1:$B$646,2,0),"")</f>
        <v>Barretos</v>
      </c>
      <c r="AE31" s="1">
        <f>IFERROR(VLOOKUP(Form_Responses[[#This Row],[Município]],'Regiões Administrativas'!$A$1:$I$646,3,0),"")</f>
        <v>16671</v>
      </c>
      <c r="AF31" s="1">
        <f>IFERROR(VLOOKUP(Form_Responses[[#This Row],[Município]],'Regiões Administrativas'!$A$1:$I$646,4,0),"")</f>
        <v>353390805000001</v>
      </c>
      <c r="AG31" s="1">
        <f>IFERROR(VLOOKUP(Form_Responses[[#This Row],[Município]],'Regiões Administrativas'!$A$1:$I$646,4,0),"")</f>
        <v>353390805000001</v>
      </c>
      <c r="AH31" s="1">
        <f>IFERROR(VLOOKUP(B31,'Regiões Administrativas'!$A$1:$I$646,5,0),"")</f>
        <v>3533908</v>
      </c>
      <c r="AI31" s="1">
        <f>IFERROR(VLOOKUP(B31,'Regiões Administrativas'!$A$1:$I$646,6,0),"")</f>
        <v>-48.913491700000002</v>
      </c>
      <c r="AJ31" s="1">
        <f>IFERROR(VLOOKUP(B31,'Regiões Administrativas'!$A$1:$I$646,8,0),"")</f>
        <v>500.315541</v>
      </c>
      <c r="AK31" s="1" t="str">
        <f>IFERROR(VLOOKUP(Form_Responses[[#This Row],[Município]],'Regiões Administrativas'!$A$1:$I$646,9,0),"")</f>
        <v>1J6RdQ4;ieE-</v>
      </c>
    </row>
    <row r="32" spans="1:37" ht="22.5" customHeight="1">
      <c r="A32" s="13">
        <v>46003.484140995366</v>
      </c>
      <c r="B32" s="1" t="s">
        <v>236</v>
      </c>
      <c r="C32" s="1" t="s">
        <v>237</v>
      </c>
      <c r="D32" s="1" t="s">
        <v>264</v>
      </c>
      <c r="E32" s="1" t="s">
        <v>265</v>
      </c>
      <c r="F32" s="1"/>
      <c r="G32" s="10" t="s">
        <v>266</v>
      </c>
      <c r="H32" s="72" t="s">
        <v>241</v>
      </c>
      <c r="I32" s="10" t="s">
        <v>267</v>
      </c>
      <c r="J32" s="7">
        <v>42386</v>
      </c>
      <c r="K32" s="7">
        <v>46046</v>
      </c>
      <c r="L32" s="1"/>
      <c r="M32" s="1"/>
      <c r="N32" s="1" t="s">
        <v>268</v>
      </c>
      <c r="O32" s="1" t="s">
        <v>142</v>
      </c>
      <c r="P32" s="1" t="s">
        <v>63</v>
      </c>
      <c r="Q32" s="1" t="s">
        <v>47</v>
      </c>
      <c r="R32" s="1" t="s">
        <v>74</v>
      </c>
      <c r="S32" s="8">
        <v>10000</v>
      </c>
      <c r="T32" s="8"/>
      <c r="U32" s="8"/>
      <c r="V32" s="8"/>
      <c r="W32" s="1" t="s">
        <v>269</v>
      </c>
      <c r="X32" s="1" t="s">
        <v>270</v>
      </c>
      <c r="Y32" s="1" t="s">
        <v>243</v>
      </c>
      <c r="Z32" s="1" t="s">
        <v>76</v>
      </c>
      <c r="AA32" s="1" t="s">
        <v>244</v>
      </c>
      <c r="AB32" s="10" t="s">
        <v>66</v>
      </c>
      <c r="AC32" s="10" t="s">
        <v>68</v>
      </c>
      <c r="AD32" s="1" t="str">
        <f>IFERROR(VLOOKUP(B32,'Regiões Administrativas'!$A$1:$B$646,2,0),"")</f>
        <v>Presidente Prudente</v>
      </c>
      <c r="AE32" s="1">
        <f>IFERROR(VLOOKUP(Form_Responses[[#This Row],[Município]],'Regiões Administrativas'!$A$1:$I$646,3,0),"")</f>
        <v>17369</v>
      </c>
      <c r="AF32" s="1">
        <f>IFERROR(VLOOKUP(Form_Responses[[#This Row],[Município]],'Regiões Administrativas'!$A$1:$I$646,4,0),"")</f>
        <v>355430005000001</v>
      </c>
      <c r="AG32" s="1">
        <f>IFERROR(VLOOKUP(Form_Responses[[#This Row],[Município]],'Regiões Administrativas'!$A$1:$I$646,4,0),"")</f>
        <v>355430005000001</v>
      </c>
      <c r="AH32" s="1">
        <f>IFERROR(VLOOKUP(B32,'Regiões Administrativas'!$A$1:$I$646,5,0),"")</f>
        <v>3554300</v>
      </c>
      <c r="AI32" s="1">
        <f>IFERROR(VLOOKUP(B32,'Regiões Administrativas'!$A$1:$I$646,6,0),"")</f>
        <v>-52.171194800000002</v>
      </c>
      <c r="AJ32" s="1">
        <f>IFERROR(VLOOKUP(B32,'Regiões Administrativas'!$A$1:$I$646,8,0),"")</f>
        <v>352.74982899999998</v>
      </c>
      <c r="AK32" s="1" t="str">
        <f>IFERROR(VLOOKUP(Form_Responses[[#This Row],[Município]],'Regiões Administrativas'!$A$1:$I$646,9,0),"")</f>
        <v>1J6RhG:@,eW&gt;</v>
      </c>
    </row>
    <row r="33" spans="1:37" ht="22.5" customHeight="1">
      <c r="A33" s="13">
        <v>46003.496676435185</v>
      </c>
      <c r="B33" s="1" t="s">
        <v>271</v>
      </c>
      <c r="C33" s="1" t="s">
        <v>272</v>
      </c>
      <c r="D33" s="1" t="s">
        <v>273</v>
      </c>
      <c r="E33" s="1" t="s">
        <v>274</v>
      </c>
      <c r="F33" s="1"/>
      <c r="G33" s="10" t="s">
        <v>275</v>
      </c>
      <c r="H33" s="10" t="s">
        <v>276</v>
      </c>
      <c r="I33" s="10" t="s">
        <v>81</v>
      </c>
      <c r="J33" s="7">
        <v>46291</v>
      </c>
      <c r="K33" s="7">
        <v>46292</v>
      </c>
      <c r="L33" s="11">
        <v>0.41666666666424135</v>
      </c>
      <c r="M33" s="11">
        <v>0.95833333333575865</v>
      </c>
      <c r="N33" s="1" t="s">
        <v>44</v>
      </c>
      <c r="O33" s="1" t="s">
        <v>45</v>
      </c>
      <c r="P33" s="1" t="s">
        <v>99</v>
      </c>
      <c r="Q33" s="1" t="s">
        <v>47</v>
      </c>
      <c r="R33" s="1" t="s">
        <v>74</v>
      </c>
      <c r="S33" s="8">
        <v>5000</v>
      </c>
      <c r="T33" s="8">
        <v>2500</v>
      </c>
      <c r="U33" s="8">
        <v>0</v>
      </c>
      <c r="V33" s="8">
        <v>0</v>
      </c>
      <c r="W33" s="1" t="s">
        <v>277</v>
      </c>
      <c r="X33" s="1" t="s">
        <v>278</v>
      </c>
      <c r="Y33" s="1" t="s">
        <v>279</v>
      </c>
      <c r="Z33" s="1" t="s">
        <v>224</v>
      </c>
      <c r="AA33" s="1" t="s">
        <v>113</v>
      </c>
      <c r="AB33" s="10" t="s">
        <v>66</v>
      </c>
      <c r="AC33" s="10" t="s">
        <v>68</v>
      </c>
      <c r="AD33" s="1" t="str">
        <f>IFERROR(VLOOKUP(B33,'Regiões Administrativas'!$A$1:$B$646,2,0),"")</f>
        <v>RMSP</v>
      </c>
      <c r="AE33" s="1">
        <f>IFERROR(VLOOKUP(Form_Responses[[#This Row],[Município]],'Regiões Administrativas'!$A$1:$I$646,3,0),"")</f>
        <v>16095</v>
      </c>
      <c r="AF33" s="1">
        <f>IFERROR(VLOOKUP(Form_Responses[[#This Row],[Município]],'Regiões Administrativas'!$A$1:$I$646,4,0),"")</f>
        <v>352220805000001</v>
      </c>
      <c r="AG33" s="1">
        <f>IFERROR(VLOOKUP(Form_Responses[[#This Row],[Município]],'Regiões Administrativas'!$A$1:$I$646,4,0),"")</f>
        <v>352220805000001</v>
      </c>
      <c r="AH33" s="1">
        <f>IFERROR(VLOOKUP(B33,'Regiões Administrativas'!$A$1:$I$646,5,0),"")</f>
        <v>3522208</v>
      </c>
      <c r="AI33" s="1">
        <f>IFERROR(VLOOKUP(B33,'Regiões Administrativas'!$A$1:$I$646,6,0),"")</f>
        <v>-46.850552</v>
      </c>
      <c r="AJ33" s="1">
        <f>IFERROR(VLOOKUP(B33,'Regiões Administrativas'!$A$1:$I$646,8,0),"")</f>
        <v>905.95026900000005</v>
      </c>
      <c r="AK33" s="1" t="str">
        <f>IFERROR(VLOOKUP(Form_Responses[[#This Row],[Município]],'Regiões Administrativas'!$A$1:$I$646,9,0),"")</f>
        <v>1J6to^L]J:6f</v>
      </c>
    </row>
    <row r="34" spans="1:37" ht="22.5" customHeight="1">
      <c r="A34" s="5">
        <v>46003.498647789354</v>
      </c>
      <c r="B34" s="1" t="s">
        <v>236</v>
      </c>
      <c r="C34" s="1" t="s">
        <v>237</v>
      </c>
      <c r="D34" s="1" t="s">
        <v>280</v>
      </c>
      <c r="E34" s="1" t="s">
        <v>281</v>
      </c>
      <c r="F34" s="1"/>
      <c r="G34" s="10" t="s">
        <v>282</v>
      </c>
      <c r="H34" s="72" t="s">
        <v>241</v>
      </c>
      <c r="I34" s="10" t="s">
        <v>109</v>
      </c>
      <c r="J34" s="7">
        <v>46101</v>
      </c>
      <c r="K34" s="7">
        <v>46103</v>
      </c>
      <c r="L34" s="11">
        <v>0.375</v>
      </c>
      <c r="M34" s="11">
        <v>0.16666666666424135</v>
      </c>
      <c r="N34" s="1" t="s">
        <v>110</v>
      </c>
      <c r="O34" s="1" t="s">
        <v>99</v>
      </c>
      <c r="P34" s="1" t="s">
        <v>99</v>
      </c>
      <c r="Q34" s="1" t="s">
        <v>47</v>
      </c>
      <c r="R34" s="1" t="s">
        <v>48</v>
      </c>
      <c r="S34" s="8">
        <v>10000</v>
      </c>
      <c r="T34" s="8">
        <v>5000</v>
      </c>
      <c r="U34" s="8">
        <v>2000</v>
      </c>
      <c r="V34" s="8">
        <v>800</v>
      </c>
      <c r="W34" s="1" t="s">
        <v>283</v>
      </c>
      <c r="X34" s="1"/>
      <c r="Y34" s="1" t="s">
        <v>243</v>
      </c>
      <c r="Z34" s="1" t="s">
        <v>224</v>
      </c>
      <c r="AA34" s="1" t="s">
        <v>244</v>
      </c>
      <c r="AB34" s="10" t="s">
        <v>66</v>
      </c>
      <c r="AC34" s="10" t="s">
        <v>68</v>
      </c>
      <c r="AD34" s="1" t="str">
        <f>IFERROR(VLOOKUP(B34,'Regiões Administrativas'!$A$1:$B$646,2,0),"")</f>
        <v>Presidente Prudente</v>
      </c>
      <c r="AE34" s="1">
        <f>IFERROR(VLOOKUP(Form_Responses[[#This Row],[Município]],'Regiões Administrativas'!$A$1:$I$646,3,0),"")</f>
        <v>17369</v>
      </c>
      <c r="AF34" s="1">
        <f>IFERROR(VLOOKUP(Form_Responses[[#This Row],[Município]],'Regiões Administrativas'!$A$1:$I$646,4,0),"")</f>
        <v>355430005000001</v>
      </c>
      <c r="AG34" s="1">
        <f>IFERROR(VLOOKUP(Form_Responses[[#This Row],[Município]],'Regiões Administrativas'!$A$1:$I$646,4,0),"")</f>
        <v>355430005000001</v>
      </c>
      <c r="AH34" s="1">
        <f>IFERROR(VLOOKUP(B34,'Regiões Administrativas'!$A$1:$I$646,5,0),"")</f>
        <v>3554300</v>
      </c>
      <c r="AI34" s="1">
        <f>IFERROR(VLOOKUP(B34,'Regiões Administrativas'!$A$1:$I$646,6,0),"")</f>
        <v>-52.171194800000002</v>
      </c>
      <c r="AJ34" s="1">
        <f>IFERROR(VLOOKUP(B34,'Regiões Administrativas'!$A$1:$I$646,8,0),"")</f>
        <v>352.74982899999998</v>
      </c>
      <c r="AK34" s="1" t="str">
        <f>IFERROR(VLOOKUP(Form_Responses[[#This Row],[Município]],'Regiões Administrativas'!$A$1:$I$646,9,0),"")</f>
        <v>1J6RhG:@,eW&gt;</v>
      </c>
    </row>
    <row r="35" spans="1:37" ht="22.5" customHeight="1">
      <c r="A35" s="5">
        <v>46003.504315138889</v>
      </c>
      <c r="B35" s="1" t="s">
        <v>271</v>
      </c>
      <c r="C35" s="1" t="s">
        <v>272</v>
      </c>
      <c r="D35" s="1" t="s">
        <v>284</v>
      </c>
      <c r="E35" s="1" t="s">
        <v>285</v>
      </c>
      <c r="F35" s="1"/>
      <c r="G35" s="10" t="s">
        <v>286</v>
      </c>
      <c r="H35" s="10" t="s">
        <v>276</v>
      </c>
      <c r="I35" s="10" t="s">
        <v>220</v>
      </c>
      <c r="J35" s="7">
        <v>46172</v>
      </c>
      <c r="K35" s="7">
        <v>46173</v>
      </c>
      <c r="L35" s="11">
        <v>0.45833333333575865</v>
      </c>
      <c r="M35" s="11">
        <v>0.95833333333575865</v>
      </c>
      <c r="N35" s="1" t="s">
        <v>268</v>
      </c>
      <c r="O35" s="1" t="s">
        <v>45</v>
      </c>
      <c r="P35" s="1" t="s">
        <v>235</v>
      </c>
      <c r="Q35" s="1" t="s">
        <v>47</v>
      </c>
      <c r="R35" s="1" t="s">
        <v>74</v>
      </c>
      <c r="S35" s="8">
        <v>5000</v>
      </c>
      <c r="T35" s="8">
        <v>4500</v>
      </c>
      <c r="U35" s="8">
        <v>0</v>
      </c>
      <c r="V35" s="8">
        <v>0</v>
      </c>
      <c r="W35" s="1" t="s">
        <v>287</v>
      </c>
      <c r="X35" s="1" t="s">
        <v>278</v>
      </c>
      <c r="Y35" s="1" t="s">
        <v>279</v>
      </c>
      <c r="Z35" s="1" t="s">
        <v>66</v>
      </c>
      <c r="AA35" s="1" t="s">
        <v>113</v>
      </c>
      <c r="AB35" s="10" t="s">
        <v>66</v>
      </c>
      <c r="AC35" s="10" t="s">
        <v>68</v>
      </c>
      <c r="AD35" s="1" t="str">
        <f>IFERROR(VLOOKUP(B35,'Regiões Administrativas'!$A$1:$B$646,2,0),"")</f>
        <v>RMSP</v>
      </c>
      <c r="AE35" s="1">
        <f>IFERROR(VLOOKUP(Form_Responses[[#This Row],[Município]],'Regiões Administrativas'!$A$1:$I$646,3,0),"")</f>
        <v>16095</v>
      </c>
      <c r="AF35" s="1">
        <f>IFERROR(VLOOKUP(Form_Responses[[#This Row],[Município]],'Regiões Administrativas'!$A$1:$I$646,4,0),"")</f>
        <v>352220805000001</v>
      </c>
      <c r="AG35" s="1">
        <f>IFERROR(VLOOKUP(Form_Responses[[#This Row],[Município]],'Regiões Administrativas'!$A$1:$I$646,4,0),"")</f>
        <v>352220805000001</v>
      </c>
      <c r="AH35" s="1">
        <f>IFERROR(VLOOKUP(B35,'Regiões Administrativas'!$A$1:$I$646,5,0),"")</f>
        <v>3522208</v>
      </c>
      <c r="AI35" s="1">
        <f>IFERROR(VLOOKUP(B35,'Regiões Administrativas'!$A$1:$I$646,6,0),"")</f>
        <v>-46.850552</v>
      </c>
      <c r="AJ35" s="1">
        <f>IFERROR(VLOOKUP(B35,'Regiões Administrativas'!$A$1:$I$646,8,0),"")</f>
        <v>905.95026900000005</v>
      </c>
      <c r="AK35" s="1" t="str">
        <f>IFERROR(VLOOKUP(Form_Responses[[#This Row],[Município]],'Regiões Administrativas'!$A$1:$I$646,9,0),"")</f>
        <v>1J6to^L]J:6f</v>
      </c>
    </row>
    <row r="36" spans="1:37" ht="22.5" customHeight="1">
      <c r="A36" s="13">
        <v>46003.614370636569</v>
      </c>
      <c r="B36" s="1" t="s">
        <v>198</v>
      </c>
      <c r="C36" s="1" t="s">
        <v>38</v>
      </c>
      <c r="D36" s="1" t="s">
        <v>288</v>
      </c>
      <c r="E36" s="1" t="s">
        <v>289</v>
      </c>
      <c r="F36" s="1"/>
      <c r="G36" s="10" t="s">
        <v>260</v>
      </c>
      <c r="H36" s="72" t="s">
        <v>290</v>
      </c>
      <c r="I36" s="10" t="s">
        <v>43</v>
      </c>
      <c r="J36" s="7">
        <v>46235</v>
      </c>
      <c r="K36" s="7">
        <v>46243</v>
      </c>
      <c r="L36" s="11">
        <v>0.83333333333575865</v>
      </c>
      <c r="M36" s="11">
        <v>0.99930555555329192</v>
      </c>
      <c r="N36" s="1" t="s">
        <v>73</v>
      </c>
      <c r="O36" s="1" t="s">
        <v>45</v>
      </c>
      <c r="P36" s="1" t="s">
        <v>99</v>
      </c>
      <c r="Q36" s="1" t="s">
        <v>47</v>
      </c>
      <c r="R36" s="1" t="s">
        <v>48</v>
      </c>
      <c r="S36" s="8">
        <v>170000</v>
      </c>
      <c r="T36" s="8">
        <v>160000</v>
      </c>
      <c r="U36" s="8">
        <v>180000</v>
      </c>
      <c r="V36" s="8">
        <v>160000</v>
      </c>
      <c r="W36" s="1" t="s">
        <v>262</v>
      </c>
      <c r="X36" s="1"/>
      <c r="Y36" s="1" t="s">
        <v>205</v>
      </c>
      <c r="Z36" s="1" t="s">
        <v>76</v>
      </c>
      <c r="AA36" s="1" t="s">
        <v>263</v>
      </c>
      <c r="AB36" s="10" t="s">
        <v>207</v>
      </c>
      <c r="AC36" s="10" t="s">
        <v>68</v>
      </c>
      <c r="AD36" s="1" t="str">
        <f>IFERROR(VLOOKUP(B36,'Regiões Administrativas'!$A$1:$B$646,2,0),"")</f>
        <v>Barretos</v>
      </c>
      <c r="AE36" s="1">
        <f>IFERROR(VLOOKUP(Form_Responses[[#This Row],[Município]],'Regiões Administrativas'!$A$1:$I$646,3,0),"")</f>
        <v>16671</v>
      </c>
      <c r="AF36" s="1">
        <f>IFERROR(VLOOKUP(Form_Responses[[#This Row],[Município]],'Regiões Administrativas'!$A$1:$I$646,4,0),"")</f>
        <v>353390805000001</v>
      </c>
      <c r="AG36" s="1">
        <f>IFERROR(VLOOKUP(Form_Responses[[#This Row],[Município]],'Regiões Administrativas'!$A$1:$I$646,4,0),"")</f>
        <v>353390805000001</v>
      </c>
      <c r="AH36" s="1">
        <f>IFERROR(VLOOKUP(B36,'Regiões Administrativas'!$A$1:$I$646,5,0),"")</f>
        <v>3533908</v>
      </c>
      <c r="AI36" s="1">
        <f>IFERROR(VLOOKUP(B36,'Regiões Administrativas'!$A$1:$I$646,6,0),"")</f>
        <v>-48.913491700000002</v>
      </c>
      <c r="AJ36" s="1">
        <f>IFERROR(VLOOKUP(B36,'Regiões Administrativas'!$A$1:$I$646,8,0),"")</f>
        <v>500.315541</v>
      </c>
      <c r="AK36" s="1" t="str">
        <f>IFERROR(VLOOKUP(Form_Responses[[#This Row],[Município]],'Regiões Administrativas'!$A$1:$I$646,9,0),"")</f>
        <v>1J6RdQ4;ieE-</v>
      </c>
    </row>
    <row r="37" spans="1:37" ht="22.5" customHeight="1">
      <c r="A37" s="13">
        <v>46003.624167106478</v>
      </c>
      <c r="B37" s="1" t="s">
        <v>291</v>
      </c>
      <c r="C37" s="1" t="s">
        <v>103</v>
      </c>
      <c r="D37" s="1" t="s">
        <v>292</v>
      </c>
      <c r="E37" s="1" t="s">
        <v>293</v>
      </c>
      <c r="F37" s="1"/>
      <c r="G37" s="10" t="s">
        <v>294</v>
      </c>
      <c r="I37" s="10" t="s">
        <v>162</v>
      </c>
      <c r="J37" s="7">
        <v>46022</v>
      </c>
      <c r="K37" s="7">
        <v>46023</v>
      </c>
      <c r="L37" s="11">
        <v>0.95833333333575865</v>
      </c>
      <c r="M37" s="11">
        <v>8.3333333335758653E-2</v>
      </c>
      <c r="N37" s="1" t="s">
        <v>44</v>
      </c>
      <c r="O37" s="1" t="s">
        <v>99</v>
      </c>
      <c r="P37" s="1" t="s">
        <v>180</v>
      </c>
      <c r="Q37" s="1" t="s">
        <v>47</v>
      </c>
      <c r="R37" s="1" t="s">
        <v>74</v>
      </c>
      <c r="S37" s="8">
        <v>3000</v>
      </c>
      <c r="T37" s="8">
        <v>2500</v>
      </c>
      <c r="U37" s="8">
        <v>2000</v>
      </c>
      <c r="V37" s="8">
        <v>2000</v>
      </c>
      <c r="W37" s="1" t="s">
        <v>295</v>
      </c>
      <c r="X37" s="1"/>
      <c r="Y37" s="1">
        <v>17996425082</v>
      </c>
      <c r="Z37" s="1" t="s">
        <v>296</v>
      </c>
      <c r="AA37" s="1" t="s">
        <v>297</v>
      </c>
      <c r="AB37" s="10" t="s">
        <v>66</v>
      </c>
      <c r="AC37" s="10" t="s">
        <v>68</v>
      </c>
      <c r="AD37" s="1" t="str">
        <f>IFERROR(VLOOKUP(B37,'Regiões Administrativas'!$A$1:$B$646,2,0),"")</f>
        <v>São José do Rio Preto</v>
      </c>
      <c r="AE37" s="1">
        <f>IFERROR(VLOOKUP(Form_Responses[[#This Row],[Município]],'Regiões Administrativas'!$A$1:$I$646,3,0),"")</f>
        <v>17043</v>
      </c>
      <c r="AF37" s="1">
        <f>IFERROR(VLOOKUP(Form_Responses[[#This Row],[Município]],'Regiões Administrativas'!$A$1:$I$646,4,0),"")</f>
        <v>354570405000001</v>
      </c>
      <c r="AG37" s="1">
        <f>IFERROR(VLOOKUP(Form_Responses[[#This Row],[Município]],'Regiões Administrativas'!$A$1:$I$646,4,0),"")</f>
        <v>354570405000001</v>
      </c>
      <c r="AH37" s="1">
        <f>IFERROR(VLOOKUP(B37,'Regiões Administrativas'!$A$1:$I$646,5,0),"")</f>
        <v>3545704</v>
      </c>
      <c r="AI37" s="1">
        <f>IFERROR(VLOOKUP(B37,'Regiões Administrativas'!$A$1:$I$646,6,0),"")</f>
        <v>-50.730564399999999</v>
      </c>
      <c r="AJ37" s="1">
        <f>IFERROR(VLOOKUP(B37,'Regiões Administrativas'!$A$1:$I$646,8,0),"")</f>
        <v>418.52105299999999</v>
      </c>
      <c r="AK37" s="1" t="str">
        <f>IFERROR(VLOOKUP(Form_Responses[[#This Row],[Município]],'Regiões Administrativas'!$A$1:$I$646,9,0),"")</f>
        <v>1J6R@AKYe3Dp</v>
      </c>
    </row>
    <row r="38" spans="1:37" ht="22.5" customHeight="1">
      <c r="A38" s="5">
        <v>46003.629017835643</v>
      </c>
      <c r="B38" s="1" t="s">
        <v>236</v>
      </c>
      <c r="C38" s="1" t="s">
        <v>237</v>
      </c>
      <c r="D38" s="1" t="s">
        <v>298</v>
      </c>
      <c r="E38" s="1" t="s">
        <v>299</v>
      </c>
      <c r="F38" s="1"/>
      <c r="G38" s="10" t="s">
        <v>300</v>
      </c>
      <c r="H38" s="10" t="s">
        <v>301</v>
      </c>
      <c r="I38" s="10" t="s">
        <v>128</v>
      </c>
      <c r="J38" s="7">
        <v>46115</v>
      </c>
      <c r="K38" s="7">
        <v>46115</v>
      </c>
      <c r="L38" s="11">
        <v>0.79166666666424135</v>
      </c>
      <c r="M38" s="1"/>
      <c r="N38" s="1" t="s">
        <v>44</v>
      </c>
      <c r="O38" s="1" t="s">
        <v>221</v>
      </c>
      <c r="P38" s="1" t="s">
        <v>302</v>
      </c>
      <c r="Q38" s="1" t="s">
        <v>47</v>
      </c>
      <c r="R38" s="1" t="s">
        <v>48</v>
      </c>
      <c r="S38" s="8">
        <v>15000</v>
      </c>
      <c r="T38" s="12" t="s">
        <v>303</v>
      </c>
      <c r="U38" s="8">
        <v>9000</v>
      </c>
      <c r="V38" s="8">
        <v>8000</v>
      </c>
      <c r="W38" s="1" t="s">
        <v>304</v>
      </c>
      <c r="X38" s="1"/>
      <c r="Y38" s="1" t="s">
        <v>305</v>
      </c>
      <c r="Z38" s="1" t="s">
        <v>76</v>
      </c>
      <c r="AA38" s="1" t="s">
        <v>67</v>
      </c>
      <c r="AB38" s="10" t="s">
        <v>306</v>
      </c>
      <c r="AC38" s="10" t="s">
        <v>68</v>
      </c>
      <c r="AD38" s="1" t="str">
        <f>IFERROR(VLOOKUP(B38,'Regiões Administrativas'!$A$1:$B$646,2,0),"")</f>
        <v>Presidente Prudente</v>
      </c>
      <c r="AE38" s="1">
        <f>IFERROR(VLOOKUP(Form_Responses[[#This Row],[Município]],'Regiões Administrativas'!$A$1:$I$646,3,0),"")</f>
        <v>17369</v>
      </c>
      <c r="AF38" s="1">
        <f>IFERROR(VLOOKUP(Form_Responses[[#This Row],[Município]],'Regiões Administrativas'!$A$1:$I$646,4,0),"")</f>
        <v>355430005000001</v>
      </c>
      <c r="AG38" s="1">
        <f>IFERROR(VLOOKUP(Form_Responses[[#This Row],[Município]],'Regiões Administrativas'!$A$1:$I$646,4,0),"")</f>
        <v>355430005000001</v>
      </c>
      <c r="AH38" s="1">
        <f>IFERROR(VLOOKUP(B38,'Regiões Administrativas'!$A$1:$I$646,5,0),"")</f>
        <v>3554300</v>
      </c>
      <c r="AI38" s="1">
        <f>IFERROR(VLOOKUP(B38,'Regiões Administrativas'!$A$1:$I$646,6,0),"")</f>
        <v>-52.171194800000002</v>
      </c>
      <c r="AJ38" s="1">
        <f>IFERROR(VLOOKUP(B38,'Regiões Administrativas'!$A$1:$I$646,8,0),"")</f>
        <v>352.74982899999998</v>
      </c>
      <c r="AK38" s="1" t="str">
        <f>IFERROR(VLOOKUP(Form_Responses[[#This Row],[Município]],'Regiões Administrativas'!$A$1:$I$646,9,0),"")</f>
        <v>1J6RhG:@,eW&gt;</v>
      </c>
    </row>
    <row r="39" spans="1:37" ht="22.5" customHeight="1">
      <c r="A39" s="13">
        <v>46003.691340868056</v>
      </c>
      <c r="B39" s="1" t="s">
        <v>236</v>
      </c>
      <c r="C39" s="1" t="s">
        <v>237</v>
      </c>
      <c r="D39" s="1" t="s">
        <v>307</v>
      </c>
      <c r="E39" s="1" t="s">
        <v>308</v>
      </c>
      <c r="F39" s="1"/>
      <c r="G39" s="10" t="s">
        <v>309</v>
      </c>
      <c r="I39" s="10" t="s">
        <v>60</v>
      </c>
      <c r="J39" s="7">
        <v>46174</v>
      </c>
      <c r="K39" s="7">
        <v>46180</v>
      </c>
      <c r="L39" s="1"/>
      <c r="M39" s="1"/>
      <c r="N39" s="1" t="s">
        <v>98</v>
      </c>
      <c r="O39" s="1" t="s">
        <v>310</v>
      </c>
      <c r="P39" s="1" t="s">
        <v>63</v>
      </c>
      <c r="Q39" s="1" t="s">
        <v>47</v>
      </c>
      <c r="R39" s="1" t="s">
        <v>48</v>
      </c>
      <c r="S39" s="8">
        <v>2000</v>
      </c>
      <c r="T39" s="8"/>
      <c r="U39" s="8"/>
      <c r="V39" s="8"/>
      <c r="W39" s="1" t="s">
        <v>311</v>
      </c>
      <c r="X39" s="1"/>
      <c r="Y39" s="1" t="s">
        <v>243</v>
      </c>
      <c r="Z39" s="1" t="s">
        <v>66</v>
      </c>
      <c r="AA39" s="1" t="s">
        <v>244</v>
      </c>
      <c r="AB39" s="10" t="s">
        <v>66</v>
      </c>
      <c r="AC39" s="10" t="s">
        <v>94</v>
      </c>
      <c r="AD39" s="1" t="str">
        <f>IFERROR(VLOOKUP(B39,'Regiões Administrativas'!$A$1:$B$646,2,0),"")</f>
        <v>Presidente Prudente</v>
      </c>
      <c r="AE39" s="1">
        <f>IFERROR(VLOOKUP(Form_Responses[[#This Row],[Município]],'Regiões Administrativas'!$A$1:$I$646,3,0),"")</f>
        <v>17369</v>
      </c>
      <c r="AF39" s="1">
        <f>IFERROR(VLOOKUP(Form_Responses[[#This Row],[Município]],'Regiões Administrativas'!$A$1:$I$646,4,0),"")</f>
        <v>355430005000001</v>
      </c>
      <c r="AG39" s="1">
        <f>IFERROR(VLOOKUP(Form_Responses[[#This Row],[Município]],'Regiões Administrativas'!$A$1:$I$646,4,0),"")</f>
        <v>355430005000001</v>
      </c>
      <c r="AH39" s="1">
        <f>IFERROR(VLOOKUP(B39,'Regiões Administrativas'!$A$1:$I$646,5,0),"")</f>
        <v>3554300</v>
      </c>
      <c r="AI39" s="1">
        <f>IFERROR(VLOOKUP(B39,'Regiões Administrativas'!$A$1:$I$646,6,0),"")</f>
        <v>-52.171194800000002</v>
      </c>
      <c r="AJ39" s="1">
        <f>IFERROR(VLOOKUP(B39,'Regiões Administrativas'!$A$1:$I$646,8,0),"")</f>
        <v>352.74982899999998</v>
      </c>
      <c r="AK39" s="1" t="str">
        <f>IFERROR(VLOOKUP(Form_Responses[[#This Row],[Município]],'Regiões Administrativas'!$A$1:$I$646,9,0),"")</f>
        <v>1J6RhG:@,eW&gt;</v>
      </c>
    </row>
    <row r="40" spans="1:37" ht="22.5" customHeight="1">
      <c r="A40" s="13">
        <v>46003.700562511571</v>
      </c>
      <c r="B40" s="1" t="s">
        <v>312</v>
      </c>
      <c r="C40" s="1" t="s">
        <v>237</v>
      </c>
      <c r="D40" s="1" t="s">
        <v>313</v>
      </c>
      <c r="E40" s="1" t="s">
        <v>314</v>
      </c>
      <c r="F40" s="1"/>
      <c r="G40" s="10" t="s">
        <v>315</v>
      </c>
      <c r="H40" s="10" t="s">
        <v>316</v>
      </c>
      <c r="I40" s="10" t="s">
        <v>197</v>
      </c>
      <c r="J40" s="7">
        <v>46347</v>
      </c>
      <c r="K40" s="7">
        <v>46393</v>
      </c>
      <c r="L40" s="11">
        <v>0.85416666666424135</v>
      </c>
      <c r="M40" s="11">
        <v>8.3333333335758653E-2</v>
      </c>
      <c r="N40" s="1" t="s">
        <v>44</v>
      </c>
      <c r="O40" s="1" t="s">
        <v>45</v>
      </c>
      <c r="P40" s="1" t="s">
        <v>251</v>
      </c>
      <c r="Q40" s="1" t="s">
        <v>47</v>
      </c>
      <c r="R40" s="1" t="s">
        <v>74</v>
      </c>
      <c r="S40" s="8">
        <v>4000</v>
      </c>
      <c r="T40" s="8">
        <v>3000</v>
      </c>
      <c r="U40" s="8">
        <v>2500</v>
      </c>
      <c r="V40" s="8">
        <v>2500</v>
      </c>
      <c r="W40" s="1" t="s">
        <v>295</v>
      </c>
      <c r="X40" s="1"/>
      <c r="Y40" s="1" t="s">
        <v>317</v>
      </c>
      <c r="Z40" s="1" t="s">
        <v>76</v>
      </c>
      <c r="AA40" s="1" t="s">
        <v>113</v>
      </c>
      <c r="AB40" s="10" t="s">
        <v>318</v>
      </c>
      <c r="AC40" s="10" t="s">
        <v>68</v>
      </c>
      <c r="AD40" s="1" t="str">
        <f>IFERROR(VLOOKUP(B40,'Regiões Administrativas'!$A$1:$B$646,2,0),"")</f>
        <v>Araçatuba</v>
      </c>
      <c r="AE40" s="1">
        <f>IFERROR(VLOOKUP(Form_Responses[[#This Row],[Município]],'Regiões Administrativas'!$A$1:$I$646,3,0),"")</f>
        <v>17328</v>
      </c>
      <c r="AF40" s="1">
        <f>IFERROR(VLOOKUP(Form_Responses[[#This Row],[Município]],'Regiões Administrativas'!$A$1:$I$646,4,0),"")</f>
        <v>355255105000001</v>
      </c>
      <c r="AG40" s="1">
        <f>IFERROR(VLOOKUP(Form_Responses[[#This Row],[Município]],'Regiões Administrativas'!$A$1:$I$646,4,0),"")</f>
        <v>355255105000001</v>
      </c>
      <c r="AH40" s="1">
        <f>IFERROR(VLOOKUP(B40,'Regiões Administrativas'!$A$1:$I$646,5,0),"")</f>
        <v>3552551</v>
      </c>
      <c r="AI40" s="1">
        <f>IFERROR(VLOOKUP(B40,'Regiões Administrativas'!$A$1:$I$646,6,0),"")</f>
        <v>-51.028222599999999</v>
      </c>
      <c r="AJ40" s="1">
        <f>IFERROR(VLOOKUP(B40,'Regiões Administrativas'!$A$1:$I$646,8,0),"")</f>
        <v>353.76624299999997</v>
      </c>
      <c r="AK40" s="1" t="str">
        <f>IFERROR(VLOOKUP(Form_Responses[[#This Row],[Município]],'Regiões Administrativas'!$A$1:$I$646,9,0),"")</f>
        <v>1J6R+,1..&lt;Mp</v>
      </c>
    </row>
    <row r="41" spans="1:37" ht="22.5" customHeight="1">
      <c r="A41" s="13">
        <v>46003.700897962961</v>
      </c>
      <c r="B41" s="1" t="s">
        <v>198</v>
      </c>
      <c r="C41" s="1" t="s">
        <v>38</v>
      </c>
      <c r="D41" s="1" t="s">
        <v>319</v>
      </c>
      <c r="E41" s="1" t="s">
        <v>320</v>
      </c>
      <c r="F41" s="1"/>
      <c r="G41" s="10" t="s">
        <v>321</v>
      </c>
      <c r="H41" s="72" t="s">
        <v>322</v>
      </c>
      <c r="I41" s="10" t="s">
        <v>255</v>
      </c>
      <c r="J41" s="7">
        <v>46298</v>
      </c>
      <c r="K41" s="7">
        <v>46307</v>
      </c>
      <c r="L41" s="11">
        <v>0.79166666666424135</v>
      </c>
      <c r="M41" s="11">
        <v>0.99930555555329192</v>
      </c>
      <c r="N41" s="1" t="s">
        <v>44</v>
      </c>
      <c r="O41" s="1" t="s">
        <v>221</v>
      </c>
      <c r="P41" s="1" t="s">
        <v>221</v>
      </c>
      <c r="Q41" s="1" t="s">
        <v>47</v>
      </c>
      <c r="R41" s="1" t="s">
        <v>48</v>
      </c>
      <c r="S41" s="8">
        <v>12000</v>
      </c>
      <c r="T41" s="8">
        <v>10000</v>
      </c>
      <c r="U41" s="8">
        <v>8000</v>
      </c>
      <c r="V41" s="8">
        <v>10000</v>
      </c>
      <c r="W41" s="1" t="s">
        <v>323</v>
      </c>
      <c r="X41" s="1"/>
      <c r="Y41" s="1" t="s">
        <v>324</v>
      </c>
      <c r="Z41" s="1" t="s">
        <v>76</v>
      </c>
      <c r="AA41" s="1" t="s">
        <v>101</v>
      </c>
      <c r="AB41" s="10" t="s">
        <v>66</v>
      </c>
      <c r="AC41" s="10" t="s">
        <v>68</v>
      </c>
      <c r="AD41" s="1" t="str">
        <f>IFERROR(VLOOKUP(B41,'Regiões Administrativas'!$A$1:$B$646,2,0),"")</f>
        <v>Barretos</v>
      </c>
      <c r="AE41" s="1">
        <f>IFERROR(VLOOKUP(Form_Responses[[#This Row],[Município]],'Regiões Administrativas'!$A$1:$I$646,3,0),"")</f>
        <v>16671</v>
      </c>
      <c r="AF41" s="1">
        <f>IFERROR(VLOOKUP(Form_Responses[[#This Row],[Município]],'Regiões Administrativas'!$A$1:$I$646,4,0),"")</f>
        <v>353390805000001</v>
      </c>
      <c r="AG41" s="1">
        <f>IFERROR(VLOOKUP(Form_Responses[[#This Row],[Município]],'Regiões Administrativas'!$A$1:$I$646,4,0),"")</f>
        <v>353390805000001</v>
      </c>
      <c r="AH41" s="1">
        <f>IFERROR(VLOOKUP(B41,'Regiões Administrativas'!$A$1:$I$646,5,0),"")</f>
        <v>3533908</v>
      </c>
      <c r="AI41" s="1">
        <f>IFERROR(VLOOKUP(B41,'Regiões Administrativas'!$A$1:$I$646,6,0),"")</f>
        <v>-48.913491700000002</v>
      </c>
      <c r="AJ41" s="1">
        <f>IFERROR(VLOOKUP(B41,'Regiões Administrativas'!$A$1:$I$646,8,0),"")</f>
        <v>500.315541</v>
      </c>
      <c r="AK41" s="1" t="str">
        <f>IFERROR(VLOOKUP(Form_Responses[[#This Row],[Município]],'Regiões Administrativas'!$A$1:$I$646,9,0),"")</f>
        <v>1J6RdQ4;ieE-</v>
      </c>
    </row>
    <row r="42" spans="1:37" ht="22.5" customHeight="1">
      <c r="A42" s="13">
        <v>46003.924964282407</v>
      </c>
      <c r="B42" s="1" t="s">
        <v>325</v>
      </c>
      <c r="C42" s="1" t="s">
        <v>326</v>
      </c>
      <c r="D42" s="1" t="s">
        <v>327</v>
      </c>
      <c r="E42" s="1" t="s">
        <v>328</v>
      </c>
      <c r="F42" s="1"/>
      <c r="G42" s="10" t="s">
        <v>329</v>
      </c>
      <c r="H42" s="72" t="s">
        <v>330</v>
      </c>
      <c r="I42" s="10" t="s">
        <v>162</v>
      </c>
      <c r="J42" s="7">
        <v>46366</v>
      </c>
      <c r="K42" s="7">
        <v>46375</v>
      </c>
      <c r="L42" s="11">
        <v>0.79166666666424135</v>
      </c>
      <c r="M42" s="11">
        <v>0.91666666666424135</v>
      </c>
      <c r="N42" s="1" t="s">
        <v>73</v>
      </c>
      <c r="O42" s="1" t="s">
        <v>45</v>
      </c>
      <c r="P42" s="1" t="s">
        <v>251</v>
      </c>
      <c r="Q42" s="1" t="s">
        <v>47</v>
      </c>
      <c r="R42" s="1" t="s">
        <v>74</v>
      </c>
      <c r="S42" s="8">
        <v>15000</v>
      </c>
      <c r="T42" s="8">
        <v>10000</v>
      </c>
      <c r="U42" s="8">
        <v>10000</v>
      </c>
      <c r="V42" s="8">
        <v>10000</v>
      </c>
      <c r="W42" s="1" t="s">
        <v>331</v>
      </c>
      <c r="X42" s="1"/>
      <c r="Y42" s="1" t="s">
        <v>332</v>
      </c>
      <c r="Z42" s="1" t="s">
        <v>333</v>
      </c>
      <c r="AA42" s="1" t="s">
        <v>334</v>
      </c>
      <c r="AB42" s="10" t="s">
        <v>66</v>
      </c>
      <c r="AC42" s="10" t="s">
        <v>68</v>
      </c>
      <c r="AD42" s="1" t="str">
        <f>IFERROR(VLOOKUP(B42,'Regiões Administrativas'!$A$1:$B$646,2,0),"")</f>
        <v>Sorocaba</v>
      </c>
      <c r="AE42" s="1">
        <f>IFERROR(VLOOKUP(Form_Responses[[#This Row],[Município]],'Regiões Administrativas'!$A$1:$I$646,3,0),"")</f>
        <v>17030</v>
      </c>
      <c r="AF42" s="1">
        <f>IFERROR(VLOOKUP(Form_Responses[[#This Row],[Município]],'Regiões Administrativas'!$A$1:$I$646,4,0),"")</f>
        <v>354530805000001</v>
      </c>
      <c r="AG42" s="1">
        <f>IFERROR(VLOOKUP(Form_Responses[[#This Row],[Município]],'Regiões Administrativas'!$A$1:$I$646,4,0),"")</f>
        <v>354530805000001</v>
      </c>
      <c r="AH42" s="1">
        <f>IFERROR(VLOOKUP(B42,'Regiões Administrativas'!$A$1:$I$646,5,0),"")</f>
        <v>3545308</v>
      </c>
      <c r="AI42" s="1">
        <f>IFERROR(VLOOKUP(B42,'Regiões Administrativas'!$A$1:$I$646,6,0),"")</f>
        <v>-47.574680100000002</v>
      </c>
      <c r="AJ42" s="1">
        <f>IFERROR(VLOOKUP(B42,'Regiões Administrativas'!$A$1:$I$646,8,0),"")</f>
        <v>632.38720499999999</v>
      </c>
      <c r="AK42" s="1" t="str">
        <f>IFERROR(VLOOKUP(Form_Responses[[#This Row],[Município]],'Regiões Administrativas'!$A$1:$I$646,9,0),"")</f>
        <v>1J6tmdw\:J2p</v>
      </c>
    </row>
    <row r="43" spans="1:37" ht="22.5" customHeight="1">
      <c r="A43" s="5">
        <v>46006.382183738431</v>
      </c>
      <c r="B43" s="1" t="s">
        <v>335</v>
      </c>
      <c r="C43" s="1" t="s">
        <v>336</v>
      </c>
      <c r="D43" s="1" t="s">
        <v>337</v>
      </c>
      <c r="E43" s="1" t="s">
        <v>338</v>
      </c>
      <c r="F43" s="1"/>
      <c r="G43" s="10" t="s">
        <v>339</v>
      </c>
      <c r="H43" s="72" t="s">
        <v>340</v>
      </c>
      <c r="I43" s="10" t="s">
        <v>89</v>
      </c>
      <c r="J43" s="7">
        <v>46067</v>
      </c>
      <c r="K43" s="7">
        <v>46070</v>
      </c>
      <c r="L43" s="11">
        <v>0.66666666666424135</v>
      </c>
      <c r="M43" s="11">
        <v>0.91666666666424135</v>
      </c>
      <c r="N43" s="1" t="s">
        <v>44</v>
      </c>
      <c r="O43" s="1" t="s">
        <v>45</v>
      </c>
      <c r="P43" s="1" t="s">
        <v>90</v>
      </c>
      <c r="Q43" s="1" t="s">
        <v>47</v>
      </c>
      <c r="R43" s="1" t="s">
        <v>74</v>
      </c>
      <c r="S43" s="8">
        <v>6000</v>
      </c>
      <c r="T43" s="8">
        <v>5000</v>
      </c>
      <c r="U43" s="8">
        <v>4000</v>
      </c>
      <c r="V43" s="8">
        <v>4000</v>
      </c>
      <c r="W43" s="1" t="s">
        <v>341</v>
      </c>
      <c r="X43" s="1"/>
      <c r="Y43" s="1" t="s">
        <v>342</v>
      </c>
      <c r="Z43" s="1" t="s">
        <v>76</v>
      </c>
      <c r="AA43" s="1" t="s">
        <v>343</v>
      </c>
      <c r="AB43" s="10" t="s">
        <v>344</v>
      </c>
      <c r="AC43" s="10" t="s">
        <v>68</v>
      </c>
      <c r="AD43" s="1" t="str">
        <f>IFERROR(VLOOKUP(B43,'Regiões Administrativas'!$A$1:$B$646,2,0),"")</f>
        <v>Ribeirão Preto</v>
      </c>
      <c r="AE43" s="1">
        <f>IFERROR(VLOOKUP(Form_Responses[[#This Row],[Município]],'Regiões Administrativas'!$A$1:$I$646,3,0),"")</f>
        <v>15635</v>
      </c>
      <c r="AF43" s="1">
        <f>IFERROR(VLOOKUP(Form_Responses[[#This Row],[Município]],'Regiões Administrativas'!$A$1:$I$646,4,0),"")</f>
        <v>350780305000001</v>
      </c>
      <c r="AG43" s="1">
        <f>IFERROR(VLOOKUP(Form_Responses[[#This Row],[Município]],'Regiões Administrativas'!$A$1:$I$646,4,0),"")</f>
        <v>350780305000001</v>
      </c>
      <c r="AH43" s="1">
        <f>IFERROR(VLOOKUP(B43,'Regiões Administrativas'!$A$1:$I$646,5,0),"")</f>
        <v>3507803</v>
      </c>
      <c r="AI43" s="1">
        <f>IFERROR(VLOOKUP(B43,'Regiões Administrativas'!$A$1:$I$646,6,0),"")</f>
        <v>-47.656398000000003</v>
      </c>
      <c r="AJ43" s="1">
        <f>IFERROR(VLOOKUP(B43,'Regiões Administrativas'!$A$1:$I$646,8,0),"")</f>
        <v>863.03351599999996</v>
      </c>
      <c r="AK43" s="1" t="str">
        <f>IFERROR(VLOOKUP(Form_Responses[[#This Row],[Município]],'Regiões Administrativas'!$A$1:$I$646,9,0),"")</f>
        <v>1J6t\XJ:2{Rp</v>
      </c>
    </row>
    <row r="44" spans="1:37" ht="22.5" customHeight="1">
      <c r="A44" s="5">
        <v>46006.388758483794</v>
      </c>
      <c r="B44" s="1" t="s">
        <v>335</v>
      </c>
      <c r="C44" s="1" t="s">
        <v>336</v>
      </c>
      <c r="D44" s="1" t="s">
        <v>345</v>
      </c>
      <c r="E44" s="1" t="s">
        <v>346</v>
      </c>
      <c r="F44" s="1"/>
      <c r="G44" s="10" t="s">
        <v>347</v>
      </c>
      <c r="H44" s="72" t="s">
        <v>340</v>
      </c>
      <c r="I44" s="10" t="s">
        <v>128</v>
      </c>
      <c r="J44" s="7">
        <v>46142</v>
      </c>
      <c r="K44" s="7">
        <v>46145</v>
      </c>
      <c r="L44" s="11">
        <v>0.79166666666424135</v>
      </c>
      <c r="M44" s="11">
        <v>0</v>
      </c>
      <c r="N44" s="1" t="s">
        <v>44</v>
      </c>
      <c r="O44" s="1" t="s">
        <v>45</v>
      </c>
      <c r="P44" s="1" t="s">
        <v>221</v>
      </c>
      <c r="Q44" s="1" t="s">
        <v>47</v>
      </c>
      <c r="R44" s="1" t="s">
        <v>48</v>
      </c>
      <c r="S44" s="8">
        <v>10000</v>
      </c>
      <c r="T44" s="8">
        <v>8000</v>
      </c>
      <c r="U44" s="8">
        <v>7000</v>
      </c>
      <c r="V44" s="8">
        <v>7000</v>
      </c>
      <c r="W44" s="1" t="s">
        <v>341</v>
      </c>
      <c r="X44" s="1"/>
      <c r="Y44" s="1" t="s">
        <v>342</v>
      </c>
      <c r="Z44" s="1" t="s">
        <v>76</v>
      </c>
      <c r="AA44" s="1" t="s">
        <v>93</v>
      </c>
      <c r="AB44" s="10" t="s">
        <v>344</v>
      </c>
      <c r="AC44" s="10" t="s">
        <v>68</v>
      </c>
      <c r="AD44" s="1" t="str">
        <f>IFERROR(VLOOKUP(B44,'Regiões Administrativas'!$A$1:$B$646,2,0),"")</f>
        <v>Ribeirão Preto</v>
      </c>
      <c r="AE44" s="1">
        <f>IFERROR(VLOOKUP(Form_Responses[[#This Row],[Município]],'Regiões Administrativas'!$A$1:$I$646,3,0),"")</f>
        <v>15635</v>
      </c>
      <c r="AF44" s="1">
        <f>IFERROR(VLOOKUP(Form_Responses[[#This Row],[Município]],'Regiões Administrativas'!$A$1:$I$646,4,0),"")</f>
        <v>350780305000001</v>
      </c>
      <c r="AG44" s="1">
        <f>IFERROR(VLOOKUP(Form_Responses[[#This Row],[Município]],'Regiões Administrativas'!$A$1:$I$646,4,0),"")</f>
        <v>350780305000001</v>
      </c>
      <c r="AH44" s="1">
        <f>IFERROR(VLOOKUP(B44,'Regiões Administrativas'!$A$1:$I$646,5,0),"")</f>
        <v>3507803</v>
      </c>
      <c r="AI44" s="1">
        <f>IFERROR(VLOOKUP(B44,'Regiões Administrativas'!$A$1:$I$646,6,0),"")</f>
        <v>-47.656398000000003</v>
      </c>
      <c r="AJ44" s="1">
        <f>IFERROR(VLOOKUP(B44,'Regiões Administrativas'!$A$1:$I$646,8,0),"")</f>
        <v>863.03351599999996</v>
      </c>
      <c r="AK44" s="1" t="str">
        <f>IFERROR(VLOOKUP(Form_Responses[[#This Row],[Município]],'Regiões Administrativas'!$A$1:$I$646,9,0),"")</f>
        <v>1J6t\XJ:2{Rp</v>
      </c>
    </row>
    <row r="45" spans="1:37" ht="22.5" customHeight="1">
      <c r="A45" s="13">
        <v>46006.391725416666</v>
      </c>
      <c r="B45" s="1" t="s">
        <v>236</v>
      </c>
      <c r="C45" s="1" t="s">
        <v>237</v>
      </c>
      <c r="D45" s="1" t="s">
        <v>348</v>
      </c>
      <c r="E45" s="1" t="s">
        <v>349</v>
      </c>
      <c r="F45" s="1" t="s">
        <v>350</v>
      </c>
      <c r="G45" s="10" t="s">
        <v>351</v>
      </c>
      <c r="H45" s="72" t="s">
        <v>352</v>
      </c>
      <c r="I45" s="10" t="s">
        <v>43</v>
      </c>
      <c r="J45" s="7">
        <v>46235</v>
      </c>
      <c r="K45" s="7">
        <v>46257</v>
      </c>
      <c r="L45" s="1"/>
      <c r="M45" s="1"/>
      <c r="N45" s="1" t="s">
        <v>98</v>
      </c>
      <c r="O45" s="1" t="s">
        <v>310</v>
      </c>
      <c r="P45" s="1" t="s">
        <v>99</v>
      </c>
      <c r="Q45" s="1" t="s">
        <v>47</v>
      </c>
      <c r="R45" s="1" t="s">
        <v>256</v>
      </c>
      <c r="S45" s="8">
        <v>1000</v>
      </c>
      <c r="T45" s="8">
        <v>500</v>
      </c>
      <c r="U45" s="8"/>
      <c r="V45" s="8"/>
      <c r="W45" s="1" t="s">
        <v>353</v>
      </c>
      <c r="X45" s="1"/>
      <c r="Y45" s="1" t="s">
        <v>243</v>
      </c>
      <c r="Z45" s="1" t="s">
        <v>333</v>
      </c>
      <c r="AA45" s="1" t="s">
        <v>244</v>
      </c>
      <c r="AB45" s="10" t="s">
        <v>66</v>
      </c>
      <c r="AC45" s="10" t="s">
        <v>354</v>
      </c>
      <c r="AD45" s="1" t="str">
        <f>IFERROR(VLOOKUP(B45,'Regiões Administrativas'!$A$1:$B$646,2,0),"")</f>
        <v>Presidente Prudente</v>
      </c>
      <c r="AE45" s="1">
        <f>IFERROR(VLOOKUP(Form_Responses[[#This Row],[Município]],'Regiões Administrativas'!$A$1:$I$646,3,0),"")</f>
        <v>17369</v>
      </c>
      <c r="AF45" s="1">
        <f>IFERROR(VLOOKUP(Form_Responses[[#This Row],[Município]],'Regiões Administrativas'!$A$1:$I$646,4,0),"")</f>
        <v>355430005000001</v>
      </c>
      <c r="AG45" s="1">
        <f>IFERROR(VLOOKUP(Form_Responses[[#This Row],[Município]],'Regiões Administrativas'!$A$1:$I$646,4,0),"")</f>
        <v>355430005000001</v>
      </c>
      <c r="AH45" s="1">
        <f>IFERROR(VLOOKUP(B45,'Regiões Administrativas'!$A$1:$I$646,5,0),"")</f>
        <v>3554300</v>
      </c>
      <c r="AI45" s="1">
        <f>IFERROR(VLOOKUP(B45,'Regiões Administrativas'!$A$1:$I$646,6,0),"")</f>
        <v>-52.171194800000002</v>
      </c>
      <c r="AJ45" s="1">
        <f>IFERROR(VLOOKUP(B45,'Regiões Administrativas'!$A$1:$I$646,8,0),"")</f>
        <v>352.74982899999998</v>
      </c>
      <c r="AK45" s="1" t="str">
        <f>IFERROR(VLOOKUP(Form_Responses[[#This Row],[Município]],'Regiões Administrativas'!$A$1:$I$646,9,0),"")</f>
        <v>1J6RhG:@,eW&gt;</v>
      </c>
    </row>
    <row r="46" spans="1:37" ht="22.5" customHeight="1">
      <c r="A46" s="13">
        <v>46006.395642731484</v>
      </c>
      <c r="B46" s="1" t="s">
        <v>335</v>
      </c>
      <c r="C46" s="1" t="s">
        <v>336</v>
      </c>
      <c r="D46" s="1" t="s">
        <v>355</v>
      </c>
      <c r="E46" s="1" t="s">
        <v>356</v>
      </c>
      <c r="F46" s="1" t="s">
        <v>357</v>
      </c>
      <c r="G46" s="10" t="s">
        <v>358</v>
      </c>
      <c r="H46" s="72" t="s">
        <v>359</v>
      </c>
      <c r="I46" s="10" t="s">
        <v>43</v>
      </c>
      <c r="J46" s="7">
        <v>46249</v>
      </c>
      <c r="K46" s="7">
        <v>46257</v>
      </c>
      <c r="L46" s="11">
        <v>0.375</v>
      </c>
      <c r="M46" s="11">
        <v>0.95833333333575865</v>
      </c>
      <c r="N46" s="1" t="s">
        <v>44</v>
      </c>
      <c r="O46" s="1" t="s">
        <v>45</v>
      </c>
      <c r="P46" s="1" t="s">
        <v>99</v>
      </c>
      <c r="Q46" s="1" t="s">
        <v>47</v>
      </c>
      <c r="R46" s="1" t="s">
        <v>230</v>
      </c>
      <c r="S46" s="8">
        <v>25000</v>
      </c>
      <c r="T46" s="8">
        <v>20000</v>
      </c>
      <c r="U46" s="8">
        <v>18000</v>
      </c>
      <c r="V46" s="8">
        <v>18000</v>
      </c>
      <c r="W46" s="1" t="s">
        <v>360</v>
      </c>
      <c r="X46" s="1"/>
      <c r="Y46" s="1" t="s">
        <v>342</v>
      </c>
      <c r="Z46" s="1" t="s">
        <v>361</v>
      </c>
      <c r="AA46" s="1" t="s">
        <v>362</v>
      </c>
      <c r="AB46" s="10" t="s">
        <v>318</v>
      </c>
      <c r="AC46" s="10" t="s">
        <v>68</v>
      </c>
      <c r="AD46" s="1" t="str">
        <f>IFERROR(VLOOKUP(B46,'Regiões Administrativas'!$A$1:$B$646,2,0),"")</f>
        <v>Ribeirão Preto</v>
      </c>
      <c r="AE46" s="1">
        <f>IFERROR(VLOOKUP(Form_Responses[[#This Row],[Município]],'Regiões Administrativas'!$A$1:$I$646,3,0),"")</f>
        <v>15635</v>
      </c>
      <c r="AF46" s="1">
        <f>IFERROR(VLOOKUP(Form_Responses[[#This Row],[Município]],'Regiões Administrativas'!$A$1:$I$646,4,0),"")</f>
        <v>350780305000001</v>
      </c>
      <c r="AG46" s="1">
        <f>IFERROR(VLOOKUP(Form_Responses[[#This Row],[Município]],'Regiões Administrativas'!$A$1:$I$646,4,0),"")</f>
        <v>350780305000001</v>
      </c>
      <c r="AH46" s="1">
        <f>IFERROR(VLOOKUP(B46,'Regiões Administrativas'!$A$1:$I$646,5,0),"")</f>
        <v>3507803</v>
      </c>
      <c r="AI46" s="1">
        <f>IFERROR(VLOOKUP(B46,'Regiões Administrativas'!$A$1:$I$646,6,0),"")</f>
        <v>-47.656398000000003</v>
      </c>
      <c r="AJ46" s="1">
        <f>IFERROR(VLOOKUP(B46,'Regiões Administrativas'!$A$1:$I$646,8,0),"")</f>
        <v>863.03351599999996</v>
      </c>
      <c r="AK46" s="1" t="str">
        <f>IFERROR(VLOOKUP(Form_Responses[[#This Row],[Município]],'Regiões Administrativas'!$A$1:$I$646,9,0),"")</f>
        <v>1J6t\XJ:2{Rp</v>
      </c>
    </row>
    <row r="47" spans="1:37" ht="22.5" customHeight="1">
      <c r="A47" s="13">
        <v>46006.399825995366</v>
      </c>
      <c r="B47" s="1" t="s">
        <v>335</v>
      </c>
      <c r="C47" s="1" t="s">
        <v>336</v>
      </c>
      <c r="D47" s="1" t="s">
        <v>363</v>
      </c>
      <c r="E47" s="1" t="s">
        <v>364</v>
      </c>
      <c r="F47" s="1"/>
      <c r="G47" s="10" t="s">
        <v>358</v>
      </c>
      <c r="H47" s="72" t="s">
        <v>359</v>
      </c>
      <c r="I47" s="10" t="s">
        <v>43</v>
      </c>
      <c r="J47" s="7">
        <v>46254</v>
      </c>
      <c r="K47" s="7">
        <v>46257</v>
      </c>
      <c r="L47" s="11">
        <v>0.79166666666424135</v>
      </c>
      <c r="M47" s="11">
        <v>0</v>
      </c>
      <c r="N47" s="1" t="s">
        <v>44</v>
      </c>
      <c r="O47" s="1" t="s">
        <v>190</v>
      </c>
      <c r="P47" s="1" t="s">
        <v>99</v>
      </c>
      <c r="Q47" s="1" t="s">
        <v>365</v>
      </c>
      <c r="R47" s="1" t="s">
        <v>230</v>
      </c>
      <c r="S47" s="8">
        <v>15000</v>
      </c>
      <c r="T47" s="8">
        <v>10000</v>
      </c>
      <c r="U47" s="8">
        <v>5000</v>
      </c>
      <c r="V47" s="8"/>
      <c r="W47" s="1" t="s">
        <v>360</v>
      </c>
      <c r="X47" s="1"/>
      <c r="Y47" s="1" t="s">
        <v>342</v>
      </c>
      <c r="Z47" s="1" t="s">
        <v>361</v>
      </c>
      <c r="AA47" s="1" t="s">
        <v>366</v>
      </c>
      <c r="AB47" s="10" t="s">
        <v>318</v>
      </c>
      <c r="AC47" s="10" t="s">
        <v>68</v>
      </c>
      <c r="AD47" s="1" t="str">
        <f>IFERROR(VLOOKUP(B47,'Regiões Administrativas'!$A$1:$B$646,2,0),"")</f>
        <v>Ribeirão Preto</v>
      </c>
      <c r="AE47" s="1">
        <f>IFERROR(VLOOKUP(Form_Responses[[#This Row],[Município]],'Regiões Administrativas'!$A$1:$I$646,3,0),"")</f>
        <v>15635</v>
      </c>
      <c r="AF47" s="1">
        <f>IFERROR(VLOOKUP(Form_Responses[[#This Row],[Município]],'Regiões Administrativas'!$A$1:$I$646,4,0),"")</f>
        <v>350780305000001</v>
      </c>
      <c r="AG47" s="1">
        <f>IFERROR(VLOOKUP(Form_Responses[[#This Row],[Município]],'Regiões Administrativas'!$A$1:$I$646,4,0),"")</f>
        <v>350780305000001</v>
      </c>
      <c r="AH47" s="1">
        <f>IFERROR(VLOOKUP(B47,'Regiões Administrativas'!$A$1:$I$646,5,0),"")</f>
        <v>3507803</v>
      </c>
      <c r="AI47" s="1">
        <f>IFERROR(VLOOKUP(B47,'Regiões Administrativas'!$A$1:$I$646,6,0),"")</f>
        <v>-47.656398000000003</v>
      </c>
      <c r="AJ47" s="1">
        <f>IFERROR(VLOOKUP(B47,'Regiões Administrativas'!$A$1:$I$646,8,0),"")</f>
        <v>863.03351599999996</v>
      </c>
      <c r="AK47" s="1" t="str">
        <f>IFERROR(VLOOKUP(Form_Responses[[#This Row],[Município]],'Regiões Administrativas'!$A$1:$I$646,9,0),"")</f>
        <v>1J6t\XJ:2{Rp</v>
      </c>
    </row>
    <row r="48" spans="1:37" ht="22.5" customHeight="1">
      <c r="A48" s="13">
        <v>46006.438790034721</v>
      </c>
      <c r="B48" s="1" t="s">
        <v>367</v>
      </c>
      <c r="C48" s="1" t="s">
        <v>103</v>
      </c>
      <c r="D48" s="1" t="s">
        <v>368</v>
      </c>
      <c r="E48" s="1" t="s">
        <v>369</v>
      </c>
      <c r="F48" s="1"/>
      <c r="G48" s="10" t="s">
        <v>370</v>
      </c>
      <c r="H48" s="72" t="s">
        <v>371</v>
      </c>
      <c r="I48" s="10" t="s">
        <v>43</v>
      </c>
      <c r="J48" s="7">
        <v>45884</v>
      </c>
      <c r="K48" s="7">
        <v>45885</v>
      </c>
      <c r="L48" s="11">
        <v>0.91666666666424135</v>
      </c>
      <c r="M48" s="11">
        <v>0.16666666666424135</v>
      </c>
      <c r="N48" s="1" t="s">
        <v>110</v>
      </c>
      <c r="O48" s="1" t="s">
        <v>45</v>
      </c>
      <c r="P48" s="1" t="s">
        <v>46</v>
      </c>
      <c r="Q48" s="1" t="s">
        <v>47</v>
      </c>
      <c r="R48" s="1" t="s">
        <v>48</v>
      </c>
      <c r="S48" s="8">
        <v>7000</v>
      </c>
      <c r="T48" s="8">
        <v>6000</v>
      </c>
      <c r="U48" s="8">
        <v>6000</v>
      </c>
      <c r="V48" s="8">
        <v>6000</v>
      </c>
      <c r="W48" s="1" t="s">
        <v>181</v>
      </c>
      <c r="X48" s="1"/>
      <c r="Y48" s="1" t="s">
        <v>372</v>
      </c>
      <c r="Z48" s="1" t="s">
        <v>76</v>
      </c>
      <c r="AA48" s="1" t="s">
        <v>93</v>
      </c>
      <c r="AB48" s="10" t="s">
        <v>66</v>
      </c>
      <c r="AC48" s="10" t="s">
        <v>68</v>
      </c>
      <c r="AD48" s="1" t="str">
        <f>IFERROR(VLOOKUP(B48,'Regiões Administrativas'!$A$1:$B$646,2,0),"")</f>
        <v>São José do Rio Preto</v>
      </c>
      <c r="AE48" s="1">
        <f>IFERROR(VLOOKUP(Form_Responses[[#This Row],[Município]],'Regiões Administrativas'!$A$1:$I$646,3,0),"")</f>
        <v>16489</v>
      </c>
      <c r="AF48" s="1">
        <f>IFERROR(VLOOKUP(Form_Responses[[#This Row],[Município]],'Regiões Administrativas'!$A$1:$I$646,4,0),"")</f>
        <v>352965805000001</v>
      </c>
      <c r="AG48" s="1">
        <f>IFERROR(VLOOKUP(Form_Responses[[#This Row],[Município]],'Regiões Administrativas'!$A$1:$I$646,4,0),"")</f>
        <v>352965805000001</v>
      </c>
      <c r="AH48" s="1">
        <f>IFERROR(VLOOKUP(B48,'Regiões Administrativas'!$A$1:$I$646,5,0),"")</f>
        <v>3529658</v>
      </c>
      <c r="AI48" s="1">
        <f>IFERROR(VLOOKUP(B48,'Regiões Administrativas'!$A$1:$I$646,6,0),"")</f>
        <v>-50.6220803</v>
      </c>
      <c r="AJ48" s="1">
        <f>IFERROR(VLOOKUP(B48,'Regiões Administrativas'!$A$1:$I$646,8,0),"")</f>
        <v>408.60607299999998</v>
      </c>
      <c r="AK48" s="1" t="str">
        <f>IFERROR(VLOOKUP(Form_Responses[[#This Row],[Município]],'Regiões Administrativas'!$A$1:$I$646,9,0),"")</f>
        <v>1J6R@4z;?*Z&gt;</v>
      </c>
    </row>
    <row r="49" spans="1:37" ht="22.5" customHeight="1">
      <c r="A49" s="13">
        <v>46006.444902592593</v>
      </c>
      <c r="B49" s="1" t="s">
        <v>236</v>
      </c>
      <c r="C49" s="1" t="s">
        <v>237</v>
      </c>
      <c r="D49" s="1" t="s">
        <v>373</v>
      </c>
      <c r="E49" s="1" t="s">
        <v>374</v>
      </c>
      <c r="F49" s="1"/>
      <c r="G49" s="10" t="s">
        <v>375</v>
      </c>
      <c r="H49" s="72" t="s">
        <v>376</v>
      </c>
      <c r="I49" s="10" t="s">
        <v>81</v>
      </c>
      <c r="J49" s="7">
        <v>46283</v>
      </c>
      <c r="K49" s="7">
        <v>46285</v>
      </c>
      <c r="L49" s="11">
        <v>0.85416666666424135</v>
      </c>
      <c r="M49" s="11">
        <v>0.20833333333575865</v>
      </c>
      <c r="N49" s="1" t="s">
        <v>268</v>
      </c>
      <c r="O49" s="1" t="s">
        <v>142</v>
      </c>
      <c r="P49" s="1" t="s">
        <v>46</v>
      </c>
      <c r="Q49" s="1" t="s">
        <v>47</v>
      </c>
      <c r="R49" s="1" t="s">
        <v>48</v>
      </c>
      <c r="S49" s="8">
        <v>30000</v>
      </c>
      <c r="T49" s="8">
        <v>20000</v>
      </c>
      <c r="U49" s="8">
        <v>10000</v>
      </c>
      <c r="V49" s="8"/>
      <c r="W49" s="1" t="s">
        <v>377</v>
      </c>
      <c r="X49" s="6" t="s">
        <v>376</v>
      </c>
      <c r="Y49" s="1" t="s">
        <v>243</v>
      </c>
      <c r="Z49" s="1" t="s">
        <v>224</v>
      </c>
      <c r="AA49" s="1" t="s">
        <v>93</v>
      </c>
      <c r="AB49" s="10" t="s">
        <v>306</v>
      </c>
      <c r="AC49" s="10" t="s">
        <v>68</v>
      </c>
      <c r="AD49" s="1" t="str">
        <f>IFERROR(VLOOKUP(B49,'Regiões Administrativas'!$A$1:$B$646,2,0),"")</f>
        <v>Presidente Prudente</v>
      </c>
      <c r="AE49" s="1">
        <f>IFERROR(VLOOKUP(Form_Responses[[#This Row],[Município]],'Regiões Administrativas'!$A$1:$I$646,3,0),"")</f>
        <v>17369</v>
      </c>
      <c r="AF49" s="1">
        <f>IFERROR(VLOOKUP(Form_Responses[[#This Row],[Município]],'Regiões Administrativas'!$A$1:$I$646,4,0),"")</f>
        <v>355430005000001</v>
      </c>
      <c r="AG49" s="1">
        <f>IFERROR(VLOOKUP(Form_Responses[[#This Row],[Município]],'Regiões Administrativas'!$A$1:$I$646,4,0),"")</f>
        <v>355430005000001</v>
      </c>
      <c r="AH49" s="1">
        <f>IFERROR(VLOOKUP(B49,'Regiões Administrativas'!$A$1:$I$646,5,0),"")</f>
        <v>3554300</v>
      </c>
      <c r="AI49" s="1">
        <f>IFERROR(VLOOKUP(B49,'Regiões Administrativas'!$A$1:$I$646,6,0),"")</f>
        <v>-52.171194800000002</v>
      </c>
      <c r="AJ49" s="1">
        <f>IFERROR(VLOOKUP(B49,'Regiões Administrativas'!$A$1:$I$646,8,0),"")</f>
        <v>352.74982899999998</v>
      </c>
      <c r="AK49" s="1" t="str">
        <f>IFERROR(VLOOKUP(Form_Responses[[#This Row],[Município]],'Regiões Administrativas'!$A$1:$I$646,9,0),"")</f>
        <v>1J6RhG:@,eW&gt;</v>
      </c>
    </row>
    <row r="50" spans="1:37" ht="22.5" customHeight="1">
      <c r="A50" s="13">
        <v>46006.467028078703</v>
      </c>
      <c r="B50" s="1" t="s">
        <v>236</v>
      </c>
      <c r="C50" s="1" t="s">
        <v>237</v>
      </c>
      <c r="D50" s="1" t="s">
        <v>378</v>
      </c>
      <c r="E50" s="1" t="s">
        <v>379</v>
      </c>
      <c r="F50" s="1"/>
      <c r="G50" s="10" t="s">
        <v>380</v>
      </c>
      <c r="I50" s="10" t="s">
        <v>255</v>
      </c>
      <c r="J50" s="7">
        <v>46304</v>
      </c>
      <c r="K50" s="7">
        <v>46033</v>
      </c>
      <c r="L50" s="11">
        <v>0.79166666666424135</v>
      </c>
      <c r="M50" s="11">
        <v>8.3333333335758653E-2</v>
      </c>
      <c r="N50" s="1" t="s">
        <v>44</v>
      </c>
      <c r="O50" s="1" t="s">
        <v>221</v>
      </c>
      <c r="P50" s="1" t="s">
        <v>221</v>
      </c>
      <c r="Q50" s="1" t="s">
        <v>47</v>
      </c>
      <c r="R50" s="1" t="s">
        <v>74</v>
      </c>
      <c r="S50" s="8">
        <v>4000</v>
      </c>
      <c r="T50" s="8">
        <v>2500</v>
      </c>
      <c r="U50" s="8">
        <v>2000</v>
      </c>
      <c r="V50" s="8"/>
      <c r="W50" s="1" t="s">
        <v>381</v>
      </c>
      <c r="X50" s="1"/>
      <c r="Y50" s="1" t="s">
        <v>305</v>
      </c>
      <c r="Z50" s="1" t="s">
        <v>224</v>
      </c>
      <c r="AA50" s="1" t="s">
        <v>244</v>
      </c>
      <c r="AB50" s="10" t="s">
        <v>66</v>
      </c>
      <c r="AC50" s="10" t="s">
        <v>68</v>
      </c>
      <c r="AD50" s="1" t="str">
        <f>IFERROR(VLOOKUP(B50,'Regiões Administrativas'!$A$1:$B$646,2,0),"")</f>
        <v>Presidente Prudente</v>
      </c>
      <c r="AE50" s="1">
        <f>IFERROR(VLOOKUP(Form_Responses[[#This Row],[Município]],'Regiões Administrativas'!$A$1:$I$646,3,0),"")</f>
        <v>17369</v>
      </c>
      <c r="AF50" s="1">
        <f>IFERROR(VLOOKUP(Form_Responses[[#This Row],[Município]],'Regiões Administrativas'!$A$1:$I$646,4,0),"")</f>
        <v>355430005000001</v>
      </c>
      <c r="AG50" s="1">
        <f>IFERROR(VLOOKUP(Form_Responses[[#This Row],[Município]],'Regiões Administrativas'!$A$1:$I$646,4,0),"")</f>
        <v>355430005000001</v>
      </c>
      <c r="AH50" s="1">
        <f>IFERROR(VLOOKUP(B50,'Regiões Administrativas'!$A$1:$I$646,5,0),"")</f>
        <v>3554300</v>
      </c>
      <c r="AI50" s="1">
        <f>IFERROR(VLOOKUP(B50,'Regiões Administrativas'!$A$1:$I$646,6,0),"")</f>
        <v>-52.171194800000002</v>
      </c>
      <c r="AJ50" s="1">
        <f>IFERROR(VLOOKUP(B50,'Regiões Administrativas'!$A$1:$I$646,8,0),"")</f>
        <v>352.74982899999998</v>
      </c>
      <c r="AK50" s="1" t="str">
        <f>IFERROR(VLOOKUP(Form_Responses[[#This Row],[Município]],'Regiões Administrativas'!$A$1:$I$646,9,0),"")</f>
        <v>1J6RhG:@,eW&gt;</v>
      </c>
    </row>
    <row r="51" spans="1:37" ht="22.5" customHeight="1">
      <c r="A51" s="13">
        <v>46006.483635775461</v>
      </c>
      <c r="B51" s="1" t="s">
        <v>382</v>
      </c>
      <c r="C51" s="1" t="s">
        <v>383</v>
      </c>
      <c r="D51" s="1" t="s">
        <v>384</v>
      </c>
      <c r="E51" s="1" t="s">
        <v>385</v>
      </c>
      <c r="F51" s="1"/>
      <c r="G51" s="10" t="s">
        <v>386</v>
      </c>
      <c r="H51" s="72" t="s">
        <v>387</v>
      </c>
      <c r="I51" s="10" t="s">
        <v>81</v>
      </c>
      <c r="J51" s="7">
        <v>46276</v>
      </c>
      <c r="K51" s="7">
        <v>46306</v>
      </c>
      <c r="L51" s="1"/>
      <c r="M51" s="1"/>
      <c r="N51" s="1" t="s">
        <v>73</v>
      </c>
      <c r="O51" s="1" t="s">
        <v>190</v>
      </c>
      <c r="P51" s="1" t="s">
        <v>63</v>
      </c>
      <c r="Q51" s="1" t="s">
        <v>47</v>
      </c>
      <c r="R51" s="1" t="s">
        <v>48</v>
      </c>
      <c r="S51" s="8">
        <v>10000</v>
      </c>
      <c r="T51" s="8"/>
      <c r="U51" s="8"/>
      <c r="V51" s="8"/>
      <c r="W51" s="1" t="s">
        <v>388</v>
      </c>
      <c r="X51" s="1"/>
      <c r="Y51" s="1" t="s">
        <v>389</v>
      </c>
      <c r="Z51" s="1" t="s">
        <v>76</v>
      </c>
      <c r="AA51" s="1" t="s">
        <v>113</v>
      </c>
      <c r="AB51" s="10" t="s">
        <v>66</v>
      </c>
      <c r="AC51" s="10" t="s">
        <v>68</v>
      </c>
      <c r="AD51" s="1" t="str">
        <f>IFERROR(VLOOKUP(B51,'Regiões Administrativas'!$A$1:$B$646,2,0),"")</f>
        <v>Campinas</v>
      </c>
      <c r="AE51" s="1">
        <f>IFERROR(VLOOKUP(Form_Responses[[#This Row],[Município]],'Regiões Administrativas'!$A$1:$I$646,3,0),"")</f>
        <v>16193</v>
      </c>
      <c r="AF51" s="1">
        <f>IFERROR(VLOOKUP(Form_Responses[[#This Row],[Município]],'Regiões Administrativas'!$A$1:$I$646,4,0),"")</f>
        <v>352400605000001</v>
      </c>
      <c r="AG51" s="1">
        <f>IFERROR(VLOOKUP(Form_Responses[[#This Row],[Município]],'Regiões Administrativas'!$A$1:$I$646,4,0),"")</f>
        <v>352400605000001</v>
      </c>
      <c r="AH51" s="1">
        <f>IFERROR(VLOOKUP(B51,'Regiões Administrativas'!$A$1:$I$646,5,0),"")</f>
        <v>3524006</v>
      </c>
      <c r="AI51" s="1">
        <f>IFERROR(VLOOKUP(B51,'Regiões Administrativas'!$A$1:$I$646,6,0),"")</f>
        <v>-47.055701200000001</v>
      </c>
      <c r="AJ51" s="1">
        <f>IFERROR(VLOOKUP(B51,'Regiões Administrativas'!$A$1:$I$646,8,0),"")</f>
        <v>672.32714899999996</v>
      </c>
      <c r="AK51" s="1" t="str">
        <f>IFERROR(VLOOKUP(Form_Responses[[#This Row],[Município]],'Regiões Administrativas'!$A$1:$I$646,9,0),"")</f>
        <v>1J6tLR+&lt;QWRf</v>
      </c>
    </row>
    <row r="52" spans="1:37" ht="22.5" customHeight="1">
      <c r="A52" s="13">
        <v>46006.500926446759</v>
      </c>
      <c r="B52" s="1" t="s">
        <v>382</v>
      </c>
      <c r="C52" s="1" t="s">
        <v>383</v>
      </c>
      <c r="D52" s="1" t="s">
        <v>390</v>
      </c>
      <c r="E52" s="1" t="s">
        <v>391</v>
      </c>
      <c r="F52" s="1"/>
      <c r="G52" s="1" t="s">
        <v>392</v>
      </c>
      <c r="H52" s="6" t="s">
        <v>393</v>
      </c>
      <c r="I52" s="1" t="s">
        <v>162</v>
      </c>
      <c r="J52" s="7">
        <v>46360</v>
      </c>
      <c r="K52" s="7">
        <v>46376</v>
      </c>
      <c r="L52" s="1"/>
      <c r="M52" s="1"/>
      <c r="N52" s="1" t="s">
        <v>44</v>
      </c>
      <c r="O52" s="1" t="s">
        <v>221</v>
      </c>
      <c r="P52" s="1" t="s">
        <v>251</v>
      </c>
      <c r="Q52" s="1" t="s">
        <v>47</v>
      </c>
      <c r="R52" s="1" t="s">
        <v>48</v>
      </c>
      <c r="S52" s="8">
        <v>100000</v>
      </c>
      <c r="T52" s="8"/>
      <c r="U52" s="8">
        <v>90000</v>
      </c>
      <c r="V52" s="8"/>
      <c r="W52" s="1" t="s">
        <v>388</v>
      </c>
      <c r="X52" s="1"/>
      <c r="Y52" s="1" t="s">
        <v>389</v>
      </c>
      <c r="Z52" s="1" t="s">
        <v>76</v>
      </c>
      <c r="AA52" s="1" t="s">
        <v>113</v>
      </c>
      <c r="AB52" s="10" t="s">
        <v>66</v>
      </c>
      <c r="AC52" s="10" t="s">
        <v>68</v>
      </c>
      <c r="AD52" s="1" t="str">
        <f>IFERROR(VLOOKUP(B52,'Regiões Administrativas'!$A$1:$B$646,2,0),"")</f>
        <v>Campinas</v>
      </c>
      <c r="AE52" s="1">
        <f>IFERROR(VLOOKUP(Form_Responses[[#This Row],[Município]],'Regiões Administrativas'!$A$1:$I$646,3,0),"")</f>
        <v>16193</v>
      </c>
      <c r="AF52" s="1">
        <f>IFERROR(VLOOKUP(Form_Responses[[#This Row],[Município]],'Regiões Administrativas'!$A$1:$I$646,4,0),"")</f>
        <v>352400605000001</v>
      </c>
      <c r="AG52" s="1">
        <f>IFERROR(VLOOKUP(Form_Responses[[#This Row],[Município]],'Regiões Administrativas'!$A$1:$I$646,4,0),"")</f>
        <v>352400605000001</v>
      </c>
      <c r="AH52" s="1">
        <f>IFERROR(VLOOKUP(B52,'Regiões Administrativas'!$A$1:$I$646,5,0),"")</f>
        <v>3524006</v>
      </c>
      <c r="AI52" s="1">
        <f>IFERROR(VLOOKUP(B52,'Regiões Administrativas'!$A$1:$I$646,6,0),"")</f>
        <v>-47.055701200000001</v>
      </c>
      <c r="AJ52" s="1">
        <f>IFERROR(VLOOKUP(B52,'Regiões Administrativas'!$A$1:$I$646,8,0),"")</f>
        <v>672.32714899999996</v>
      </c>
      <c r="AK52" s="1" t="str">
        <f>IFERROR(VLOOKUP(Form_Responses[[#This Row],[Município]],'Regiões Administrativas'!$A$1:$I$646,9,0),"")</f>
        <v>1J6tLR+&lt;QWRf</v>
      </c>
    </row>
    <row r="53" spans="1:37" ht="22.5" customHeight="1">
      <c r="A53" s="5">
        <v>46006.702137905093</v>
      </c>
      <c r="B53" s="1" t="s">
        <v>236</v>
      </c>
      <c r="C53" s="1" t="s">
        <v>237</v>
      </c>
      <c r="D53" s="1" t="s">
        <v>394</v>
      </c>
      <c r="E53" s="1" t="s">
        <v>395</v>
      </c>
      <c r="F53" s="1"/>
      <c r="G53" s="1" t="s">
        <v>396</v>
      </c>
      <c r="H53" s="1"/>
      <c r="I53" s="1" t="s">
        <v>109</v>
      </c>
      <c r="J53" s="1"/>
      <c r="K53" s="7">
        <v>46101</v>
      </c>
      <c r="L53" s="1"/>
      <c r="M53" s="1"/>
      <c r="N53" s="1" t="s">
        <v>61</v>
      </c>
      <c r="O53" s="1" t="s">
        <v>62</v>
      </c>
      <c r="P53" s="1" t="s">
        <v>99</v>
      </c>
      <c r="Q53" s="1" t="s">
        <v>47</v>
      </c>
      <c r="R53" s="1" t="s">
        <v>48</v>
      </c>
      <c r="S53" s="8">
        <v>2000</v>
      </c>
      <c r="T53" s="8">
        <v>1000</v>
      </c>
      <c r="U53" s="8">
        <v>500</v>
      </c>
      <c r="V53" s="8"/>
      <c r="W53" s="1" t="s">
        <v>397</v>
      </c>
      <c r="X53" s="1"/>
      <c r="Y53" s="1" t="s">
        <v>243</v>
      </c>
      <c r="Z53" s="1" t="s">
        <v>66</v>
      </c>
      <c r="AA53" s="1" t="s">
        <v>244</v>
      </c>
      <c r="AB53" s="10" t="s">
        <v>66</v>
      </c>
      <c r="AC53" s="10" t="s">
        <v>354</v>
      </c>
      <c r="AD53" s="1" t="str">
        <f>IFERROR(VLOOKUP(B53,'Regiões Administrativas'!$A$1:$B$646,2,0),"")</f>
        <v>Presidente Prudente</v>
      </c>
      <c r="AE53" s="1">
        <f>IFERROR(VLOOKUP(Form_Responses[[#This Row],[Município]],'Regiões Administrativas'!$A$1:$I$646,3,0),"")</f>
        <v>17369</v>
      </c>
      <c r="AF53" s="1">
        <f>IFERROR(VLOOKUP(Form_Responses[[#This Row],[Município]],'Regiões Administrativas'!$A$1:$I$646,4,0),"")</f>
        <v>355430005000001</v>
      </c>
      <c r="AG53" s="1">
        <f>IFERROR(VLOOKUP(Form_Responses[[#This Row],[Município]],'Regiões Administrativas'!$A$1:$I$646,4,0),"")</f>
        <v>355430005000001</v>
      </c>
      <c r="AH53" s="1">
        <f>IFERROR(VLOOKUP(B53,'Regiões Administrativas'!$A$1:$I$646,5,0),"")</f>
        <v>3554300</v>
      </c>
      <c r="AI53" s="1">
        <f>IFERROR(VLOOKUP(B53,'Regiões Administrativas'!$A$1:$I$646,6,0),"")</f>
        <v>-52.171194800000002</v>
      </c>
      <c r="AJ53" s="1">
        <f>IFERROR(VLOOKUP(B53,'Regiões Administrativas'!$A$1:$I$646,8,0),"")</f>
        <v>352.74982899999998</v>
      </c>
      <c r="AK53" s="1" t="str">
        <f>IFERROR(VLOOKUP(Form_Responses[[#This Row],[Município]],'Regiões Administrativas'!$A$1:$I$646,9,0),"")</f>
        <v>1J6RhG:@,eW&gt;</v>
      </c>
    </row>
    <row r="54" spans="1:37" ht="22.5" customHeight="1">
      <c r="A54" s="13">
        <v>46006.715963750001</v>
      </c>
      <c r="B54" s="1" t="s">
        <v>236</v>
      </c>
      <c r="C54" s="1" t="s">
        <v>237</v>
      </c>
      <c r="D54" s="1" t="s">
        <v>398</v>
      </c>
      <c r="E54" s="1" t="s">
        <v>399</v>
      </c>
      <c r="F54" s="1"/>
      <c r="G54" s="1" t="s">
        <v>400</v>
      </c>
      <c r="H54" s="6" t="s">
        <v>241</v>
      </c>
      <c r="I54" s="1" t="s">
        <v>162</v>
      </c>
      <c r="J54" s="7">
        <v>46357</v>
      </c>
      <c r="K54" s="7">
        <v>46387</v>
      </c>
      <c r="L54" s="11">
        <v>0.79166666666424135</v>
      </c>
      <c r="M54" s="11">
        <v>0.91666666666424135</v>
      </c>
      <c r="N54" s="1" t="s">
        <v>44</v>
      </c>
      <c r="O54" s="1" t="s">
        <v>142</v>
      </c>
      <c r="P54" s="1" t="s">
        <v>251</v>
      </c>
      <c r="Q54" s="1" t="s">
        <v>47</v>
      </c>
      <c r="R54" s="1" t="s">
        <v>48</v>
      </c>
      <c r="S54" s="8">
        <v>15000</v>
      </c>
      <c r="T54" s="8"/>
      <c r="U54" s="8"/>
      <c r="V54" s="8"/>
      <c r="W54" s="1" t="s">
        <v>401</v>
      </c>
      <c r="X54" s="1"/>
      <c r="Y54" s="1" t="s">
        <v>243</v>
      </c>
      <c r="Z54" s="1" t="s">
        <v>402</v>
      </c>
      <c r="AA54" s="1" t="s">
        <v>244</v>
      </c>
      <c r="AB54" s="10" t="s">
        <v>66</v>
      </c>
      <c r="AC54" s="10" t="s">
        <v>68</v>
      </c>
      <c r="AD54" s="1" t="str">
        <f>IFERROR(VLOOKUP(B54,'Regiões Administrativas'!$A$1:$B$646,2,0),"")</f>
        <v>Presidente Prudente</v>
      </c>
      <c r="AE54" s="1">
        <f>IFERROR(VLOOKUP(Form_Responses[[#This Row],[Município]],'Regiões Administrativas'!$A$1:$I$646,3,0),"")</f>
        <v>17369</v>
      </c>
      <c r="AF54" s="1">
        <f>IFERROR(VLOOKUP(Form_Responses[[#This Row],[Município]],'Regiões Administrativas'!$A$1:$I$646,4,0),"")</f>
        <v>355430005000001</v>
      </c>
      <c r="AG54" s="1">
        <f>IFERROR(VLOOKUP(Form_Responses[[#This Row],[Município]],'Regiões Administrativas'!$A$1:$I$646,4,0),"")</f>
        <v>355430005000001</v>
      </c>
      <c r="AH54" s="1">
        <f>IFERROR(VLOOKUP(B54,'Regiões Administrativas'!$A$1:$I$646,5,0),"")</f>
        <v>3554300</v>
      </c>
      <c r="AI54" s="1">
        <f>IFERROR(VLOOKUP(B54,'Regiões Administrativas'!$A$1:$I$646,6,0),"")</f>
        <v>-52.171194800000002</v>
      </c>
      <c r="AJ54" s="1">
        <f>IFERROR(VLOOKUP(B54,'Regiões Administrativas'!$A$1:$I$646,8,0),"")</f>
        <v>352.74982899999998</v>
      </c>
      <c r="AK54" s="1" t="str">
        <f>IFERROR(VLOOKUP(Form_Responses[[#This Row],[Município]],'Regiões Administrativas'!$A$1:$I$646,9,0),"")</f>
        <v>1J6RhG:@,eW&gt;</v>
      </c>
    </row>
    <row r="55" spans="1:37" ht="22.5" customHeight="1">
      <c r="A55" s="13">
        <v>46007.332110960648</v>
      </c>
      <c r="B55" s="1" t="s">
        <v>403</v>
      </c>
      <c r="C55" s="1" t="s">
        <v>404</v>
      </c>
      <c r="D55" s="1" t="s">
        <v>302</v>
      </c>
      <c r="E55" s="1" t="s">
        <v>405</v>
      </c>
      <c r="F55" s="1"/>
      <c r="G55" s="1" t="s">
        <v>406</v>
      </c>
      <c r="H55" s="6" t="s">
        <v>407</v>
      </c>
      <c r="I55" s="1" t="s">
        <v>60</v>
      </c>
      <c r="J55" s="7">
        <v>46176</v>
      </c>
      <c r="K55" s="7">
        <v>46177</v>
      </c>
      <c r="L55" s="11">
        <v>0.79166666666424135</v>
      </c>
      <c r="M55" s="11">
        <v>0.95833333333575865</v>
      </c>
      <c r="N55" s="1" t="s">
        <v>44</v>
      </c>
      <c r="O55" s="1" t="s">
        <v>221</v>
      </c>
      <c r="P55" s="1" t="s">
        <v>302</v>
      </c>
      <c r="Q55" s="1" t="s">
        <v>47</v>
      </c>
      <c r="R55" s="1" t="s">
        <v>74</v>
      </c>
      <c r="S55" s="8">
        <v>20000</v>
      </c>
      <c r="T55" s="8">
        <v>15000</v>
      </c>
      <c r="U55" s="8"/>
      <c r="V55" s="8"/>
      <c r="W55" s="1" t="s">
        <v>408</v>
      </c>
      <c r="X55" s="1"/>
      <c r="Y55" s="1" t="s">
        <v>409</v>
      </c>
      <c r="Z55" s="1" t="s">
        <v>361</v>
      </c>
      <c r="AA55" s="1" t="s">
        <v>113</v>
      </c>
      <c r="AB55" s="10" t="s">
        <v>318</v>
      </c>
      <c r="AC55" s="10" t="s">
        <v>68</v>
      </c>
      <c r="AD55" s="1" t="str">
        <f>IFERROR(VLOOKUP(B55,'Regiões Administrativas'!$A$1:$B$646,2,0),"")</f>
        <v>Sorocaba</v>
      </c>
      <c r="AE55" s="1">
        <f>IFERROR(VLOOKUP(Form_Responses[[#This Row],[Município]],'Regiões Administrativas'!$A$1:$I$646,3,0),"")</f>
        <v>17188</v>
      </c>
      <c r="AF55" s="1">
        <f>IFERROR(VLOOKUP(Form_Responses[[#This Row],[Município]],'Regiões Administrativas'!$A$1:$I$646,4,0),"")</f>
        <v>355010005000001</v>
      </c>
      <c r="AG55" s="1">
        <f>IFERROR(VLOOKUP(Form_Responses[[#This Row],[Município]],'Regiões Administrativas'!$A$1:$I$646,4,0),"")</f>
        <v>355010005000001</v>
      </c>
      <c r="AH55" s="1">
        <f>IFERROR(VLOOKUP(B55,'Regiões Administrativas'!$A$1:$I$646,5,0),"")</f>
        <v>3550100</v>
      </c>
      <c r="AI55" s="1">
        <f>IFERROR(VLOOKUP(B55,'Regiões Administrativas'!$A$1:$I$646,6,0),"")</f>
        <v>-48.568763300000001</v>
      </c>
      <c r="AJ55" s="1">
        <f>IFERROR(VLOOKUP(B55,'Regiões Administrativas'!$A$1:$I$646,8,0),"")</f>
        <v>733.95771000000002</v>
      </c>
      <c r="AK55" s="1" t="str">
        <f>IFERROR(VLOOKUP(Form_Responses[[#This Row],[Município]],'Regiões Administrativas'!$A$1:$I$646,9,0),"")</f>
        <v>1J6RuLn*],T-</v>
      </c>
    </row>
    <row r="56" spans="1:37" ht="22.5" customHeight="1">
      <c r="A56" s="13">
        <v>46007.348385740741</v>
      </c>
      <c r="B56" s="1" t="s">
        <v>403</v>
      </c>
      <c r="C56" s="1" t="s">
        <v>404</v>
      </c>
      <c r="D56" s="1" t="s">
        <v>410</v>
      </c>
      <c r="E56" s="1" t="s">
        <v>411</v>
      </c>
      <c r="F56" s="1"/>
      <c r="G56" s="1" t="s">
        <v>412</v>
      </c>
      <c r="H56" s="6" t="s">
        <v>413</v>
      </c>
      <c r="I56" s="1" t="s">
        <v>43</v>
      </c>
      <c r="J56" s="7">
        <v>46248</v>
      </c>
      <c r="K56" s="7">
        <v>46249</v>
      </c>
      <c r="L56" s="11">
        <v>0.20833333333575865</v>
      </c>
      <c r="M56" s="11">
        <v>0.83333333333575865</v>
      </c>
      <c r="N56" s="1" t="s">
        <v>44</v>
      </c>
      <c r="O56" s="1" t="s">
        <v>221</v>
      </c>
      <c r="P56" s="1" t="s">
        <v>221</v>
      </c>
      <c r="Q56" s="1" t="s">
        <v>47</v>
      </c>
      <c r="R56" s="1" t="s">
        <v>48</v>
      </c>
      <c r="S56" s="8">
        <v>20000</v>
      </c>
      <c r="T56" s="8"/>
      <c r="U56" s="8"/>
      <c r="V56" s="8"/>
      <c r="W56" s="1" t="s">
        <v>414</v>
      </c>
      <c r="X56" s="1"/>
      <c r="Y56" s="1" t="s">
        <v>415</v>
      </c>
      <c r="Z56" s="1" t="s">
        <v>361</v>
      </c>
      <c r="AA56" s="1" t="s">
        <v>113</v>
      </c>
      <c r="AB56" s="10" t="s">
        <v>344</v>
      </c>
      <c r="AC56" s="10" t="s">
        <v>68</v>
      </c>
      <c r="AD56" s="1" t="str">
        <f>IFERROR(VLOOKUP(B56,'Regiões Administrativas'!$A$1:$B$646,2,0),"")</f>
        <v>Sorocaba</v>
      </c>
      <c r="AE56" s="1">
        <f>IFERROR(VLOOKUP(Form_Responses[[#This Row],[Município]],'Regiões Administrativas'!$A$1:$I$646,3,0),"")</f>
        <v>17188</v>
      </c>
      <c r="AF56" s="1">
        <f>IFERROR(VLOOKUP(Form_Responses[[#This Row],[Município]],'Regiões Administrativas'!$A$1:$I$646,4,0),"")</f>
        <v>355010005000001</v>
      </c>
      <c r="AG56" s="1">
        <f>IFERROR(VLOOKUP(Form_Responses[[#This Row],[Município]],'Regiões Administrativas'!$A$1:$I$646,4,0),"")</f>
        <v>355010005000001</v>
      </c>
      <c r="AH56" s="1">
        <f>IFERROR(VLOOKUP(B56,'Regiões Administrativas'!$A$1:$I$646,5,0),"")</f>
        <v>3550100</v>
      </c>
      <c r="AI56" s="1">
        <f>IFERROR(VLOOKUP(B56,'Regiões Administrativas'!$A$1:$I$646,6,0),"")</f>
        <v>-48.568763300000001</v>
      </c>
      <c r="AJ56" s="1">
        <f>IFERROR(VLOOKUP(B56,'Regiões Administrativas'!$A$1:$I$646,8,0),"")</f>
        <v>733.95771000000002</v>
      </c>
      <c r="AK56" s="1" t="str">
        <f>IFERROR(VLOOKUP(Form_Responses[[#This Row],[Município]],'Regiões Administrativas'!$A$1:$I$646,9,0),"")</f>
        <v>1J6RuLn*],T-</v>
      </c>
    </row>
    <row r="57" spans="1:37" ht="22.5" customHeight="1">
      <c r="A57" s="5">
        <v>46007.38534356482</v>
      </c>
      <c r="B57" s="1" t="s">
        <v>416</v>
      </c>
      <c r="C57" s="1" t="s">
        <v>417</v>
      </c>
      <c r="D57" s="1" t="s">
        <v>418</v>
      </c>
      <c r="E57" s="1" t="s">
        <v>419</v>
      </c>
      <c r="F57" s="1"/>
      <c r="G57" s="1" t="s">
        <v>420</v>
      </c>
      <c r="H57" s="1"/>
      <c r="I57" s="1" t="s">
        <v>89</v>
      </c>
      <c r="J57" s="7">
        <v>46069</v>
      </c>
      <c r="K57" s="7">
        <v>46070</v>
      </c>
      <c r="L57" s="11">
        <v>0.79166666666424135</v>
      </c>
      <c r="M57" s="11">
        <v>8.3333333335758653E-2</v>
      </c>
      <c r="N57" s="1" t="s">
        <v>421</v>
      </c>
      <c r="O57" s="1" t="s">
        <v>45</v>
      </c>
      <c r="P57" s="1" t="s">
        <v>90</v>
      </c>
      <c r="Q57" s="1" t="s">
        <v>47</v>
      </c>
      <c r="R57" s="1" t="s">
        <v>74</v>
      </c>
      <c r="S57" s="8">
        <v>10000</v>
      </c>
      <c r="T57" s="8">
        <v>10000</v>
      </c>
      <c r="U57" s="8">
        <v>9000</v>
      </c>
      <c r="V57" s="8"/>
      <c r="W57" s="1" t="s">
        <v>422</v>
      </c>
      <c r="X57" s="1" t="s">
        <v>423</v>
      </c>
      <c r="Y57" s="1" t="s">
        <v>424</v>
      </c>
      <c r="Z57" s="1" t="s">
        <v>76</v>
      </c>
      <c r="AA57" s="1" t="s">
        <v>156</v>
      </c>
      <c r="AB57" s="10" t="s">
        <v>66</v>
      </c>
      <c r="AC57" s="10" t="s">
        <v>68</v>
      </c>
      <c r="AD57" s="1" t="str">
        <f>IFERROR(VLOOKUP(B57,'Regiões Administrativas'!$A$1:$B$646,2,0),"")</f>
        <v>São José dos Campos</v>
      </c>
      <c r="AE57" s="1">
        <f>IFERROR(VLOOKUP(Form_Responses[[#This Row],[Município]],'Regiões Administrativas'!$A$1:$I$646,3,0),"")</f>
        <v>15670</v>
      </c>
      <c r="AF57" s="1">
        <f>IFERROR(VLOOKUP(Form_Responses[[#This Row],[Município]],'Regiões Administrativas'!$A$1:$I$646,4,0),"")</f>
        <v>350860305000001</v>
      </c>
      <c r="AG57" s="1">
        <f>IFERROR(VLOOKUP(Form_Responses[[#This Row],[Município]],'Regiões Administrativas'!$A$1:$I$646,4,0),"")</f>
        <v>350860305000001</v>
      </c>
      <c r="AH57" s="1">
        <f>IFERROR(VLOOKUP(B57,'Regiões Administrativas'!$A$1:$I$646,5,0),"")</f>
        <v>3508603</v>
      </c>
      <c r="AI57" s="1">
        <f>IFERROR(VLOOKUP(B57,'Regiões Administrativas'!$A$1:$I$646,6,0),"")</f>
        <v>-45.010630399999997</v>
      </c>
      <c r="AJ57" s="1">
        <f>IFERROR(VLOOKUP(B57,'Regiões Administrativas'!$A$1:$I$646,8,0),"")</f>
        <v>524.07165799999996</v>
      </c>
      <c r="AK57" s="1" t="str">
        <f>IFERROR(VLOOKUP(Form_Responses[[#This Row],[Município]],'Regiões Administrativas'!$A$1:$I$646,9,0),"")</f>
        <v>1J6tSHW_@{Tp</v>
      </c>
    </row>
    <row r="58" spans="1:37" ht="22.5" customHeight="1">
      <c r="A58" s="13">
        <v>46007.405559282408</v>
      </c>
      <c r="B58" s="1" t="s">
        <v>425</v>
      </c>
      <c r="C58" s="1" t="s">
        <v>426</v>
      </c>
      <c r="D58" s="1" t="s">
        <v>427</v>
      </c>
      <c r="E58" s="1" t="s">
        <v>428</v>
      </c>
      <c r="F58" s="1"/>
      <c r="G58" s="1" t="s">
        <v>429</v>
      </c>
      <c r="H58" s="1"/>
      <c r="I58" s="1" t="s">
        <v>81</v>
      </c>
      <c r="J58" s="1"/>
      <c r="K58" s="1"/>
      <c r="L58" s="11">
        <v>0.83333333333575865</v>
      </c>
      <c r="M58" s="11">
        <v>0.125</v>
      </c>
      <c r="N58" s="1" t="s">
        <v>44</v>
      </c>
      <c r="O58" s="1" t="s">
        <v>45</v>
      </c>
      <c r="P58" s="1" t="s">
        <v>46</v>
      </c>
      <c r="Q58" s="1" t="s">
        <v>47</v>
      </c>
      <c r="R58" s="1" t="s">
        <v>74</v>
      </c>
      <c r="S58" s="8">
        <v>10000</v>
      </c>
      <c r="T58" s="8">
        <v>0</v>
      </c>
      <c r="U58" s="8">
        <v>7000</v>
      </c>
      <c r="V58" s="8">
        <v>6500</v>
      </c>
      <c r="W58" s="1" t="s">
        <v>430</v>
      </c>
      <c r="X58" s="1" t="s">
        <v>431</v>
      </c>
      <c r="Y58" s="1" t="s">
        <v>432</v>
      </c>
      <c r="Z58" s="1" t="s">
        <v>66</v>
      </c>
      <c r="AA58" s="1" t="s">
        <v>67</v>
      </c>
      <c r="AB58" s="10" t="s">
        <v>66</v>
      </c>
      <c r="AC58" s="10" t="s">
        <v>68</v>
      </c>
      <c r="AD58" s="1" t="str">
        <f>IFERROR(VLOOKUP(B58,'Regiões Administrativas'!$A$1:$B$646,2,0),"")</f>
        <v>Araçatuba</v>
      </c>
      <c r="AE58" s="1">
        <f>IFERROR(VLOOKUP(Form_Responses[[#This Row],[Município]],'Regiões Administrativas'!$A$1:$I$646,3,0),"")</f>
        <v>17317</v>
      </c>
      <c r="AF58" s="1">
        <f>IFERROR(VLOOKUP(Form_Responses[[#This Row],[Município]],'Regiões Administrativas'!$A$1:$I$646,4,0),"")</f>
        <v>355230405000001</v>
      </c>
      <c r="AG58" s="1">
        <f>IFERROR(VLOOKUP(Form_Responses[[#This Row],[Município]],'Regiões Administrativas'!$A$1:$I$646,4,0),"")</f>
        <v>355230405000001</v>
      </c>
      <c r="AH58" s="1">
        <f>IFERROR(VLOOKUP(B58,'Regiões Administrativas'!$A$1:$I$646,5,0),"")</f>
        <v>3552304</v>
      </c>
      <c r="AI58" s="1">
        <f>IFERROR(VLOOKUP(B58,'Regiões Administrativas'!$A$1:$I$646,6,0),"")</f>
        <v>-50.920526600000002</v>
      </c>
      <c r="AJ58" s="1">
        <f>IFERROR(VLOOKUP(B58,'Regiões Administrativas'!$A$1:$I$646,8,0),"")</f>
        <v>376.22165699999999</v>
      </c>
      <c r="AK58" s="1" t="str">
        <f>IFERROR(VLOOKUP(Form_Responses[[#This Row],[Município]],'Regiões Administrativas'!$A$1:$I$646,9,0),"")</f>
        <v>1J6R+_TAy1mp</v>
      </c>
    </row>
    <row r="59" spans="1:37" ht="22.5" customHeight="1">
      <c r="A59" s="5">
        <v>46007.410721446759</v>
      </c>
      <c r="B59" s="1" t="s">
        <v>425</v>
      </c>
      <c r="C59" s="1" t="s">
        <v>426</v>
      </c>
      <c r="D59" s="1" t="s">
        <v>433</v>
      </c>
      <c r="E59" s="1" t="s">
        <v>434</v>
      </c>
      <c r="F59" s="1"/>
      <c r="G59" s="1" t="s">
        <v>435</v>
      </c>
      <c r="H59" s="1"/>
      <c r="I59" s="1" t="s">
        <v>128</v>
      </c>
      <c r="J59" s="1"/>
      <c r="K59" s="1"/>
      <c r="L59" s="1"/>
      <c r="M59" s="1"/>
      <c r="N59" s="1" t="s">
        <v>61</v>
      </c>
      <c r="O59" s="1" t="s">
        <v>436</v>
      </c>
      <c r="P59" s="1" t="s">
        <v>63</v>
      </c>
      <c r="Q59" s="1" t="s">
        <v>47</v>
      </c>
      <c r="R59" s="1" t="s">
        <v>48</v>
      </c>
      <c r="S59" s="8">
        <v>1000</v>
      </c>
      <c r="T59" s="8">
        <v>0</v>
      </c>
      <c r="U59" s="8">
        <v>1500</v>
      </c>
      <c r="V59" s="8">
        <v>1000</v>
      </c>
      <c r="W59" s="1" t="s">
        <v>437</v>
      </c>
      <c r="X59" s="1" t="s">
        <v>438</v>
      </c>
      <c r="Y59" s="1" t="s">
        <v>439</v>
      </c>
      <c r="Z59" s="1" t="s">
        <v>76</v>
      </c>
      <c r="AA59" s="1" t="s">
        <v>67</v>
      </c>
      <c r="AB59" s="10" t="s">
        <v>66</v>
      </c>
      <c r="AC59" s="10" t="s">
        <v>68</v>
      </c>
      <c r="AD59" s="1" t="str">
        <f>IFERROR(VLOOKUP(B59,'Regiões Administrativas'!$A$1:$B$646,2,0),"")</f>
        <v>Araçatuba</v>
      </c>
      <c r="AE59" s="1">
        <f>IFERROR(VLOOKUP(Form_Responses[[#This Row],[Município]],'Regiões Administrativas'!$A$1:$I$646,3,0),"")</f>
        <v>17317</v>
      </c>
      <c r="AF59" s="1">
        <f>IFERROR(VLOOKUP(Form_Responses[[#This Row],[Município]],'Regiões Administrativas'!$A$1:$I$646,4,0),"")</f>
        <v>355230405000001</v>
      </c>
      <c r="AG59" s="1">
        <f>IFERROR(VLOOKUP(Form_Responses[[#This Row],[Município]],'Regiões Administrativas'!$A$1:$I$646,4,0),"")</f>
        <v>355230405000001</v>
      </c>
      <c r="AH59" s="1">
        <f>IFERROR(VLOOKUP(B59,'Regiões Administrativas'!$A$1:$I$646,5,0),"")</f>
        <v>3552304</v>
      </c>
      <c r="AI59" s="1">
        <f>IFERROR(VLOOKUP(B59,'Regiões Administrativas'!$A$1:$I$646,6,0),"")</f>
        <v>-50.920526600000002</v>
      </c>
      <c r="AJ59" s="1">
        <f>IFERROR(VLOOKUP(B59,'Regiões Administrativas'!$A$1:$I$646,8,0),"")</f>
        <v>376.22165699999999</v>
      </c>
      <c r="AK59" s="1" t="str">
        <f>IFERROR(VLOOKUP(Form_Responses[[#This Row],[Município]],'Regiões Administrativas'!$A$1:$I$646,9,0),"")</f>
        <v>1J6R+_TAy1mp</v>
      </c>
    </row>
    <row r="60" spans="1:37" ht="22.5" customHeight="1">
      <c r="A60" s="5">
        <v>46007.422239976848</v>
      </c>
      <c r="B60" s="1" t="s">
        <v>425</v>
      </c>
      <c r="C60" s="1" t="s">
        <v>426</v>
      </c>
      <c r="D60" s="1" t="s">
        <v>440</v>
      </c>
      <c r="E60" s="1" t="s">
        <v>441</v>
      </c>
      <c r="F60" s="1"/>
      <c r="G60" s="1" t="s">
        <v>442</v>
      </c>
      <c r="H60" s="1"/>
      <c r="I60" s="1" t="s">
        <v>89</v>
      </c>
      <c r="J60" s="1"/>
      <c r="K60" s="1"/>
      <c r="L60" s="11">
        <v>0.91666666666424135</v>
      </c>
      <c r="M60" s="11">
        <v>0.91666666666424135</v>
      </c>
      <c r="N60" s="1" t="s">
        <v>44</v>
      </c>
      <c r="O60" s="1" t="s">
        <v>45</v>
      </c>
      <c r="P60" s="1" t="s">
        <v>90</v>
      </c>
      <c r="Q60" s="1" t="s">
        <v>47</v>
      </c>
      <c r="R60" s="1" t="s">
        <v>74</v>
      </c>
      <c r="S60" s="8">
        <v>2000</v>
      </c>
      <c r="T60" s="8">
        <v>1000</v>
      </c>
      <c r="U60" s="8">
        <v>2000</v>
      </c>
      <c r="V60" s="8">
        <v>2000</v>
      </c>
      <c r="W60" s="1" t="s">
        <v>443</v>
      </c>
      <c r="X60" s="1" t="s">
        <v>431</v>
      </c>
      <c r="Y60" s="1" t="s">
        <v>439</v>
      </c>
      <c r="Z60" s="1" t="s">
        <v>76</v>
      </c>
      <c r="AA60" s="1" t="s">
        <v>66</v>
      </c>
      <c r="AB60" s="1" t="s">
        <v>66</v>
      </c>
      <c r="AC60" s="1" t="s">
        <v>68</v>
      </c>
      <c r="AD60" s="1" t="str">
        <f>IFERROR(VLOOKUP(B60,'Regiões Administrativas'!$A$1:$B$646,2,0),"")</f>
        <v>Araçatuba</v>
      </c>
      <c r="AE60" s="1">
        <f>IFERROR(VLOOKUP(Form_Responses[[#This Row],[Município]],'Regiões Administrativas'!$A$1:$I$646,3,0),"")</f>
        <v>17317</v>
      </c>
      <c r="AF60" s="1">
        <f>IFERROR(VLOOKUP(Form_Responses[[#This Row],[Município]],'Regiões Administrativas'!$A$1:$I$646,4,0),"")</f>
        <v>355230405000001</v>
      </c>
      <c r="AG60" s="1">
        <f>IFERROR(VLOOKUP(Form_Responses[[#This Row],[Município]],'Regiões Administrativas'!$A$1:$I$646,4,0),"")</f>
        <v>355230405000001</v>
      </c>
      <c r="AH60" s="1">
        <f>IFERROR(VLOOKUP(B60,'Regiões Administrativas'!$A$1:$I$646,5,0),"")</f>
        <v>3552304</v>
      </c>
      <c r="AI60" s="1">
        <f>IFERROR(VLOOKUP(B60,'Regiões Administrativas'!$A$1:$I$646,6,0),"")</f>
        <v>-50.920526600000002</v>
      </c>
      <c r="AJ60" s="1">
        <f>IFERROR(VLOOKUP(B60,'Regiões Administrativas'!$A$1:$I$646,8,0),"")</f>
        <v>376.22165699999999</v>
      </c>
      <c r="AK60" s="1" t="str">
        <f>IFERROR(VLOOKUP(Form_Responses[[#This Row],[Município]],'Regiões Administrativas'!$A$1:$I$646,9,0),"")</f>
        <v>1J6R+_TAy1mp</v>
      </c>
    </row>
    <row r="61" spans="1:37" ht="22.5" customHeight="1">
      <c r="A61" s="13">
        <v>46007.424615555559</v>
      </c>
      <c r="B61" s="1" t="s">
        <v>425</v>
      </c>
      <c r="C61" s="1" t="s">
        <v>426</v>
      </c>
      <c r="D61" s="1" t="s">
        <v>444</v>
      </c>
      <c r="E61" s="1" t="s">
        <v>445</v>
      </c>
      <c r="F61" s="1"/>
      <c r="G61" s="1" t="s">
        <v>446</v>
      </c>
      <c r="H61" s="1"/>
      <c r="I61" s="1" t="s">
        <v>43</v>
      </c>
      <c r="J61" s="1"/>
      <c r="K61" s="1"/>
      <c r="L61" s="11">
        <v>0.83333333333575865</v>
      </c>
      <c r="M61" s="1"/>
      <c r="N61" s="1" t="s">
        <v>421</v>
      </c>
      <c r="O61" s="1" t="s">
        <v>45</v>
      </c>
      <c r="P61" s="1" t="s">
        <v>46</v>
      </c>
      <c r="Q61" s="1" t="s">
        <v>47</v>
      </c>
      <c r="R61" s="1" t="s">
        <v>74</v>
      </c>
      <c r="S61" s="8">
        <v>2000</v>
      </c>
      <c r="T61" s="8">
        <v>0</v>
      </c>
      <c r="U61" s="8">
        <v>2200</v>
      </c>
      <c r="V61" s="8">
        <v>2200</v>
      </c>
      <c r="W61" s="1" t="s">
        <v>447</v>
      </c>
      <c r="X61" s="1" t="s">
        <v>431</v>
      </c>
      <c r="Y61" s="1" t="s">
        <v>439</v>
      </c>
      <c r="Z61" s="1" t="s">
        <v>66</v>
      </c>
      <c r="AA61" s="1" t="s">
        <v>66</v>
      </c>
      <c r="AB61" s="1" t="s">
        <v>66</v>
      </c>
      <c r="AC61" s="1" t="s">
        <v>68</v>
      </c>
      <c r="AD61" s="1" t="str">
        <f>IFERROR(VLOOKUP(B61,'Regiões Administrativas'!$A$1:$B$646,2,0),"")</f>
        <v>Araçatuba</v>
      </c>
      <c r="AE61" s="1">
        <f>IFERROR(VLOOKUP(Form_Responses[[#This Row],[Município]],'Regiões Administrativas'!$A$1:$I$646,3,0),"")</f>
        <v>17317</v>
      </c>
      <c r="AF61" s="1">
        <f>IFERROR(VLOOKUP(Form_Responses[[#This Row],[Município]],'Regiões Administrativas'!$A$1:$I$646,4,0),"")</f>
        <v>355230405000001</v>
      </c>
      <c r="AG61" s="1">
        <f>IFERROR(VLOOKUP(Form_Responses[[#This Row],[Município]],'Regiões Administrativas'!$A$1:$I$646,4,0),"")</f>
        <v>355230405000001</v>
      </c>
      <c r="AH61" s="1">
        <f>IFERROR(VLOOKUP(B61,'Regiões Administrativas'!$A$1:$I$646,5,0),"")</f>
        <v>3552304</v>
      </c>
      <c r="AI61" s="1">
        <f>IFERROR(VLOOKUP(B61,'Regiões Administrativas'!$A$1:$I$646,6,0),"")</f>
        <v>-50.920526600000002</v>
      </c>
      <c r="AJ61" s="1">
        <f>IFERROR(VLOOKUP(B61,'Regiões Administrativas'!$A$1:$I$646,8,0),"")</f>
        <v>376.22165699999999</v>
      </c>
      <c r="AK61" s="1" t="str">
        <f>IFERROR(VLOOKUP(Form_Responses[[#This Row],[Município]],'Regiões Administrativas'!$A$1:$I$646,9,0),"")</f>
        <v>1J6R+_TAy1mp</v>
      </c>
    </row>
    <row r="62" spans="1:37" ht="22.5" customHeight="1">
      <c r="A62" s="5">
        <v>46007.634804652778</v>
      </c>
      <c r="B62" s="1" t="s">
        <v>448</v>
      </c>
      <c r="C62" s="1" t="s">
        <v>449</v>
      </c>
      <c r="D62" s="1" t="s">
        <v>450</v>
      </c>
      <c r="E62" s="1" t="s">
        <v>451</v>
      </c>
      <c r="F62" s="1"/>
      <c r="G62" s="1" t="s">
        <v>452</v>
      </c>
      <c r="H62" s="1"/>
      <c r="I62" s="1" t="s">
        <v>89</v>
      </c>
      <c r="J62" s="7">
        <v>46067</v>
      </c>
      <c r="K62" s="7">
        <v>46070</v>
      </c>
      <c r="L62" s="11">
        <v>0.875</v>
      </c>
      <c r="M62" s="11">
        <v>0.125</v>
      </c>
      <c r="N62" s="1" t="s">
        <v>44</v>
      </c>
      <c r="O62" s="1" t="s">
        <v>45</v>
      </c>
      <c r="P62" s="1" t="s">
        <v>90</v>
      </c>
      <c r="Q62" s="1" t="s">
        <v>47</v>
      </c>
      <c r="R62" s="1" t="s">
        <v>74</v>
      </c>
      <c r="S62" s="8">
        <v>2000</v>
      </c>
      <c r="T62" s="8">
        <v>0</v>
      </c>
      <c r="U62" s="8">
        <v>0</v>
      </c>
      <c r="V62" s="8">
        <v>0</v>
      </c>
      <c r="W62" s="1" t="s">
        <v>453</v>
      </c>
      <c r="X62" s="1"/>
      <c r="Y62" s="1" t="s">
        <v>454</v>
      </c>
      <c r="Z62" s="1" t="s">
        <v>66</v>
      </c>
      <c r="AA62" s="1" t="s">
        <v>455</v>
      </c>
      <c r="AB62" s="1" t="s">
        <v>66</v>
      </c>
      <c r="AC62" s="1" t="s">
        <v>55</v>
      </c>
      <c r="AD62" s="1" t="str">
        <f>IFERROR(VLOOKUP(B62,'Regiões Administrativas'!$A$1:$B$646,2,0),"")</f>
        <v>Bauru</v>
      </c>
      <c r="AE62" s="1">
        <f>IFERROR(VLOOKUP(Form_Responses[[#This Row],[Município]],'Regiões Administrativas'!$A$1:$I$646,3,0),"")</f>
        <v>15458</v>
      </c>
      <c r="AF62" s="1">
        <f>IFERROR(VLOOKUP(Form_Responses[[#This Row],[Município]],'Regiões Administrativas'!$A$1:$I$646,4,0),"")</f>
        <v>350340605000001</v>
      </c>
      <c r="AG62" s="1">
        <f>IFERROR(VLOOKUP(Form_Responses[[#This Row],[Município]],'Regiões Administrativas'!$A$1:$I$646,4,0),"")</f>
        <v>350340605000001</v>
      </c>
      <c r="AH62" s="1">
        <f>IFERROR(VLOOKUP(B62,'Regiões Administrativas'!$A$1:$I$646,5,0),"")</f>
        <v>3503406</v>
      </c>
      <c r="AI62" s="1">
        <f>IFERROR(VLOOKUP(B62,'Regiões Administrativas'!$A$1:$I$646,6,0),"")</f>
        <v>-48.920414800000003</v>
      </c>
      <c r="AJ62" s="1">
        <f>IFERROR(VLOOKUP(B62,'Regiões Administrativas'!$A$1:$I$646,8,0),"")</f>
        <v>447.9803</v>
      </c>
      <c r="AK62" s="1" t="str">
        <f>IFERROR(VLOOKUP(Form_Responses[[#This Row],[Município]],'Regiões Administrativas'!$A$1:$I$646,9,0),"")</f>
        <v>1J6RtrA4O2jf</v>
      </c>
    </row>
    <row r="63" spans="1:37" ht="22.5" customHeight="1">
      <c r="A63" s="5">
        <v>46007.644272384263</v>
      </c>
      <c r="B63" s="1" t="s">
        <v>456</v>
      </c>
      <c r="C63" s="1" t="s">
        <v>149</v>
      </c>
      <c r="D63" s="1" t="s">
        <v>457</v>
      </c>
      <c r="E63" s="1" t="s">
        <v>458</v>
      </c>
      <c r="F63" s="1"/>
      <c r="G63" s="1" t="s">
        <v>459</v>
      </c>
      <c r="H63" s="6" t="s">
        <v>460</v>
      </c>
      <c r="I63" s="1" t="s">
        <v>267</v>
      </c>
      <c r="J63" s="7">
        <v>46028</v>
      </c>
      <c r="K63" s="1"/>
      <c r="L63" s="11">
        <v>0.83333333333575865</v>
      </c>
      <c r="M63" s="1"/>
      <c r="N63" s="1" t="s">
        <v>44</v>
      </c>
      <c r="O63" s="1" t="s">
        <v>45</v>
      </c>
      <c r="P63" s="1" t="s">
        <v>63</v>
      </c>
      <c r="Q63" s="1" t="s">
        <v>47</v>
      </c>
      <c r="R63" s="1" t="s">
        <v>74</v>
      </c>
      <c r="S63" s="8">
        <v>1000</v>
      </c>
      <c r="T63" s="8">
        <v>1000</v>
      </c>
      <c r="U63" s="8">
        <v>1000</v>
      </c>
      <c r="V63" s="8">
        <v>1000</v>
      </c>
      <c r="W63" s="1" t="s">
        <v>461</v>
      </c>
      <c r="X63" s="1"/>
      <c r="Y63" s="1" t="s">
        <v>462</v>
      </c>
      <c r="Z63" s="1" t="s">
        <v>76</v>
      </c>
      <c r="AA63" s="1" t="s">
        <v>463</v>
      </c>
      <c r="AB63" s="1" t="s">
        <v>66</v>
      </c>
      <c r="AC63" s="1" t="s">
        <v>68</v>
      </c>
      <c r="AD63" s="1" t="str">
        <f>IFERROR(VLOOKUP(B63,'Regiões Administrativas'!$A$1:$B$646,2,0),"")</f>
        <v>RMSP</v>
      </c>
      <c r="AE63" s="1">
        <f>IFERROR(VLOOKUP(Form_Responses[[#This Row],[Município]],'Regiões Administrativas'!$A$1:$I$646,3,0),"")</f>
        <v>17098</v>
      </c>
      <c r="AF63" s="1">
        <f>IFERROR(VLOOKUP(Form_Responses[[#This Row],[Município]],'Regiões Administrativas'!$A$1:$I$646,4,0),"")</f>
        <v>354730405000001</v>
      </c>
      <c r="AG63" s="1">
        <f>IFERROR(VLOOKUP(Form_Responses[[#This Row],[Município]],'Regiões Administrativas'!$A$1:$I$646,4,0),"")</f>
        <v>354730405000001</v>
      </c>
      <c r="AH63" s="1">
        <f>IFERROR(VLOOKUP(B63,'Regiões Administrativas'!$A$1:$I$646,5,0),"")</f>
        <v>3547304</v>
      </c>
      <c r="AI63" s="1">
        <f>IFERROR(VLOOKUP(B63,'Regiões Administrativas'!$A$1:$I$646,6,0),"")</f>
        <v>-46.922092499999998</v>
      </c>
      <c r="AJ63" s="1">
        <f>IFERROR(VLOOKUP(B63,'Regiões Administrativas'!$A$1:$I$646,8,0),"")</f>
        <v>769.83483799999999</v>
      </c>
      <c r="AK63" s="1" t="str">
        <f>IFERROR(VLOOKUP(Form_Responses[[#This Row],[Município]],'Regiões Administrativas'!$A$1:$I$646,9,0),"")</f>
        <v>1J6tM7.wP3d&gt;</v>
      </c>
    </row>
    <row r="64" spans="1:37" ht="22.5" customHeight="1">
      <c r="A64" s="5">
        <v>46007.649811481482</v>
      </c>
      <c r="B64" s="1" t="s">
        <v>456</v>
      </c>
      <c r="C64" s="1" t="s">
        <v>149</v>
      </c>
      <c r="D64" s="1" t="s">
        <v>464</v>
      </c>
      <c r="E64" s="1" t="s">
        <v>465</v>
      </c>
      <c r="F64" s="1" t="s">
        <v>466</v>
      </c>
      <c r="G64" s="1" t="s">
        <v>467</v>
      </c>
      <c r="H64" s="6" t="s">
        <v>460</v>
      </c>
      <c r="I64" s="1" t="s">
        <v>89</v>
      </c>
      <c r="J64" s="7">
        <v>46066</v>
      </c>
      <c r="K64" s="7">
        <v>46070</v>
      </c>
      <c r="L64" s="1"/>
      <c r="M64" s="1"/>
      <c r="N64" s="1" t="s">
        <v>44</v>
      </c>
      <c r="O64" s="1" t="s">
        <v>45</v>
      </c>
      <c r="P64" s="1" t="s">
        <v>90</v>
      </c>
      <c r="Q64" s="1" t="s">
        <v>47</v>
      </c>
      <c r="R64" s="1" t="s">
        <v>74</v>
      </c>
      <c r="S64" s="8">
        <v>30000</v>
      </c>
      <c r="T64" s="8">
        <v>30000</v>
      </c>
      <c r="U64" s="8">
        <v>30000</v>
      </c>
      <c r="V64" s="8"/>
      <c r="W64" s="1" t="s">
        <v>468</v>
      </c>
      <c r="X64" s="1"/>
      <c r="Y64" s="1" t="s">
        <v>462</v>
      </c>
      <c r="Z64" s="1" t="s">
        <v>66</v>
      </c>
      <c r="AA64" s="1" t="s">
        <v>66</v>
      </c>
      <c r="AB64" s="1" t="s">
        <v>66</v>
      </c>
      <c r="AC64" s="1" t="s">
        <v>68</v>
      </c>
      <c r="AD64" s="1" t="str">
        <f>IFERROR(VLOOKUP(B64,'Regiões Administrativas'!$A$1:$B$646,2,0),"")</f>
        <v>RMSP</v>
      </c>
      <c r="AE64" s="1">
        <f>IFERROR(VLOOKUP(Form_Responses[[#This Row],[Município]],'Regiões Administrativas'!$A$1:$I$646,3,0),"")</f>
        <v>17098</v>
      </c>
      <c r="AF64" s="1">
        <f>IFERROR(VLOOKUP(Form_Responses[[#This Row],[Município]],'Regiões Administrativas'!$A$1:$I$646,4,0),"")</f>
        <v>354730405000001</v>
      </c>
      <c r="AG64" s="1">
        <f>IFERROR(VLOOKUP(Form_Responses[[#This Row],[Município]],'Regiões Administrativas'!$A$1:$I$646,4,0),"")</f>
        <v>354730405000001</v>
      </c>
      <c r="AH64" s="1">
        <f>IFERROR(VLOOKUP(B64,'Regiões Administrativas'!$A$1:$I$646,5,0),"")</f>
        <v>3547304</v>
      </c>
      <c r="AI64" s="1">
        <f>IFERROR(VLOOKUP(B64,'Regiões Administrativas'!$A$1:$I$646,6,0),"")</f>
        <v>-46.922092499999998</v>
      </c>
      <c r="AJ64" s="1">
        <f>IFERROR(VLOOKUP(B64,'Regiões Administrativas'!$A$1:$I$646,8,0),"")</f>
        <v>769.83483799999999</v>
      </c>
      <c r="AK64" s="1" t="str">
        <f>IFERROR(VLOOKUP(Form_Responses[[#This Row],[Município]],'Regiões Administrativas'!$A$1:$I$646,9,0),"")</f>
        <v>1J6tM7.wP3d&gt;</v>
      </c>
    </row>
    <row r="65" spans="1:37" ht="22.5" customHeight="1">
      <c r="A65" s="5">
        <v>46007.896890694443</v>
      </c>
      <c r="B65" s="1" t="s">
        <v>469</v>
      </c>
      <c r="C65" s="1" t="s">
        <v>103</v>
      </c>
      <c r="D65" s="1" t="s">
        <v>470</v>
      </c>
      <c r="E65" s="1" t="s">
        <v>471</v>
      </c>
      <c r="F65" s="1"/>
      <c r="G65" s="1" t="s">
        <v>472</v>
      </c>
      <c r="H65" s="1"/>
      <c r="I65" s="10" t="s">
        <v>267</v>
      </c>
      <c r="J65" s="7">
        <v>46046</v>
      </c>
      <c r="K65" s="7">
        <v>46046</v>
      </c>
      <c r="L65" s="11">
        <v>0.29166666666424135</v>
      </c>
      <c r="M65" s="11">
        <v>0.99930555555329192</v>
      </c>
      <c r="N65" s="1" t="s">
        <v>61</v>
      </c>
      <c r="O65" s="1" t="s">
        <v>436</v>
      </c>
      <c r="P65" s="1" t="s">
        <v>63</v>
      </c>
      <c r="Q65" s="1" t="s">
        <v>47</v>
      </c>
      <c r="R65" s="1" t="s">
        <v>48</v>
      </c>
      <c r="S65" s="8">
        <v>2500</v>
      </c>
      <c r="T65" s="8"/>
      <c r="U65" s="8"/>
      <c r="V65" s="8"/>
      <c r="W65" s="1" t="s">
        <v>473</v>
      </c>
      <c r="X65" s="1"/>
      <c r="Y65" s="1" t="s">
        <v>474</v>
      </c>
      <c r="Z65" s="1" t="s">
        <v>224</v>
      </c>
      <c r="AA65" s="1" t="s">
        <v>475</v>
      </c>
      <c r="AB65" s="10" t="s">
        <v>66</v>
      </c>
      <c r="AC65" s="10" t="s">
        <v>68</v>
      </c>
      <c r="AD65" s="1" t="str">
        <f>IFERROR(VLOOKUP(B65,'Regiões Administrativas'!$A$1:$B$646,2,0),"")</f>
        <v>São José do Rio Preto</v>
      </c>
      <c r="AE65" s="1">
        <f>IFERROR(VLOOKUP(Form_Responses[[#This Row],[Município]],'Regiões Administrativas'!$A$1:$I$646,3,0),"")</f>
        <v>16991</v>
      </c>
      <c r="AF65" s="1">
        <f>IFERROR(VLOOKUP(Form_Responses[[#This Row],[Município]],'Regiões Administrativas'!$A$1:$I$646,4,0),"")</f>
        <v>354450905000001</v>
      </c>
      <c r="AG65" s="1">
        <f>IFERROR(VLOOKUP(Form_Responses[[#This Row],[Município]],'Regiões Administrativas'!$A$1:$I$646,4,0),"")</f>
        <v>354450905000001</v>
      </c>
      <c r="AH65" s="1">
        <f>IFERROR(VLOOKUP(B65,'Regiões Administrativas'!$A$1:$I$646,5,0),"")</f>
        <v>3544509</v>
      </c>
      <c r="AI65" s="1">
        <f>IFERROR(VLOOKUP(B65,'Regiões Administrativas'!$A$1:$I$646,6,0),"")</f>
        <v>-50.9974846</v>
      </c>
      <c r="AJ65" s="1">
        <f>IFERROR(VLOOKUP(B65,'Regiões Administrativas'!$A$1:$I$646,8,0),"")</f>
        <v>343.14790499999998</v>
      </c>
      <c r="AK65" s="1" t="str">
        <f>IFERROR(VLOOKUP(Form_Responses[[#This Row],[Município]],'Regiões Administrativas'!$A$1:$I$646,9,0),"")</f>
        <v>1J6R@gTOiZS&gt;</v>
      </c>
    </row>
    <row r="66" spans="1:37" ht="22.5" customHeight="1">
      <c r="A66" s="5">
        <v>46008.38459400463</v>
      </c>
      <c r="B66" s="1" t="s">
        <v>456</v>
      </c>
      <c r="C66" s="1" t="s">
        <v>149</v>
      </c>
      <c r="D66" s="1" t="s">
        <v>476</v>
      </c>
      <c r="E66" s="1" t="s">
        <v>477</v>
      </c>
      <c r="F66" s="1" t="s">
        <v>478</v>
      </c>
      <c r="G66" s="1" t="s">
        <v>479</v>
      </c>
      <c r="H66" s="6" t="s">
        <v>460</v>
      </c>
      <c r="I66" s="10" t="s">
        <v>128</v>
      </c>
      <c r="J66" s="7">
        <v>46114</v>
      </c>
      <c r="K66" s="7">
        <v>46116</v>
      </c>
      <c r="L66" s="11">
        <v>0.83333333333575865</v>
      </c>
      <c r="M66" s="1"/>
      <c r="N66" s="1" t="s">
        <v>44</v>
      </c>
      <c r="O66" s="1" t="s">
        <v>221</v>
      </c>
      <c r="P66" s="1" t="s">
        <v>480</v>
      </c>
      <c r="Q66" s="1" t="s">
        <v>47</v>
      </c>
      <c r="R66" s="1" t="s">
        <v>74</v>
      </c>
      <c r="S66" s="8">
        <v>35000</v>
      </c>
      <c r="T66" s="8">
        <v>30000</v>
      </c>
      <c r="U66" s="8">
        <v>30000</v>
      </c>
      <c r="V66" s="8">
        <v>30000</v>
      </c>
      <c r="W66" s="1" t="s">
        <v>468</v>
      </c>
      <c r="X66" s="1"/>
      <c r="Y66" s="1" t="s">
        <v>462</v>
      </c>
      <c r="Z66" s="1" t="s">
        <v>76</v>
      </c>
      <c r="AA66" s="1" t="s">
        <v>113</v>
      </c>
      <c r="AB66" s="10" t="s">
        <v>66</v>
      </c>
      <c r="AC66" s="10" t="s">
        <v>68</v>
      </c>
      <c r="AD66" s="1" t="str">
        <f>IFERROR(VLOOKUP(B66,'Regiões Administrativas'!$A$1:$B$646,2,0),"")</f>
        <v>RMSP</v>
      </c>
      <c r="AE66" s="1">
        <f>IFERROR(VLOOKUP(Form_Responses[[#This Row],[Município]],'Regiões Administrativas'!$A$1:$I$646,3,0),"")</f>
        <v>17098</v>
      </c>
      <c r="AF66" s="1">
        <f>IFERROR(VLOOKUP(Form_Responses[[#This Row],[Município]],'Regiões Administrativas'!$A$1:$I$646,4,0),"")</f>
        <v>354730405000001</v>
      </c>
      <c r="AG66" s="1">
        <f>IFERROR(VLOOKUP(Form_Responses[[#This Row],[Município]],'Regiões Administrativas'!$A$1:$I$646,4,0),"")</f>
        <v>354730405000001</v>
      </c>
      <c r="AH66" s="1">
        <f>IFERROR(VLOOKUP(B66,'Regiões Administrativas'!$A$1:$I$646,5,0),"")</f>
        <v>3547304</v>
      </c>
      <c r="AI66" s="1">
        <f>IFERROR(VLOOKUP(B66,'Regiões Administrativas'!$A$1:$I$646,6,0),"")</f>
        <v>-46.922092499999998</v>
      </c>
      <c r="AJ66" s="1">
        <f>IFERROR(VLOOKUP(B66,'Regiões Administrativas'!$A$1:$I$646,8,0),"")</f>
        <v>769.83483799999999</v>
      </c>
      <c r="AK66" s="1" t="str">
        <f>IFERROR(VLOOKUP(Form_Responses[[#This Row],[Município]],'Regiões Administrativas'!$A$1:$I$646,9,0),"")</f>
        <v>1J6tM7.wP3d&gt;</v>
      </c>
    </row>
    <row r="67" spans="1:37" ht="22.5" customHeight="1">
      <c r="A67" s="5">
        <v>46008.387449895832</v>
      </c>
      <c r="B67" s="1" t="s">
        <v>456</v>
      </c>
      <c r="C67" s="1" t="s">
        <v>149</v>
      </c>
      <c r="D67" s="1" t="s">
        <v>476</v>
      </c>
      <c r="E67" s="1" t="s">
        <v>481</v>
      </c>
      <c r="F67" s="1" t="s">
        <v>478</v>
      </c>
      <c r="G67" s="1" t="s">
        <v>479</v>
      </c>
      <c r="H67" s="6" t="s">
        <v>460</v>
      </c>
      <c r="I67" s="10" t="s">
        <v>128</v>
      </c>
      <c r="J67" s="7">
        <v>46114</v>
      </c>
      <c r="K67" s="7">
        <v>46116</v>
      </c>
      <c r="L67" s="11">
        <v>0.83333333333575865</v>
      </c>
      <c r="M67" s="1"/>
      <c r="N67" s="1" t="s">
        <v>44</v>
      </c>
      <c r="O67" s="1" t="s">
        <v>221</v>
      </c>
      <c r="P67" s="1" t="s">
        <v>480</v>
      </c>
      <c r="Q67" s="1" t="s">
        <v>47</v>
      </c>
      <c r="R67" s="1" t="s">
        <v>74</v>
      </c>
      <c r="S67" s="8">
        <v>35000</v>
      </c>
      <c r="T67" s="8">
        <v>30000</v>
      </c>
      <c r="U67" s="8">
        <v>30000</v>
      </c>
      <c r="V67" s="8">
        <v>30000</v>
      </c>
      <c r="W67" s="1" t="s">
        <v>468</v>
      </c>
      <c r="X67" s="1"/>
      <c r="Y67" s="1" t="s">
        <v>462</v>
      </c>
      <c r="Z67" s="1" t="s">
        <v>76</v>
      </c>
      <c r="AA67" s="1" t="s">
        <v>113</v>
      </c>
      <c r="AB67" s="10" t="s">
        <v>66</v>
      </c>
      <c r="AC67" s="10" t="s">
        <v>68</v>
      </c>
      <c r="AD67" s="1" t="str">
        <f>IFERROR(VLOOKUP(B67,'Regiões Administrativas'!$A$1:$B$646,2,0),"")</f>
        <v>RMSP</v>
      </c>
      <c r="AE67" s="1">
        <f>IFERROR(VLOOKUP(Form_Responses[[#This Row],[Município]],'Regiões Administrativas'!$A$1:$I$646,3,0),"")</f>
        <v>17098</v>
      </c>
      <c r="AF67" s="1">
        <f>IFERROR(VLOOKUP(Form_Responses[[#This Row],[Município]],'Regiões Administrativas'!$A$1:$I$646,4,0),"")</f>
        <v>354730405000001</v>
      </c>
      <c r="AG67" s="1">
        <f>IFERROR(VLOOKUP(Form_Responses[[#This Row],[Município]],'Regiões Administrativas'!$A$1:$I$646,4,0),"")</f>
        <v>354730405000001</v>
      </c>
      <c r="AH67" s="1">
        <f>IFERROR(VLOOKUP(B67,'Regiões Administrativas'!$A$1:$I$646,5,0),"")</f>
        <v>3547304</v>
      </c>
      <c r="AI67" s="1">
        <f>IFERROR(VLOOKUP(B67,'Regiões Administrativas'!$A$1:$I$646,6,0),"")</f>
        <v>-46.922092499999998</v>
      </c>
      <c r="AJ67" s="1">
        <f>IFERROR(VLOOKUP(B67,'Regiões Administrativas'!$A$1:$I$646,8,0),"")</f>
        <v>769.83483799999999</v>
      </c>
      <c r="AK67" s="1" t="str">
        <f>IFERROR(VLOOKUP(Form_Responses[[#This Row],[Município]],'Regiões Administrativas'!$A$1:$I$646,9,0),"")</f>
        <v>1J6tM7.wP3d&gt;</v>
      </c>
    </row>
    <row r="68" spans="1:37" ht="22.5" customHeight="1">
      <c r="A68" s="13">
        <v>46008.397301793986</v>
      </c>
      <c r="B68" s="1" t="s">
        <v>456</v>
      </c>
      <c r="C68" s="1" t="s">
        <v>149</v>
      </c>
      <c r="D68" s="1" t="s">
        <v>482</v>
      </c>
      <c r="E68" s="1" t="s">
        <v>483</v>
      </c>
      <c r="F68" s="1"/>
      <c r="G68" s="1" t="s">
        <v>484</v>
      </c>
      <c r="H68" s="6" t="s">
        <v>460</v>
      </c>
      <c r="I68" s="10" t="s">
        <v>60</v>
      </c>
      <c r="J68" s="7">
        <v>46177</v>
      </c>
      <c r="K68" s="7">
        <v>46177</v>
      </c>
      <c r="L68" s="11">
        <v>0.25</v>
      </c>
      <c r="M68" s="1"/>
      <c r="N68" s="1" t="s">
        <v>44</v>
      </c>
      <c r="O68" s="1" t="s">
        <v>221</v>
      </c>
      <c r="P68" s="1" t="s">
        <v>302</v>
      </c>
      <c r="Q68" s="1" t="s">
        <v>47</v>
      </c>
      <c r="R68" s="1" t="s">
        <v>74</v>
      </c>
      <c r="S68" s="8">
        <v>30000</v>
      </c>
      <c r="T68" s="8">
        <v>30000</v>
      </c>
      <c r="U68" s="8">
        <v>30000</v>
      </c>
      <c r="V68" s="8">
        <v>30000</v>
      </c>
      <c r="W68" s="1" t="s">
        <v>468</v>
      </c>
      <c r="X68" s="1"/>
      <c r="Y68" s="1" t="s">
        <v>462</v>
      </c>
      <c r="Z68" s="1" t="s">
        <v>66</v>
      </c>
      <c r="AA68" s="1" t="s">
        <v>66</v>
      </c>
      <c r="AB68" s="10" t="s">
        <v>66</v>
      </c>
      <c r="AC68" s="10" t="s">
        <v>68</v>
      </c>
      <c r="AD68" s="1" t="str">
        <f>IFERROR(VLOOKUP(B68,'Regiões Administrativas'!$A$1:$B$646,2,0),"")</f>
        <v>RMSP</v>
      </c>
      <c r="AE68" s="1">
        <f>IFERROR(VLOOKUP(Form_Responses[[#This Row],[Município]],'Regiões Administrativas'!$A$1:$I$646,3,0),"")</f>
        <v>17098</v>
      </c>
      <c r="AF68" s="1">
        <f>IFERROR(VLOOKUP(Form_Responses[[#This Row],[Município]],'Regiões Administrativas'!$A$1:$I$646,4,0),"")</f>
        <v>354730405000001</v>
      </c>
      <c r="AG68" s="1">
        <f>IFERROR(VLOOKUP(Form_Responses[[#This Row],[Município]],'Regiões Administrativas'!$A$1:$I$646,4,0),"")</f>
        <v>354730405000001</v>
      </c>
      <c r="AH68" s="1">
        <f>IFERROR(VLOOKUP(B68,'Regiões Administrativas'!$A$1:$I$646,5,0),"")</f>
        <v>3547304</v>
      </c>
      <c r="AI68" s="1">
        <f>IFERROR(VLOOKUP(B68,'Regiões Administrativas'!$A$1:$I$646,6,0),"")</f>
        <v>-46.922092499999998</v>
      </c>
      <c r="AJ68" s="1">
        <f>IFERROR(VLOOKUP(B68,'Regiões Administrativas'!$A$1:$I$646,8,0),"")</f>
        <v>769.83483799999999</v>
      </c>
      <c r="AK68" s="1" t="str">
        <f>IFERROR(VLOOKUP(Form_Responses[[#This Row],[Município]],'Regiões Administrativas'!$A$1:$I$646,9,0),"")</f>
        <v>1J6tM7.wP3d&gt;</v>
      </c>
    </row>
    <row r="69" spans="1:37" ht="22.5" customHeight="1">
      <c r="A69" s="13">
        <v>46008.41311144676</v>
      </c>
      <c r="B69" s="1" t="s">
        <v>456</v>
      </c>
      <c r="C69" s="1" t="s">
        <v>149</v>
      </c>
      <c r="D69" s="1" t="s">
        <v>485</v>
      </c>
      <c r="E69" s="1" t="s">
        <v>486</v>
      </c>
      <c r="F69" s="1"/>
      <c r="G69" s="1" t="s">
        <v>484</v>
      </c>
      <c r="H69" s="6" t="s">
        <v>460</v>
      </c>
      <c r="I69" s="10" t="s">
        <v>72</v>
      </c>
      <c r="J69" s="7">
        <v>46215</v>
      </c>
      <c r="K69" s="7">
        <v>46215</v>
      </c>
      <c r="L69" s="11">
        <v>0.41666666666424135</v>
      </c>
      <c r="M69" s="1"/>
      <c r="N69" s="1" t="s">
        <v>73</v>
      </c>
      <c r="O69" s="1" t="s">
        <v>45</v>
      </c>
      <c r="P69" s="1" t="s">
        <v>63</v>
      </c>
      <c r="Q69" s="1" t="s">
        <v>47</v>
      </c>
      <c r="R69" s="1" t="s">
        <v>74</v>
      </c>
      <c r="S69" s="8">
        <v>20000</v>
      </c>
      <c r="T69" s="8">
        <v>20000</v>
      </c>
      <c r="U69" s="8">
        <v>20000</v>
      </c>
      <c r="V69" s="8">
        <v>20000</v>
      </c>
      <c r="W69" s="1" t="s">
        <v>487</v>
      </c>
      <c r="X69" s="1"/>
      <c r="Y69" s="1" t="s">
        <v>487</v>
      </c>
      <c r="Z69" s="1" t="s">
        <v>76</v>
      </c>
      <c r="AA69" s="1" t="s">
        <v>113</v>
      </c>
      <c r="AB69" s="10" t="s">
        <v>66</v>
      </c>
      <c r="AC69" s="10" t="s">
        <v>68</v>
      </c>
      <c r="AD69" s="1" t="str">
        <f>IFERROR(VLOOKUP(B69,'Regiões Administrativas'!$A$1:$B$646,2,0),"")</f>
        <v>RMSP</v>
      </c>
      <c r="AE69" s="1">
        <f>IFERROR(VLOOKUP(Form_Responses[[#This Row],[Município]],'Regiões Administrativas'!$A$1:$I$646,3,0),"")</f>
        <v>17098</v>
      </c>
      <c r="AF69" s="1">
        <f>IFERROR(VLOOKUP(Form_Responses[[#This Row],[Município]],'Regiões Administrativas'!$A$1:$I$646,4,0),"")</f>
        <v>354730405000001</v>
      </c>
      <c r="AG69" s="1">
        <f>IFERROR(VLOOKUP(Form_Responses[[#This Row],[Município]],'Regiões Administrativas'!$A$1:$I$646,4,0),"")</f>
        <v>354730405000001</v>
      </c>
      <c r="AH69" s="1">
        <f>IFERROR(VLOOKUP(B69,'Regiões Administrativas'!$A$1:$I$646,5,0),"")</f>
        <v>3547304</v>
      </c>
      <c r="AI69" s="1">
        <f>IFERROR(VLOOKUP(B69,'Regiões Administrativas'!$A$1:$I$646,6,0),"")</f>
        <v>-46.922092499999998</v>
      </c>
      <c r="AJ69" s="1">
        <f>IFERROR(VLOOKUP(B69,'Regiões Administrativas'!$A$1:$I$646,8,0),"")</f>
        <v>769.83483799999999</v>
      </c>
      <c r="AK69" s="1" t="str">
        <f>IFERROR(VLOOKUP(Form_Responses[[#This Row],[Município]],'Regiões Administrativas'!$A$1:$I$646,9,0),"")</f>
        <v>1J6tM7.wP3d&gt;</v>
      </c>
    </row>
    <row r="70" spans="1:37" ht="22.5" customHeight="1">
      <c r="A70" s="13">
        <v>46008.414028564817</v>
      </c>
      <c r="B70" s="1" t="s">
        <v>198</v>
      </c>
      <c r="C70" s="1" t="s">
        <v>38</v>
      </c>
      <c r="D70" s="1" t="s">
        <v>488</v>
      </c>
      <c r="E70" s="1" t="s">
        <v>489</v>
      </c>
      <c r="F70" s="1"/>
      <c r="G70" s="1" t="s">
        <v>490</v>
      </c>
      <c r="H70" s="6" t="s">
        <v>261</v>
      </c>
      <c r="I70" s="10" t="s">
        <v>60</v>
      </c>
      <c r="J70" s="7">
        <v>46192</v>
      </c>
      <c r="K70" s="7">
        <v>46196</v>
      </c>
      <c r="L70" s="11">
        <v>0.75</v>
      </c>
      <c r="M70" s="11">
        <v>0.99930555555329192</v>
      </c>
      <c r="N70" s="1" t="s">
        <v>44</v>
      </c>
      <c r="O70" s="1" t="s">
        <v>221</v>
      </c>
      <c r="P70" s="1" t="s">
        <v>135</v>
      </c>
      <c r="Q70" s="1" t="s">
        <v>47</v>
      </c>
      <c r="R70" s="1" t="s">
        <v>256</v>
      </c>
      <c r="S70" s="8">
        <v>10000</v>
      </c>
      <c r="T70" s="8">
        <v>10000</v>
      </c>
      <c r="U70" s="8">
        <v>10000</v>
      </c>
      <c r="V70" s="8">
        <v>10000</v>
      </c>
      <c r="W70" s="1" t="s">
        <v>491</v>
      </c>
      <c r="X70" s="1"/>
      <c r="Y70" s="1" t="s">
        <v>205</v>
      </c>
      <c r="Z70" s="1" t="s">
        <v>76</v>
      </c>
      <c r="AA70" s="1" t="s">
        <v>206</v>
      </c>
      <c r="AB70" s="10" t="s">
        <v>306</v>
      </c>
      <c r="AC70" s="10" t="s">
        <v>68</v>
      </c>
      <c r="AD70" s="1" t="str">
        <f>IFERROR(VLOOKUP(B70,'Regiões Administrativas'!$A$1:$B$646,2,0),"")</f>
        <v>Barretos</v>
      </c>
      <c r="AE70" s="1">
        <f>IFERROR(VLOOKUP(Form_Responses[[#This Row],[Município]],'Regiões Administrativas'!$A$1:$I$646,3,0),"")</f>
        <v>16671</v>
      </c>
      <c r="AF70" s="1">
        <f>IFERROR(VLOOKUP(Form_Responses[[#This Row],[Município]],'Regiões Administrativas'!$A$1:$I$646,4,0),"")</f>
        <v>353390805000001</v>
      </c>
      <c r="AG70" s="1">
        <f>IFERROR(VLOOKUP(Form_Responses[[#This Row],[Município]],'Regiões Administrativas'!$A$1:$I$646,4,0),"")</f>
        <v>353390805000001</v>
      </c>
      <c r="AH70" s="1">
        <f>IFERROR(VLOOKUP(B70,'Regiões Administrativas'!$A$1:$I$646,5,0),"")</f>
        <v>3533908</v>
      </c>
      <c r="AI70" s="1">
        <f>IFERROR(VLOOKUP(B70,'Regiões Administrativas'!$A$1:$I$646,6,0),"")</f>
        <v>-48.913491700000002</v>
      </c>
      <c r="AJ70" s="1">
        <f>IFERROR(VLOOKUP(B70,'Regiões Administrativas'!$A$1:$I$646,8,0),"")</f>
        <v>500.315541</v>
      </c>
      <c r="AK70" s="1" t="str">
        <f>IFERROR(VLOOKUP(Form_Responses[[#This Row],[Município]],'Regiões Administrativas'!$A$1:$I$646,9,0),"")</f>
        <v>1J6RdQ4;ieE-</v>
      </c>
    </row>
    <row r="71" spans="1:37" ht="22.5" customHeight="1">
      <c r="A71" s="13">
        <v>46008.415498402777</v>
      </c>
      <c r="B71" s="1" t="s">
        <v>492</v>
      </c>
      <c r="C71" s="1" t="s">
        <v>493</v>
      </c>
      <c r="D71" s="1" t="s">
        <v>494</v>
      </c>
      <c r="E71" s="1" t="s">
        <v>495</v>
      </c>
      <c r="F71" s="1"/>
      <c r="G71" s="1" t="s">
        <v>496</v>
      </c>
      <c r="H71" s="1"/>
      <c r="I71" s="10" t="s">
        <v>43</v>
      </c>
      <c r="J71" s="7">
        <v>46231</v>
      </c>
      <c r="K71" s="7">
        <v>46240</v>
      </c>
      <c r="L71" s="1"/>
      <c r="M71" s="1"/>
      <c r="N71" s="1" t="s">
        <v>44</v>
      </c>
      <c r="O71" s="1" t="s">
        <v>221</v>
      </c>
      <c r="P71" s="1" t="s">
        <v>221</v>
      </c>
      <c r="Q71" s="1" t="s">
        <v>47</v>
      </c>
      <c r="R71" s="1" t="s">
        <v>48</v>
      </c>
      <c r="S71" s="8">
        <v>280000</v>
      </c>
      <c r="T71" s="8">
        <v>250000</v>
      </c>
      <c r="U71" s="8">
        <v>250000</v>
      </c>
      <c r="V71" s="8">
        <v>220000</v>
      </c>
      <c r="W71" s="1" t="s">
        <v>497</v>
      </c>
      <c r="X71" s="1"/>
      <c r="Y71" s="1" t="s">
        <v>498</v>
      </c>
      <c r="Z71" s="1" t="s">
        <v>76</v>
      </c>
      <c r="AA71" s="1" t="s">
        <v>113</v>
      </c>
      <c r="AB71" s="10" t="s">
        <v>66</v>
      </c>
      <c r="AC71" s="10" t="s">
        <v>68</v>
      </c>
      <c r="AD71" s="1" t="str">
        <f>IFERROR(VLOOKUP(B71,'Regiões Administrativas'!$A$1:$B$646,2,0),"")</f>
        <v>Registro</v>
      </c>
      <c r="AE71" s="1">
        <f>IFERROR(VLOOKUP(Form_Responses[[#This Row],[Município]],'Regiões Administrativas'!$A$1:$I$646,3,0),"")</f>
        <v>16026</v>
      </c>
      <c r="AF71" s="1">
        <f>IFERROR(VLOOKUP(Form_Responses[[#This Row],[Município]],'Regiões Administrativas'!$A$1:$I$646,4,0),"")</f>
        <v>352030105000001</v>
      </c>
      <c r="AG71" s="1">
        <f>IFERROR(VLOOKUP(Form_Responses[[#This Row],[Município]],'Regiões Administrativas'!$A$1:$I$646,4,0),"")</f>
        <v>352030105000001</v>
      </c>
      <c r="AH71" s="1">
        <f>IFERROR(VLOOKUP(B71,'Regiões Administrativas'!$A$1:$I$646,5,0),"")</f>
        <v>3520301</v>
      </c>
      <c r="AI71" s="1">
        <f>IFERROR(VLOOKUP(B71,'Regiões Administrativas'!$A$1:$I$646,6,0),"")</f>
        <v>-47.553137399999997</v>
      </c>
      <c r="AJ71" s="1">
        <f>IFERROR(VLOOKUP(B71,'Regiões Administrativas'!$A$1:$I$646,8,0),"")</f>
        <v>4.7814889999999997</v>
      </c>
      <c r="AK71" s="1" t="str">
        <f>IFERROR(VLOOKUP(Form_Responses[[#This Row],[Município]],'Regiões Administrativas'!$A$1:$I$646,9,0),"")</f>
        <v>1J6U,6ZoR&lt;B&gt;</v>
      </c>
    </row>
    <row r="72" spans="1:37" ht="22.5" customHeight="1">
      <c r="A72" s="13">
        <v>46008.418195682869</v>
      </c>
      <c r="B72" s="1" t="s">
        <v>456</v>
      </c>
      <c r="C72" s="1" t="s">
        <v>149</v>
      </c>
      <c r="D72" s="1" t="s">
        <v>499</v>
      </c>
      <c r="E72" s="1" t="s">
        <v>500</v>
      </c>
      <c r="F72" s="1"/>
      <c r="G72" s="1" t="s">
        <v>467</v>
      </c>
      <c r="H72" s="6" t="s">
        <v>460</v>
      </c>
      <c r="I72" s="10" t="s">
        <v>72</v>
      </c>
      <c r="J72" s="7">
        <v>46229</v>
      </c>
      <c r="K72" s="7">
        <v>46229</v>
      </c>
      <c r="L72" s="11">
        <v>0.83333333333575865</v>
      </c>
      <c r="M72" s="1"/>
      <c r="N72" s="1" t="s">
        <v>44</v>
      </c>
      <c r="O72" s="1" t="s">
        <v>221</v>
      </c>
      <c r="P72" s="1" t="s">
        <v>221</v>
      </c>
      <c r="Q72" s="1" t="s">
        <v>47</v>
      </c>
      <c r="R72" s="1" t="s">
        <v>74</v>
      </c>
      <c r="S72" s="8">
        <v>1000</v>
      </c>
      <c r="T72" s="8">
        <v>1000</v>
      </c>
      <c r="U72" s="8">
        <v>1000</v>
      </c>
      <c r="V72" s="8">
        <v>1000</v>
      </c>
      <c r="W72" s="1" t="s">
        <v>468</v>
      </c>
      <c r="X72" s="1"/>
      <c r="Y72" s="1" t="s">
        <v>462</v>
      </c>
      <c r="Z72" s="1" t="s">
        <v>76</v>
      </c>
      <c r="AA72" s="1" t="s">
        <v>225</v>
      </c>
      <c r="AB72" s="10" t="s">
        <v>66</v>
      </c>
      <c r="AC72" s="10" t="s">
        <v>68</v>
      </c>
      <c r="AD72" s="1" t="str">
        <f>IFERROR(VLOOKUP(B72,'Regiões Administrativas'!$A$1:$B$646,2,0),"")</f>
        <v>RMSP</v>
      </c>
      <c r="AE72" s="1">
        <f>IFERROR(VLOOKUP(Form_Responses[[#This Row],[Município]],'Regiões Administrativas'!$A$1:$I$646,3,0),"")</f>
        <v>17098</v>
      </c>
      <c r="AF72" s="1">
        <f>IFERROR(VLOOKUP(Form_Responses[[#This Row],[Município]],'Regiões Administrativas'!$A$1:$I$646,4,0),"")</f>
        <v>354730405000001</v>
      </c>
      <c r="AG72" s="1">
        <f>IFERROR(VLOOKUP(Form_Responses[[#This Row],[Município]],'Regiões Administrativas'!$A$1:$I$646,4,0),"")</f>
        <v>354730405000001</v>
      </c>
      <c r="AH72" s="1">
        <f>IFERROR(VLOOKUP(B72,'Regiões Administrativas'!$A$1:$I$646,5,0),"")</f>
        <v>3547304</v>
      </c>
      <c r="AI72" s="1">
        <f>IFERROR(VLOOKUP(B72,'Regiões Administrativas'!$A$1:$I$646,6,0),"")</f>
        <v>-46.922092499999998</v>
      </c>
      <c r="AJ72" s="1">
        <f>IFERROR(VLOOKUP(B72,'Regiões Administrativas'!$A$1:$I$646,8,0),"")</f>
        <v>769.83483799999999</v>
      </c>
      <c r="AK72" s="1" t="str">
        <f>IFERROR(VLOOKUP(Form_Responses[[#This Row],[Município]],'Regiões Administrativas'!$A$1:$I$646,9,0),"")</f>
        <v>1J6tM7.wP3d&gt;</v>
      </c>
    </row>
    <row r="73" spans="1:37" ht="22.5" customHeight="1">
      <c r="A73" s="13">
        <v>46008.436928240742</v>
      </c>
      <c r="B73" s="1" t="s">
        <v>456</v>
      </c>
      <c r="C73" s="1" t="s">
        <v>149</v>
      </c>
      <c r="D73" s="1" t="s">
        <v>501</v>
      </c>
      <c r="E73" s="1" t="s">
        <v>502</v>
      </c>
      <c r="F73" s="1"/>
      <c r="G73" s="1" t="s">
        <v>479</v>
      </c>
      <c r="H73" s="6" t="s">
        <v>460</v>
      </c>
      <c r="I73" s="10" t="s">
        <v>197</v>
      </c>
      <c r="J73" s="7">
        <v>46340</v>
      </c>
      <c r="K73" s="7">
        <v>46340</v>
      </c>
      <c r="L73" s="11">
        <v>0.83333333333575865</v>
      </c>
      <c r="M73" s="1"/>
      <c r="N73" s="1" t="s">
        <v>110</v>
      </c>
      <c r="O73" s="1" t="s">
        <v>45</v>
      </c>
      <c r="P73" s="1" t="s">
        <v>63</v>
      </c>
      <c r="Q73" s="1" t="s">
        <v>47</v>
      </c>
      <c r="R73" s="1" t="s">
        <v>74</v>
      </c>
      <c r="S73" s="8">
        <v>30000</v>
      </c>
      <c r="T73" s="8">
        <v>30000</v>
      </c>
      <c r="U73" s="8">
        <v>30000</v>
      </c>
      <c r="V73" s="8">
        <v>30000</v>
      </c>
      <c r="W73" s="1" t="s">
        <v>468</v>
      </c>
      <c r="X73" s="1"/>
      <c r="Y73" s="1" t="s">
        <v>462</v>
      </c>
      <c r="Z73" s="1" t="s">
        <v>76</v>
      </c>
      <c r="AA73" s="1" t="s">
        <v>113</v>
      </c>
      <c r="AB73" s="10" t="s">
        <v>66</v>
      </c>
      <c r="AC73" s="10" t="s">
        <v>68</v>
      </c>
      <c r="AD73" s="1" t="str">
        <f>IFERROR(VLOOKUP(B73,'Regiões Administrativas'!$A$1:$B$646,2,0),"")</f>
        <v>RMSP</v>
      </c>
      <c r="AE73" s="1">
        <f>IFERROR(VLOOKUP(Form_Responses[[#This Row],[Município]],'Regiões Administrativas'!$A$1:$I$646,3,0),"")</f>
        <v>17098</v>
      </c>
      <c r="AF73" s="1">
        <f>IFERROR(VLOOKUP(Form_Responses[[#This Row],[Município]],'Regiões Administrativas'!$A$1:$I$646,4,0),"")</f>
        <v>354730405000001</v>
      </c>
      <c r="AG73" s="1">
        <f>IFERROR(VLOOKUP(Form_Responses[[#This Row],[Município]],'Regiões Administrativas'!$A$1:$I$646,4,0),"")</f>
        <v>354730405000001</v>
      </c>
      <c r="AH73" s="1">
        <f>IFERROR(VLOOKUP(B73,'Regiões Administrativas'!$A$1:$I$646,5,0),"")</f>
        <v>3547304</v>
      </c>
      <c r="AI73" s="1">
        <f>IFERROR(VLOOKUP(B73,'Regiões Administrativas'!$A$1:$I$646,6,0),"")</f>
        <v>-46.922092499999998</v>
      </c>
      <c r="AJ73" s="1">
        <f>IFERROR(VLOOKUP(B73,'Regiões Administrativas'!$A$1:$I$646,8,0),"")</f>
        <v>769.83483799999999</v>
      </c>
      <c r="AK73" s="1" t="str">
        <f>IFERROR(VLOOKUP(Form_Responses[[#This Row],[Município]],'Regiões Administrativas'!$A$1:$I$646,9,0),"")</f>
        <v>1J6tM7.wP3d&gt;</v>
      </c>
    </row>
    <row r="74" spans="1:37" ht="22.5" customHeight="1">
      <c r="A74" s="13">
        <v>46008.441400266209</v>
      </c>
      <c r="B74" s="1" t="s">
        <v>456</v>
      </c>
      <c r="C74" s="1" t="s">
        <v>149</v>
      </c>
      <c r="D74" s="1" t="s">
        <v>503</v>
      </c>
      <c r="E74" s="1" t="s">
        <v>504</v>
      </c>
      <c r="F74" s="1"/>
      <c r="G74" s="1" t="s">
        <v>505</v>
      </c>
      <c r="H74" s="6" t="s">
        <v>460</v>
      </c>
      <c r="I74" s="10" t="s">
        <v>162</v>
      </c>
      <c r="J74" s="7">
        <v>46360</v>
      </c>
      <c r="K74" s="7">
        <v>46393</v>
      </c>
      <c r="L74" s="1"/>
      <c r="M74" s="1"/>
      <c r="N74" s="1" t="s">
        <v>44</v>
      </c>
      <c r="O74" s="1" t="s">
        <v>221</v>
      </c>
      <c r="P74" s="1" t="s">
        <v>251</v>
      </c>
      <c r="Q74" s="1" t="s">
        <v>47</v>
      </c>
      <c r="R74" s="1" t="s">
        <v>74</v>
      </c>
      <c r="S74" s="8">
        <v>150000</v>
      </c>
      <c r="T74" s="8">
        <v>150000</v>
      </c>
      <c r="U74" s="8">
        <v>150000</v>
      </c>
      <c r="V74" s="8">
        <v>150000</v>
      </c>
      <c r="W74" s="1" t="s">
        <v>468</v>
      </c>
      <c r="X74" s="1"/>
      <c r="Y74" s="1" t="s">
        <v>462</v>
      </c>
      <c r="Z74" s="1" t="s">
        <v>76</v>
      </c>
      <c r="AA74" s="1" t="s">
        <v>225</v>
      </c>
      <c r="AB74" s="10" t="s">
        <v>66</v>
      </c>
      <c r="AC74" s="10" t="s">
        <v>68</v>
      </c>
      <c r="AD74" s="1" t="str">
        <f>IFERROR(VLOOKUP(B74,'Regiões Administrativas'!$A$1:$B$646,2,0),"")</f>
        <v>RMSP</v>
      </c>
      <c r="AE74" s="1">
        <f>IFERROR(VLOOKUP(Form_Responses[[#This Row],[Município]],'Regiões Administrativas'!$A$1:$I$646,3,0),"")</f>
        <v>17098</v>
      </c>
      <c r="AF74" s="1">
        <f>IFERROR(VLOOKUP(Form_Responses[[#This Row],[Município]],'Regiões Administrativas'!$A$1:$I$646,4,0),"")</f>
        <v>354730405000001</v>
      </c>
      <c r="AG74" s="1">
        <f>IFERROR(VLOOKUP(Form_Responses[[#This Row],[Município]],'Regiões Administrativas'!$A$1:$I$646,4,0),"")</f>
        <v>354730405000001</v>
      </c>
      <c r="AH74" s="1">
        <f>IFERROR(VLOOKUP(B74,'Regiões Administrativas'!$A$1:$I$646,5,0),"")</f>
        <v>3547304</v>
      </c>
      <c r="AI74" s="1">
        <f>IFERROR(VLOOKUP(B74,'Regiões Administrativas'!$A$1:$I$646,6,0),"")</f>
        <v>-46.922092499999998</v>
      </c>
      <c r="AJ74" s="1">
        <f>IFERROR(VLOOKUP(B74,'Regiões Administrativas'!$A$1:$I$646,8,0),"")</f>
        <v>769.83483799999999</v>
      </c>
      <c r="AK74" s="1" t="str">
        <f>IFERROR(VLOOKUP(Form_Responses[[#This Row],[Município]],'Regiões Administrativas'!$A$1:$I$646,9,0),"")</f>
        <v>1J6tM7.wP3d&gt;</v>
      </c>
    </row>
    <row r="75" spans="1:37" ht="22.5" customHeight="1">
      <c r="A75" s="5">
        <v>46008.447976481482</v>
      </c>
      <c r="B75" s="1" t="s">
        <v>198</v>
      </c>
      <c r="C75" s="1" t="s">
        <v>38</v>
      </c>
      <c r="D75" s="1" t="s">
        <v>506</v>
      </c>
      <c r="E75" s="1" t="s">
        <v>507</v>
      </c>
      <c r="F75" s="1"/>
      <c r="G75" s="1" t="s">
        <v>508</v>
      </c>
      <c r="H75" s="6" t="s">
        <v>261</v>
      </c>
      <c r="I75" s="10" t="s">
        <v>267</v>
      </c>
      <c r="J75" s="7">
        <v>46023</v>
      </c>
      <c r="K75" s="7">
        <v>46023</v>
      </c>
      <c r="L75" s="11">
        <v>0.95833333333575865</v>
      </c>
      <c r="M75" s="11">
        <v>0.16666666666424135</v>
      </c>
      <c r="N75" s="1" t="s">
        <v>44</v>
      </c>
      <c r="O75" s="1" t="s">
        <v>45</v>
      </c>
      <c r="P75" s="1" t="s">
        <v>180</v>
      </c>
      <c r="Q75" s="1" t="s">
        <v>47</v>
      </c>
      <c r="R75" s="1" t="s">
        <v>74</v>
      </c>
      <c r="S75" s="8">
        <v>15000</v>
      </c>
      <c r="T75" s="8">
        <v>10000</v>
      </c>
      <c r="U75" s="8">
        <v>15000</v>
      </c>
      <c r="V75" s="8">
        <v>10000</v>
      </c>
      <c r="W75" s="1" t="s">
        <v>262</v>
      </c>
      <c r="X75" s="1"/>
      <c r="Y75" s="1" t="s">
        <v>205</v>
      </c>
      <c r="Z75" s="1" t="s">
        <v>76</v>
      </c>
      <c r="AA75" s="1" t="s">
        <v>509</v>
      </c>
      <c r="AB75" s="10" t="s">
        <v>207</v>
      </c>
      <c r="AC75" s="10" t="s">
        <v>68</v>
      </c>
      <c r="AD75" s="1" t="str">
        <f>IFERROR(VLOOKUP(B75,'Regiões Administrativas'!$A$1:$B$646,2,0),"")</f>
        <v>Barretos</v>
      </c>
      <c r="AE75" s="1">
        <f>IFERROR(VLOOKUP(Form_Responses[[#This Row],[Município]],'Regiões Administrativas'!$A$1:$I$646,3,0),"")</f>
        <v>16671</v>
      </c>
      <c r="AF75" s="1">
        <f>IFERROR(VLOOKUP(Form_Responses[[#This Row],[Município]],'Regiões Administrativas'!$A$1:$I$646,4,0),"")</f>
        <v>353390805000001</v>
      </c>
      <c r="AG75" s="1">
        <f>IFERROR(VLOOKUP(Form_Responses[[#This Row],[Município]],'Regiões Administrativas'!$A$1:$I$646,4,0),"")</f>
        <v>353390805000001</v>
      </c>
      <c r="AH75" s="1">
        <f>IFERROR(VLOOKUP(B75,'Regiões Administrativas'!$A$1:$I$646,5,0),"")</f>
        <v>3533908</v>
      </c>
      <c r="AI75" s="1">
        <f>IFERROR(VLOOKUP(B75,'Regiões Administrativas'!$A$1:$I$646,6,0),"")</f>
        <v>-48.913491700000002</v>
      </c>
      <c r="AJ75" s="1">
        <f>IFERROR(VLOOKUP(B75,'Regiões Administrativas'!$A$1:$I$646,8,0),"")</f>
        <v>500.315541</v>
      </c>
      <c r="AK75" s="1" t="str">
        <f>IFERROR(VLOOKUP(Form_Responses[[#This Row],[Município]],'Regiões Administrativas'!$A$1:$I$646,9,0),"")</f>
        <v>1J6RdQ4;ieE-</v>
      </c>
    </row>
    <row r="76" spans="1:37" ht="22.5" customHeight="1">
      <c r="A76" s="5">
        <v>46008.449325231486</v>
      </c>
      <c r="B76" s="1" t="s">
        <v>456</v>
      </c>
      <c r="C76" s="1" t="s">
        <v>149</v>
      </c>
      <c r="D76" s="1" t="s">
        <v>510</v>
      </c>
      <c r="E76" s="1" t="s">
        <v>511</v>
      </c>
      <c r="F76" s="1" t="s">
        <v>512</v>
      </c>
      <c r="G76" s="1" t="s">
        <v>513</v>
      </c>
      <c r="H76" s="6" t="s">
        <v>460</v>
      </c>
      <c r="I76" s="10" t="s">
        <v>220</v>
      </c>
      <c r="J76" s="7">
        <v>46158</v>
      </c>
      <c r="K76" s="1"/>
      <c r="L76" s="11">
        <v>0.83333333333575865</v>
      </c>
      <c r="M76" s="1"/>
      <c r="N76" s="1" t="s">
        <v>44</v>
      </c>
      <c r="O76" s="1" t="s">
        <v>45</v>
      </c>
      <c r="P76" s="1" t="s">
        <v>221</v>
      </c>
      <c r="Q76" s="1" t="s">
        <v>47</v>
      </c>
      <c r="R76" s="1" t="s">
        <v>74</v>
      </c>
      <c r="S76" s="8">
        <v>1000</v>
      </c>
      <c r="T76" s="8">
        <v>1000</v>
      </c>
      <c r="U76" s="8">
        <v>1000</v>
      </c>
      <c r="V76" s="8">
        <v>1000</v>
      </c>
      <c r="W76" s="1" t="s">
        <v>468</v>
      </c>
      <c r="X76" s="1"/>
      <c r="Y76" s="1" t="s">
        <v>462</v>
      </c>
      <c r="Z76" s="1" t="s">
        <v>66</v>
      </c>
      <c r="AA76" s="1" t="s">
        <v>66</v>
      </c>
      <c r="AB76" s="10" t="s">
        <v>66</v>
      </c>
      <c r="AC76" s="10" t="s">
        <v>68</v>
      </c>
      <c r="AD76" s="1" t="str">
        <f>IFERROR(VLOOKUP(B76,'Regiões Administrativas'!$A$1:$B$646,2,0),"")</f>
        <v>RMSP</v>
      </c>
      <c r="AE76" s="1">
        <f>IFERROR(VLOOKUP(Form_Responses[[#This Row],[Município]],'Regiões Administrativas'!$A$1:$I$646,3,0),"")</f>
        <v>17098</v>
      </c>
      <c r="AF76" s="1">
        <f>IFERROR(VLOOKUP(Form_Responses[[#This Row],[Município]],'Regiões Administrativas'!$A$1:$I$646,4,0),"")</f>
        <v>354730405000001</v>
      </c>
      <c r="AG76" s="1">
        <f>IFERROR(VLOOKUP(Form_Responses[[#This Row],[Município]],'Regiões Administrativas'!$A$1:$I$646,4,0),"")</f>
        <v>354730405000001</v>
      </c>
      <c r="AH76" s="1">
        <f>IFERROR(VLOOKUP(B76,'Regiões Administrativas'!$A$1:$I$646,5,0),"")</f>
        <v>3547304</v>
      </c>
      <c r="AI76" s="1">
        <f>IFERROR(VLOOKUP(B76,'Regiões Administrativas'!$A$1:$I$646,6,0),"")</f>
        <v>-46.922092499999998</v>
      </c>
      <c r="AJ76" s="1">
        <f>IFERROR(VLOOKUP(B76,'Regiões Administrativas'!$A$1:$I$646,8,0),"")</f>
        <v>769.83483799999999</v>
      </c>
      <c r="AK76" s="1" t="str">
        <f>IFERROR(VLOOKUP(Form_Responses[[#This Row],[Município]],'Regiões Administrativas'!$A$1:$I$646,9,0),"")</f>
        <v>1J6tM7.wP3d&gt;</v>
      </c>
    </row>
    <row r="77" spans="1:37" ht="22.5" customHeight="1">
      <c r="A77" s="13">
        <v>46008.452681226852</v>
      </c>
      <c r="B77" s="1" t="s">
        <v>456</v>
      </c>
      <c r="C77" s="1" t="s">
        <v>149</v>
      </c>
      <c r="D77" s="1" t="s">
        <v>514</v>
      </c>
      <c r="E77" s="1" t="s">
        <v>515</v>
      </c>
      <c r="F77" s="1"/>
      <c r="G77" s="1" t="s">
        <v>516</v>
      </c>
      <c r="H77" s="6" t="s">
        <v>460</v>
      </c>
      <c r="I77" s="10" t="s">
        <v>60</v>
      </c>
      <c r="J77" s="7">
        <v>46187</v>
      </c>
      <c r="K77" s="7">
        <v>46187</v>
      </c>
      <c r="L77" s="11">
        <v>0.41666666666424135</v>
      </c>
      <c r="M77" s="1"/>
      <c r="N77" s="1" t="s">
        <v>44</v>
      </c>
      <c r="O77" s="1" t="s">
        <v>221</v>
      </c>
      <c r="P77" s="1" t="s">
        <v>221</v>
      </c>
      <c r="Q77" s="1" t="s">
        <v>47</v>
      </c>
      <c r="R77" s="1" t="s">
        <v>74</v>
      </c>
      <c r="S77" s="8">
        <v>1000</v>
      </c>
      <c r="T77" s="8">
        <v>1000</v>
      </c>
      <c r="U77" s="8">
        <v>1000</v>
      </c>
      <c r="V77" s="8">
        <v>1000</v>
      </c>
      <c r="W77" s="1" t="s">
        <v>468</v>
      </c>
      <c r="X77" s="1"/>
      <c r="Y77" s="1" t="s">
        <v>462</v>
      </c>
      <c r="Z77" s="1" t="s">
        <v>66</v>
      </c>
      <c r="AA77" s="1" t="s">
        <v>66</v>
      </c>
      <c r="AB77" s="10" t="s">
        <v>66</v>
      </c>
      <c r="AC77" s="10" t="s">
        <v>68</v>
      </c>
      <c r="AD77" s="1" t="str">
        <f>IFERROR(VLOOKUP(B77,'Regiões Administrativas'!$A$1:$B$646,2,0),"")</f>
        <v>RMSP</v>
      </c>
      <c r="AE77" s="1">
        <f>IFERROR(VLOOKUP(Form_Responses[[#This Row],[Município]],'Regiões Administrativas'!$A$1:$I$646,3,0),"")</f>
        <v>17098</v>
      </c>
      <c r="AF77" s="1">
        <f>IFERROR(VLOOKUP(Form_Responses[[#This Row],[Município]],'Regiões Administrativas'!$A$1:$I$646,4,0),"")</f>
        <v>354730405000001</v>
      </c>
      <c r="AG77" s="1">
        <f>IFERROR(VLOOKUP(Form_Responses[[#This Row],[Município]],'Regiões Administrativas'!$A$1:$I$646,4,0),"")</f>
        <v>354730405000001</v>
      </c>
      <c r="AH77" s="1">
        <f>IFERROR(VLOOKUP(B77,'Regiões Administrativas'!$A$1:$I$646,5,0),"")</f>
        <v>3547304</v>
      </c>
      <c r="AI77" s="1">
        <f>IFERROR(VLOOKUP(B77,'Regiões Administrativas'!$A$1:$I$646,6,0),"")</f>
        <v>-46.922092499999998</v>
      </c>
      <c r="AJ77" s="1">
        <f>IFERROR(VLOOKUP(B77,'Regiões Administrativas'!$A$1:$I$646,8,0),"")</f>
        <v>769.83483799999999</v>
      </c>
      <c r="AK77" s="1" t="str">
        <f>IFERROR(VLOOKUP(Form_Responses[[#This Row],[Município]],'Regiões Administrativas'!$A$1:$I$646,9,0),"")</f>
        <v>1J6tM7.wP3d&gt;</v>
      </c>
    </row>
    <row r="78" spans="1:37" ht="22.5" customHeight="1">
      <c r="A78" s="13">
        <v>46008.468249201389</v>
      </c>
      <c r="B78" s="1" t="s">
        <v>198</v>
      </c>
      <c r="C78" s="1" t="s">
        <v>38</v>
      </c>
      <c r="D78" s="1" t="s">
        <v>517</v>
      </c>
      <c r="E78" s="1" t="s">
        <v>518</v>
      </c>
      <c r="F78" s="1"/>
      <c r="G78" s="1" t="s">
        <v>490</v>
      </c>
      <c r="H78" s="6" t="s">
        <v>519</v>
      </c>
      <c r="I78" s="10" t="s">
        <v>162</v>
      </c>
      <c r="J78" s="7">
        <v>45995</v>
      </c>
      <c r="K78" s="7">
        <v>46014</v>
      </c>
      <c r="L78" s="11">
        <v>0.83333333333575865</v>
      </c>
      <c r="M78" s="11">
        <v>0.99930555555329192</v>
      </c>
      <c r="N78" s="1" t="s">
        <v>44</v>
      </c>
      <c r="O78" s="1" t="s">
        <v>45</v>
      </c>
      <c r="P78" s="1" t="s">
        <v>251</v>
      </c>
      <c r="Q78" s="1" t="s">
        <v>47</v>
      </c>
      <c r="R78" s="1" t="s">
        <v>74</v>
      </c>
      <c r="S78" s="8">
        <v>3000</v>
      </c>
      <c r="T78" s="8">
        <v>2000</v>
      </c>
      <c r="U78" s="8">
        <v>3000</v>
      </c>
      <c r="V78" s="8">
        <v>2000</v>
      </c>
      <c r="W78" s="1" t="s">
        <v>262</v>
      </c>
      <c r="X78" s="6" t="s">
        <v>261</v>
      </c>
      <c r="Y78" s="1" t="s">
        <v>205</v>
      </c>
      <c r="Z78" s="1" t="s">
        <v>76</v>
      </c>
      <c r="AA78" s="1" t="s">
        <v>206</v>
      </c>
      <c r="AB78" s="10" t="s">
        <v>207</v>
      </c>
      <c r="AC78" s="10" t="s">
        <v>68</v>
      </c>
      <c r="AD78" s="1" t="str">
        <f>IFERROR(VLOOKUP(B78,'Regiões Administrativas'!$A$1:$B$646,2,0),"")</f>
        <v>Barretos</v>
      </c>
      <c r="AE78" s="1">
        <f>IFERROR(VLOOKUP(Form_Responses[[#This Row],[Município]],'Regiões Administrativas'!$A$1:$I$646,3,0),"")</f>
        <v>16671</v>
      </c>
      <c r="AF78" s="1">
        <f>IFERROR(VLOOKUP(Form_Responses[[#This Row],[Município]],'Regiões Administrativas'!$A$1:$I$646,4,0),"")</f>
        <v>353390805000001</v>
      </c>
      <c r="AG78" s="1">
        <f>IFERROR(VLOOKUP(Form_Responses[[#This Row],[Município]],'Regiões Administrativas'!$A$1:$I$646,4,0),"")</f>
        <v>353390805000001</v>
      </c>
      <c r="AH78" s="1">
        <f>IFERROR(VLOOKUP(B78,'Regiões Administrativas'!$A$1:$I$646,5,0),"")</f>
        <v>3533908</v>
      </c>
      <c r="AI78" s="1">
        <f>IFERROR(VLOOKUP(B78,'Regiões Administrativas'!$A$1:$I$646,6,0),"")</f>
        <v>-48.913491700000002</v>
      </c>
      <c r="AJ78" s="1">
        <f>IFERROR(VLOOKUP(B78,'Regiões Administrativas'!$A$1:$I$646,8,0),"")</f>
        <v>500.315541</v>
      </c>
      <c r="AK78" s="1" t="str">
        <f>IFERROR(VLOOKUP(Form_Responses[[#This Row],[Município]],'Regiões Administrativas'!$A$1:$I$646,9,0),"")</f>
        <v>1J6RdQ4;ieE-</v>
      </c>
    </row>
    <row r="79" spans="1:37" ht="22.5" customHeight="1">
      <c r="A79" s="13">
        <v>46008.469867245367</v>
      </c>
      <c r="B79" s="1" t="s">
        <v>520</v>
      </c>
      <c r="C79" s="1" t="s">
        <v>521</v>
      </c>
      <c r="D79" s="1" t="s">
        <v>522</v>
      </c>
      <c r="E79" s="1" t="s">
        <v>523</v>
      </c>
      <c r="F79" s="1"/>
      <c r="G79" s="1" t="s">
        <v>524</v>
      </c>
      <c r="H79" s="1"/>
      <c r="I79" s="10" t="s">
        <v>43</v>
      </c>
      <c r="J79" s="1"/>
      <c r="K79" s="1"/>
      <c r="L79" s="1"/>
      <c r="M79" s="1"/>
      <c r="N79" s="1" t="s">
        <v>44</v>
      </c>
      <c r="O79" s="1" t="s">
        <v>190</v>
      </c>
      <c r="P79" s="1" t="s">
        <v>63</v>
      </c>
      <c r="Q79" s="1" t="s">
        <v>47</v>
      </c>
      <c r="R79" s="1" t="s">
        <v>74</v>
      </c>
      <c r="S79" s="8">
        <v>15000</v>
      </c>
      <c r="T79" s="8"/>
      <c r="U79" s="8"/>
      <c r="V79" s="8"/>
      <c r="W79" s="1" t="s">
        <v>525</v>
      </c>
      <c r="X79" s="1"/>
      <c r="Y79" s="1" t="s">
        <v>526</v>
      </c>
      <c r="Z79" s="1" t="s">
        <v>76</v>
      </c>
      <c r="AA79" s="1" t="s">
        <v>527</v>
      </c>
      <c r="AB79" s="10" t="s">
        <v>66</v>
      </c>
      <c r="AC79" s="10" t="s">
        <v>68</v>
      </c>
      <c r="AD79" s="1" t="str">
        <f>IFERROR(VLOOKUP(B79,'Regiões Administrativas'!$A$1:$B$646,2,0),"")</f>
        <v>São José do Rio Preto</v>
      </c>
      <c r="AE79" s="1">
        <f>IFERROR(VLOOKUP(Form_Responses[[#This Row],[Município]],'Regiões Administrativas'!$A$1:$I$646,3,0),"")</f>
        <v>17413</v>
      </c>
      <c r="AF79" s="1">
        <f>IFERROR(VLOOKUP(Form_Responses[[#This Row],[Município]],'Regiões Administrativas'!$A$1:$I$646,4,0),"")</f>
        <v>355560405000001</v>
      </c>
      <c r="AG79" s="1">
        <f>IFERROR(VLOOKUP(Form_Responses[[#This Row],[Município]],'Regiões Administrativas'!$A$1:$I$646,4,0),"")</f>
        <v>355560405000001</v>
      </c>
      <c r="AH79" s="1">
        <f>IFERROR(VLOOKUP(B79,'Regiões Administrativas'!$A$1:$I$646,5,0),"")</f>
        <v>3555604</v>
      </c>
      <c r="AI79" s="1">
        <f>IFERROR(VLOOKUP(B79,'Regiões Administrativas'!$A$1:$I$646,6,0),"")</f>
        <v>-49.1776695</v>
      </c>
      <c r="AJ79" s="1">
        <f>IFERROR(VLOOKUP(B79,'Regiões Administrativas'!$A$1:$I$646,8,0),"")</f>
        <v>504.43618800000002</v>
      </c>
      <c r="AK79" s="1" t="str">
        <f>IFERROR(VLOOKUP(Form_Responses[[#This Row],[Município]],'Regiões Administrativas'!$A$1:$I$646,9,0),"")</f>
        <v>1J6RdM*:heL&gt;</v>
      </c>
    </row>
    <row r="80" spans="1:37" ht="22.5" customHeight="1">
      <c r="A80" s="13">
        <v>46008.474877141205</v>
      </c>
      <c r="B80" s="1" t="s">
        <v>198</v>
      </c>
      <c r="C80" s="1" t="s">
        <v>38</v>
      </c>
      <c r="D80" s="1" t="s">
        <v>248</v>
      </c>
      <c r="E80" s="1" t="s">
        <v>528</v>
      </c>
      <c r="F80" s="1"/>
      <c r="G80" s="1" t="s">
        <v>490</v>
      </c>
      <c r="H80" s="6" t="s">
        <v>261</v>
      </c>
      <c r="I80" s="10" t="s">
        <v>162</v>
      </c>
      <c r="J80" s="7">
        <v>46001</v>
      </c>
      <c r="K80" s="7">
        <v>46001</v>
      </c>
      <c r="L80" s="11">
        <v>0.83333333333575865</v>
      </c>
      <c r="M80" s="11">
        <v>0.99930555555329192</v>
      </c>
      <c r="N80" s="1" t="s">
        <v>44</v>
      </c>
      <c r="O80" s="1" t="s">
        <v>45</v>
      </c>
      <c r="P80" s="1" t="s">
        <v>251</v>
      </c>
      <c r="Q80" s="1" t="s">
        <v>47</v>
      </c>
      <c r="R80" s="1" t="s">
        <v>74</v>
      </c>
      <c r="S80" s="8">
        <v>3000</v>
      </c>
      <c r="T80" s="8">
        <v>2000</v>
      </c>
      <c r="U80" s="8">
        <v>3000</v>
      </c>
      <c r="V80" s="8">
        <v>2000</v>
      </c>
      <c r="W80" s="1" t="s">
        <v>262</v>
      </c>
      <c r="X80" s="1"/>
      <c r="Y80" s="1" t="s">
        <v>205</v>
      </c>
      <c r="Z80" s="1" t="s">
        <v>76</v>
      </c>
      <c r="AA80" s="1" t="s">
        <v>206</v>
      </c>
      <c r="AB80" s="10" t="s">
        <v>207</v>
      </c>
      <c r="AC80" s="10" t="s">
        <v>68</v>
      </c>
      <c r="AD80" s="1" t="str">
        <f>IFERROR(VLOOKUP(B80,'Regiões Administrativas'!$A$1:$B$646,2,0),"")</f>
        <v>Barretos</v>
      </c>
      <c r="AE80" s="1">
        <f>IFERROR(VLOOKUP(Form_Responses[[#This Row],[Município]],'Regiões Administrativas'!$A$1:$I$646,3,0),"")</f>
        <v>16671</v>
      </c>
      <c r="AF80" s="1">
        <f>IFERROR(VLOOKUP(Form_Responses[[#This Row],[Município]],'Regiões Administrativas'!$A$1:$I$646,4,0),"")</f>
        <v>353390805000001</v>
      </c>
      <c r="AG80" s="1">
        <f>IFERROR(VLOOKUP(Form_Responses[[#This Row],[Município]],'Regiões Administrativas'!$A$1:$I$646,4,0),"")</f>
        <v>353390805000001</v>
      </c>
      <c r="AH80" s="1">
        <f>IFERROR(VLOOKUP(B80,'Regiões Administrativas'!$A$1:$I$646,5,0),"")</f>
        <v>3533908</v>
      </c>
      <c r="AI80" s="1">
        <f>IFERROR(VLOOKUP(B80,'Regiões Administrativas'!$A$1:$I$646,6,0),"")</f>
        <v>-48.913491700000002</v>
      </c>
      <c r="AJ80" s="1">
        <f>IFERROR(VLOOKUP(B80,'Regiões Administrativas'!$A$1:$I$646,8,0),"")</f>
        <v>500.315541</v>
      </c>
      <c r="AK80" s="1" t="str">
        <f>IFERROR(VLOOKUP(Form_Responses[[#This Row],[Município]],'Regiões Administrativas'!$A$1:$I$646,9,0),"")</f>
        <v>1J6RdQ4;ieE-</v>
      </c>
    </row>
    <row r="81" spans="1:37" ht="22.5" customHeight="1">
      <c r="A81" s="13">
        <v>46008.476492488422</v>
      </c>
      <c r="B81" s="1" t="s">
        <v>529</v>
      </c>
      <c r="C81" s="1" t="s">
        <v>115</v>
      </c>
      <c r="D81" s="1" t="s">
        <v>530</v>
      </c>
      <c r="E81" s="1" t="s">
        <v>531</v>
      </c>
      <c r="F81" s="1"/>
      <c r="G81" s="1" t="s">
        <v>532</v>
      </c>
      <c r="H81" s="6" t="s">
        <v>533</v>
      </c>
      <c r="I81" s="10" t="s">
        <v>72</v>
      </c>
      <c r="J81" s="7">
        <v>46213</v>
      </c>
      <c r="K81" s="7">
        <v>46215</v>
      </c>
      <c r="L81" s="11">
        <v>0.79166666666424135</v>
      </c>
      <c r="M81" s="1"/>
      <c r="N81" s="1" t="s">
        <v>73</v>
      </c>
      <c r="O81" s="1" t="s">
        <v>45</v>
      </c>
      <c r="P81" s="1" t="s">
        <v>63</v>
      </c>
      <c r="Q81" s="1" t="s">
        <v>47</v>
      </c>
      <c r="R81" s="1" t="s">
        <v>74</v>
      </c>
      <c r="S81" s="8">
        <v>30000</v>
      </c>
      <c r="T81" s="8">
        <v>28000</v>
      </c>
      <c r="U81" s="8"/>
      <c r="V81" s="8"/>
      <c r="W81" s="1" t="s">
        <v>534</v>
      </c>
      <c r="X81" s="1"/>
      <c r="Y81" s="1" t="s">
        <v>535</v>
      </c>
      <c r="Z81" s="1" t="s">
        <v>402</v>
      </c>
      <c r="AA81" s="1" t="s">
        <v>536</v>
      </c>
      <c r="AB81" s="10" t="s">
        <v>66</v>
      </c>
      <c r="AC81" s="10" t="s">
        <v>68</v>
      </c>
      <c r="AD81" s="1" t="str">
        <f>IFERROR(VLOOKUP(B81,'Regiões Administrativas'!$A$1:$B$646,2,0),"")</f>
        <v>Marília</v>
      </c>
      <c r="AE81" s="1">
        <f>IFERROR(VLOOKUP(Form_Responses[[#This Row],[Município]],'Regiões Administrativas'!$A$1:$I$646,3,0),"")</f>
        <v>17061</v>
      </c>
      <c r="AF81" s="1">
        <f>IFERROR(VLOOKUP(Form_Responses[[#This Row],[Município]],'Regiões Administrativas'!$A$1:$I$646,4,0),"")</f>
        <v>354640505000001</v>
      </c>
      <c r="AG81" s="1">
        <f>IFERROR(VLOOKUP(Form_Responses[[#This Row],[Município]],'Regiões Administrativas'!$A$1:$I$646,4,0),"")</f>
        <v>354640505000001</v>
      </c>
      <c r="AH81" s="1">
        <f>IFERROR(VLOOKUP(B81,'Regiões Administrativas'!$A$1:$I$646,5,0),"")</f>
        <v>3546405</v>
      </c>
      <c r="AI81" s="1">
        <f>IFERROR(VLOOKUP(B81,'Regiões Administrativas'!$A$1:$I$646,6,0),"")</f>
        <v>-49.624608899999998</v>
      </c>
      <c r="AJ81" s="1">
        <f>IFERROR(VLOOKUP(B81,'Regiões Administrativas'!$A$1:$I$646,8,0),"")</f>
        <v>456.771523</v>
      </c>
      <c r="AK81" s="1" t="str">
        <f>IFERROR(VLOOKUP(Form_Responses[[#This Row],[Município]],'Regiões Administrativas'!$A$1:$I$646,9,0),"")</f>
        <v>1J6RW@*2i4+p</v>
      </c>
    </row>
    <row r="82" spans="1:37" ht="22.5" customHeight="1">
      <c r="A82" s="5">
        <v>46008.476968171293</v>
      </c>
      <c r="B82" s="1" t="s">
        <v>537</v>
      </c>
      <c r="C82" s="1" t="s">
        <v>538</v>
      </c>
      <c r="D82" s="1" t="s">
        <v>539</v>
      </c>
      <c r="E82" s="1" t="s">
        <v>540</v>
      </c>
      <c r="F82" s="1"/>
      <c r="G82" s="1" t="s">
        <v>541</v>
      </c>
      <c r="H82" s="1" t="s">
        <v>542</v>
      </c>
      <c r="I82" s="10" t="s">
        <v>128</v>
      </c>
      <c r="J82" s="7">
        <v>46129</v>
      </c>
      <c r="K82" s="7">
        <v>46133</v>
      </c>
      <c r="L82" s="11">
        <v>0.5</v>
      </c>
      <c r="M82" s="11">
        <v>0.95833333333575865</v>
      </c>
      <c r="N82" s="1" t="s">
        <v>44</v>
      </c>
      <c r="O82" s="1" t="s">
        <v>45</v>
      </c>
      <c r="P82" s="1" t="s">
        <v>99</v>
      </c>
      <c r="Q82" s="1" t="s">
        <v>47</v>
      </c>
      <c r="R82" s="1" t="s">
        <v>230</v>
      </c>
      <c r="S82" s="8">
        <v>70000</v>
      </c>
      <c r="T82" s="8">
        <v>70000</v>
      </c>
      <c r="U82" s="8">
        <v>70000</v>
      </c>
      <c r="V82" s="8">
        <v>70000</v>
      </c>
      <c r="W82" s="1" t="s">
        <v>543</v>
      </c>
      <c r="X82" s="1" t="s">
        <v>164</v>
      </c>
      <c r="Y82" s="1" t="s">
        <v>544</v>
      </c>
      <c r="Z82" s="1" t="s">
        <v>76</v>
      </c>
      <c r="AA82" s="1" t="s">
        <v>67</v>
      </c>
      <c r="AB82" s="10" t="s">
        <v>66</v>
      </c>
      <c r="AC82" s="10" t="s">
        <v>68</v>
      </c>
      <c r="AD82" s="1" t="str">
        <f>IFERROR(VLOOKUP(B82,'Regiões Administrativas'!$A$1:$B$646,2,0),"")</f>
        <v>Marília</v>
      </c>
      <c r="AE82" s="1">
        <f>IFERROR(VLOOKUP(Form_Responses[[#This Row],[Município]],'Regiões Administrativas'!$A$1:$I$646,3,0),"")</f>
        <v>16464</v>
      </c>
      <c r="AF82" s="1">
        <f>IFERROR(VLOOKUP(Form_Responses[[#This Row],[Município]],'Regiões Administrativas'!$A$1:$I$646,4,0),"")</f>
        <v>352900505000001</v>
      </c>
      <c r="AG82" s="1">
        <f>IFERROR(VLOOKUP(Form_Responses[[#This Row],[Município]],'Regiões Administrativas'!$A$1:$I$646,4,0),"")</f>
        <v>352900505000001</v>
      </c>
      <c r="AH82" s="1">
        <f>IFERROR(VLOOKUP(B82,'Regiões Administrativas'!$A$1:$I$646,5,0),"")</f>
        <v>3529005</v>
      </c>
      <c r="AI82" s="1">
        <f>IFERROR(VLOOKUP(B82,'Regiões Administrativas'!$A$1:$I$646,6,0),"")</f>
        <v>-49.951645599999999</v>
      </c>
      <c r="AJ82" s="1">
        <f>IFERROR(VLOOKUP(B82,'Regiões Administrativas'!$A$1:$I$646,8,0),"")</f>
        <v>657.30619000000002</v>
      </c>
      <c r="AK82" s="1" t="str">
        <f>IFERROR(VLOOKUP(Form_Responses[[#This Row],[Município]],'Regiões Administrativas'!$A$1:$I$646,9,0),"")</f>
        <v>1J6RQZYeWgj&gt;</v>
      </c>
    </row>
    <row r="83" spans="1:37" ht="22.5" customHeight="1">
      <c r="A83" s="13">
        <v>46008.505965185184</v>
      </c>
      <c r="B83" s="1" t="s">
        <v>537</v>
      </c>
      <c r="C83" s="1" t="s">
        <v>538</v>
      </c>
      <c r="D83" s="1" t="s">
        <v>545</v>
      </c>
      <c r="E83" s="1" t="s">
        <v>546</v>
      </c>
      <c r="F83" s="1"/>
      <c r="G83" s="1" t="s">
        <v>547</v>
      </c>
      <c r="H83" s="6" t="s">
        <v>548</v>
      </c>
      <c r="I83" s="10" t="s">
        <v>81</v>
      </c>
      <c r="J83" s="7">
        <v>45925</v>
      </c>
      <c r="K83" s="7">
        <v>45970</v>
      </c>
      <c r="L83" s="11">
        <v>0.5</v>
      </c>
      <c r="M83" s="11">
        <v>0.95833333333575865</v>
      </c>
      <c r="N83" s="1" t="s">
        <v>73</v>
      </c>
      <c r="O83" s="1" t="s">
        <v>190</v>
      </c>
      <c r="P83" s="1" t="s">
        <v>63</v>
      </c>
      <c r="Q83" s="1" t="s">
        <v>47</v>
      </c>
      <c r="R83" s="1" t="s">
        <v>74</v>
      </c>
      <c r="S83" s="8">
        <v>10000</v>
      </c>
      <c r="T83" s="8">
        <v>9334</v>
      </c>
      <c r="U83" s="8">
        <v>6640</v>
      </c>
      <c r="V83" s="8">
        <v>5094</v>
      </c>
      <c r="W83" s="1" t="s">
        <v>549</v>
      </c>
      <c r="X83" s="1" t="s">
        <v>550</v>
      </c>
      <c r="Y83" s="1" t="s">
        <v>550</v>
      </c>
      <c r="Z83" s="1" t="s">
        <v>76</v>
      </c>
      <c r="AA83" s="1" t="s">
        <v>67</v>
      </c>
      <c r="AB83" s="10" t="s">
        <v>66</v>
      </c>
      <c r="AC83" s="10" t="s">
        <v>68</v>
      </c>
      <c r="AD83" s="1" t="str">
        <f>IFERROR(VLOOKUP(B83,'Regiões Administrativas'!$A$1:$B$646,2,0),"")</f>
        <v>Marília</v>
      </c>
      <c r="AE83" s="1">
        <f>IFERROR(VLOOKUP(Form_Responses[[#This Row],[Município]],'Regiões Administrativas'!$A$1:$I$646,3,0),"")</f>
        <v>16464</v>
      </c>
      <c r="AF83" s="1">
        <f>IFERROR(VLOOKUP(Form_Responses[[#This Row],[Município]],'Regiões Administrativas'!$A$1:$I$646,4,0),"")</f>
        <v>352900505000001</v>
      </c>
      <c r="AG83" s="1">
        <f>IFERROR(VLOOKUP(Form_Responses[[#This Row],[Município]],'Regiões Administrativas'!$A$1:$I$646,4,0),"")</f>
        <v>352900505000001</v>
      </c>
      <c r="AH83" s="1">
        <f>IFERROR(VLOOKUP(B83,'Regiões Administrativas'!$A$1:$I$646,5,0),"")</f>
        <v>3529005</v>
      </c>
      <c r="AI83" s="1">
        <f>IFERROR(VLOOKUP(B83,'Regiões Administrativas'!$A$1:$I$646,6,0),"")</f>
        <v>-49.951645599999999</v>
      </c>
      <c r="AJ83" s="1">
        <f>IFERROR(VLOOKUP(B83,'Regiões Administrativas'!$A$1:$I$646,8,0),"")</f>
        <v>657.30619000000002</v>
      </c>
      <c r="AK83" s="1" t="str">
        <f>IFERROR(VLOOKUP(Form_Responses[[#This Row],[Município]],'Regiões Administrativas'!$A$1:$I$646,9,0),"")</f>
        <v>1J6RQZYeWgj&gt;</v>
      </c>
    </row>
    <row r="84" spans="1:37" ht="22.5" customHeight="1">
      <c r="A84" s="5">
        <v>46008.538982754631</v>
      </c>
      <c r="B84" s="1" t="s">
        <v>198</v>
      </c>
      <c r="C84" s="1" t="s">
        <v>38</v>
      </c>
      <c r="D84" s="1" t="s">
        <v>551</v>
      </c>
      <c r="E84" s="1" t="s">
        <v>552</v>
      </c>
      <c r="F84" s="1"/>
      <c r="G84" s="1" t="s">
        <v>553</v>
      </c>
      <c r="H84" s="6" t="s">
        <v>261</v>
      </c>
      <c r="I84" s="10" t="s">
        <v>220</v>
      </c>
      <c r="J84" s="7">
        <v>46149</v>
      </c>
      <c r="K84" s="7">
        <v>46151</v>
      </c>
      <c r="L84" s="11">
        <v>0.83333333333575865</v>
      </c>
      <c r="M84" s="11">
        <v>0.99930555555329192</v>
      </c>
      <c r="N84" s="1" t="s">
        <v>44</v>
      </c>
      <c r="O84" s="1" t="s">
        <v>234</v>
      </c>
      <c r="P84" s="1" t="s">
        <v>46</v>
      </c>
      <c r="Q84" s="1" t="s">
        <v>47</v>
      </c>
      <c r="R84" s="1" t="s">
        <v>74</v>
      </c>
      <c r="S84" s="8">
        <v>30000</v>
      </c>
      <c r="T84" s="8">
        <v>30000</v>
      </c>
      <c r="U84" s="8">
        <v>25000</v>
      </c>
      <c r="V84" s="8">
        <v>20000</v>
      </c>
      <c r="W84" s="1" t="s">
        <v>262</v>
      </c>
      <c r="X84" s="1"/>
      <c r="Y84" s="1" t="s">
        <v>205</v>
      </c>
      <c r="Z84" s="1" t="s">
        <v>76</v>
      </c>
      <c r="AA84" s="1" t="s">
        <v>509</v>
      </c>
      <c r="AB84" s="10" t="s">
        <v>207</v>
      </c>
      <c r="AC84" s="10" t="s">
        <v>68</v>
      </c>
      <c r="AD84" s="1" t="str">
        <f>IFERROR(VLOOKUP(B84,'Regiões Administrativas'!$A$1:$B$646,2,0),"")</f>
        <v>Barretos</v>
      </c>
      <c r="AE84" s="1">
        <f>IFERROR(VLOOKUP(Form_Responses[[#This Row],[Município]],'Regiões Administrativas'!$A$1:$I$646,3,0),"")</f>
        <v>16671</v>
      </c>
      <c r="AF84" s="1">
        <f>IFERROR(VLOOKUP(Form_Responses[[#This Row],[Município]],'Regiões Administrativas'!$A$1:$I$646,4,0),"")</f>
        <v>353390805000001</v>
      </c>
      <c r="AG84" s="1">
        <f>IFERROR(VLOOKUP(Form_Responses[[#This Row],[Município]],'Regiões Administrativas'!$A$1:$I$646,4,0),"")</f>
        <v>353390805000001</v>
      </c>
      <c r="AH84" s="1">
        <f>IFERROR(VLOOKUP(B84,'Regiões Administrativas'!$A$1:$I$646,5,0),"")</f>
        <v>3533908</v>
      </c>
      <c r="AI84" s="1">
        <f>IFERROR(VLOOKUP(B84,'Regiões Administrativas'!$A$1:$I$646,6,0),"")</f>
        <v>-48.913491700000002</v>
      </c>
      <c r="AJ84" s="1">
        <f>IFERROR(VLOOKUP(B84,'Regiões Administrativas'!$A$1:$I$646,8,0),"")</f>
        <v>500.315541</v>
      </c>
      <c r="AK84" s="1" t="str">
        <f>IFERROR(VLOOKUP(Form_Responses[[#This Row],[Município]],'Regiões Administrativas'!$A$1:$I$646,9,0),"")</f>
        <v>1J6RdQ4;ieE-</v>
      </c>
    </row>
    <row r="85" spans="1:37" ht="22.5" customHeight="1">
      <c r="A85" s="13">
        <v>46008.676988356485</v>
      </c>
      <c r="B85" s="1" t="s">
        <v>554</v>
      </c>
      <c r="C85" s="1" t="s">
        <v>555</v>
      </c>
      <c r="D85" s="1" t="s">
        <v>556</v>
      </c>
      <c r="E85" s="1" t="s">
        <v>557</v>
      </c>
      <c r="F85" s="1"/>
      <c r="G85" s="1" t="s">
        <v>558</v>
      </c>
      <c r="H85" s="6" t="s">
        <v>559</v>
      </c>
      <c r="I85" s="10" t="s">
        <v>43</v>
      </c>
      <c r="J85" s="7">
        <v>46242</v>
      </c>
      <c r="K85" s="7">
        <v>46250</v>
      </c>
      <c r="L85" s="11">
        <v>0.33333333333575865</v>
      </c>
      <c r="M85" s="11">
        <v>0.95833333333575865</v>
      </c>
      <c r="N85" s="1" t="s">
        <v>73</v>
      </c>
      <c r="O85" s="1" t="s">
        <v>45</v>
      </c>
      <c r="P85" s="1" t="s">
        <v>63</v>
      </c>
      <c r="Q85" s="1" t="s">
        <v>47</v>
      </c>
      <c r="R85" s="1" t="s">
        <v>48</v>
      </c>
      <c r="S85" s="8">
        <v>80000</v>
      </c>
      <c r="T85" s="8">
        <v>70000</v>
      </c>
      <c r="U85" s="8">
        <v>85000</v>
      </c>
      <c r="V85" s="8">
        <v>80000</v>
      </c>
      <c r="W85" s="1" t="s">
        <v>560</v>
      </c>
      <c r="X85" s="1" t="s">
        <v>561</v>
      </c>
      <c r="Y85" s="1" t="s">
        <v>562</v>
      </c>
      <c r="Z85" s="1" t="s">
        <v>361</v>
      </c>
      <c r="AA85" s="1" t="s">
        <v>563</v>
      </c>
      <c r="AB85" s="10" t="s">
        <v>66</v>
      </c>
      <c r="AC85" s="10" t="s">
        <v>68</v>
      </c>
      <c r="AD85" s="1" t="str">
        <f>IFERROR(VLOOKUP(B85,'Regiões Administrativas'!$A$1:$B$646,2,0),"")</f>
        <v>São José do Rio Preto</v>
      </c>
      <c r="AE85" s="1">
        <f>IFERROR(VLOOKUP(Form_Responses[[#This Row],[Município]],'Regiões Administrativas'!$A$1:$I$646,3,0),"")</f>
        <v>17450</v>
      </c>
      <c r="AF85" s="1">
        <f>IFERROR(VLOOKUP(Form_Responses[[#This Row],[Município]],'Regiões Administrativas'!$A$1:$I$646,4,0),"")</f>
        <v>355710505000001</v>
      </c>
      <c r="AG85" s="1">
        <f>IFERROR(VLOOKUP(Form_Responses[[#This Row],[Município]],'Regiões Administrativas'!$A$1:$I$646,4,0),"")</f>
        <v>355710505000001</v>
      </c>
      <c r="AH85" s="1">
        <f>IFERROR(VLOOKUP(B85,'Regiões Administrativas'!$A$1:$I$646,5,0),"")</f>
        <v>3557105</v>
      </c>
      <c r="AI85" s="1">
        <f>IFERROR(VLOOKUP(B85,'Regiões Administrativas'!$A$1:$I$646,6,0),"")</f>
        <v>-49.974671999999998</v>
      </c>
      <c r="AJ85" s="1">
        <f>IFERROR(VLOOKUP(B85,'Regiões Administrativas'!$A$1:$I$646,8,0),"")</f>
        <v>518.33459100000005</v>
      </c>
      <c r="AK85" s="1" t="str">
        <f>IFERROR(VLOOKUP(Form_Responses[[#This Row],[Município]],'Regiões Administrativas'!$A$1:$I$646,9,0),"")</f>
        <v>1J6R3Zw@HH+p</v>
      </c>
    </row>
    <row r="86" spans="1:37" ht="22.5" customHeight="1">
      <c r="A86" s="13">
        <v>46008.680472650463</v>
      </c>
      <c r="B86" s="1" t="s">
        <v>492</v>
      </c>
      <c r="C86" s="1" t="s">
        <v>493</v>
      </c>
      <c r="D86" s="1" t="s">
        <v>564</v>
      </c>
      <c r="E86" s="1" t="s">
        <v>565</v>
      </c>
      <c r="F86" s="1"/>
      <c r="G86" s="1" t="s">
        <v>566</v>
      </c>
      <c r="H86" s="6" t="s">
        <v>567</v>
      </c>
      <c r="I86" s="10" t="s">
        <v>60</v>
      </c>
      <c r="J86" s="7">
        <v>46176</v>
      </c>
      <c r="K86" s="7">
        <v>46180</v>
      </c>
      <c r="L86" s="1"/>
      <c r="M86" s="1"/>
      <c r="N86" s="1" t="s">
        <v>268</v>
      </c>
      <c r="O86" s="1" t="s">
        <v>45</v>
      </c>
      <c r="P86" s="1" t="s">
        <v>63</v>
      </c>
      <c r="Q86" s="1" t="s">
        <v>47</v>
      </c>
      <c r="R86" s="1" t="s">
        <v>48</v>
      </c>
      <c r="S86" s="8">
        <v>60000</v>
      </c>
      <c r="T86" s="8">
        <v>64229</v>
      </c>
      <c r="U86" s="8">
        <v>60000</v>
      </c>
      <c r="V86" s="8">
        <v>56000</v>
      </c>
      <c r="W86" s="1" t="s">
        <v>568</v>
      </c>
      <c r="X86" s="1"/>
      <c r="Y86" s="1" t="s">
        <v>569</v>
      </c>
      <c r="Z86" s="1" t="s">
        <v>296</v>
      </c>
      <c r="AA86" s="1" t="s">
        <v>113</v>
      </c>
      <c r="AB86" s="10" t="s">
        <v>66</v>
      </c>
      <c r="AC86" s="10" t="s">
        <v>68</v>
      </c>
      <c r="AD86" s="1" t="str">
        <f>IFERROR(VLOOKUP(B86,'Regiões Administrativas'!$A$1:$B$646,2,0),"")</f>
        <v>Registro</v>
      </c>
      <c r="AE86" s="1">
        <f>IFERROR(VLOOKUP(Form_Responses[[#This Row],[Município]],'Regiões Administrativas'!$A$1:$I$646,3,0),"")</f>
        <v>16026</v>
      </c>
      <c r="AF86" s="1">
        <f>IFERROR(VLOOKUP(Form_Responses[[#This Row],[Município]],'Regiões Administrativas'!$A$1:$I$646,4,0),"")</f>
        <v>352030105000001</v>
      </c>
      <c r="AG86" s="1">
        <f>IFERROR(VLOOKUP(Form_Responses[[#This Row],[Município]],'Regiões Administrativas'!$A$1:$I$646,4,0),"")</f>
        <v>352030105000001</v>
      </c>
      <c r="AH86" s="1">
        <f>IFERROR(VLOOKUP(B86,'Regiões Administrativas'!$A$1:$I$646,5,0),"")</f>
        <v>3520301</v>
      </c>
      <c r="AI86" s="1">
        <f>IFERROR(VLOOKUP(B86,'Regiões Administrativas'!$A$1:$I$646,6,0),"")</f>
        <v>-47.553137399999997</v>
      </c>
      <c r="AJ86" s="1">
        <f>IFERROR(VLOOKUP(B86,'Regiões Administrativas'!$A$1:$I$646,8,0),"")</f>
        <v>4.7814889999999997</v>
      </c>
      <c r="AK86" s="1" t="str">
        <f>IFERROR(VLOOKUP(Form_Responses[[#This Row],[Município]],'Regiões Administrativas'!$A$1:$I$646,9,0),"")</f>
        <v>1J6U,6ZoR&lt;B&gt;</v>
      </c>
    </row>
    <row r="87" spans="1:37" ht="22.5" customHeight="1">
      <c r="A87" s="5">
        <v>46008.693376655094</v>
      </c>
      <c r="B87" s="1" t="s">
        <v>554</v>
      </c>
      <c r="C87" s="1" t="s">
        <v>555</v>
      </c>
      <c r="D87" s="1" t="s">
        <v>570</v>
      </c>
      <c r="E87" s="1" t="s">
        <v>571</v>
      </c>
      <c r="F87" s="1"/>
      <c r="G87" s="1" t="s">
        <v>572</v>
      </c>
      <c r="H87" s="1"/>
      <c r="I87" s="10" t="s">
        <v>220</v>
      </c>
      <c r="J87" s="7">
        <v>46149</v>
      </c>
      <c r="K87" s="7">
        <v>46152</v>
      </c>
      <c r="L87" s="11">
        <v>0.83333333333575865</v>
      </c>
      <c r="M87" s="11">
        <v>0.25</v>
      </c>
      <c r="N87" s="1" t="s">
        <v>61</v>
      </c>
      <c r="O87" s="1" t="s">
        <v>62</v>
      </c>
      <c r="P87" s="1" t="s">
        <v>46</v>
      </c>
      <c r="Q87" s="1" t="s">
        <v>47</v>
      </c>
      <c r="R87" s="1" t="s">
        <v>230</v>
      </c>
      <c r="S87" s="8">
        <v>90000</v>
      </c>
      <c r="T87" s="8">
        <v>80000</v>
      </c>
      <c r="U87" s="8"/>
      <c r="V87" s="8"/>
      <c r="W87" s="1" t="s">
        <v>573</v>
      </c>
      <c r="X87" s="6" t="s">
        <v>574</v>
      </c>
      <c r="Y87" s="1" t="s">
        <v>562</v>
      </c>
      <c r="Z87" s="1" t="s">
        <v>361</v>
      </c>
      <c r="AA87" s="1" t="s">
        <v>297</v>
      </c>
      <c r="AB87" s="10" t="s">
        <v>66</v>
      </c>
      <c r="AC87" s="10" t="s">
        <v>68</v>
      </c>
      <c r="AD87" s="1" t="str">
        <f>IFERROR(VLOOKUP(B87,'Regiões Administrativas'!$A$1:$B$646,2,0),"")</f>
        <v>São José do Rio Preto</v>
      </c>
      <c r="AE87" s="1">
        <f>IFERROR(VLOOKUP(Form_Responses[[#This Row],[Município]],'Regiões Administrativas'!$A$1:$I$646,3,0),"")</f>
        <v>17450</v>
      </c>
      <c r="AF87" s="1">
        <f>IFERROR(VLOOKUP(Form_Responses[[#This Row],[Município]],'Regiões Administrativas'!$A$1:$I$646,4,0),"")</f>
        <v>355710505000001</v>
      </c>
      <c r="AG87" s="1">
        <f>IFERROR(VLOOKUP(Form_Responses[[#This Row],[Município]],'Regiões Administrativas'!$A$1:$I$646,4,0),"")</f>
        <v>355710505000001</v>
      </c>
      <c r="AH87" s="1">
        <f>IFERROR(VLOOKUP(B87,'Regiões Administrativas'!$A$1:$I$646,5,0),"")</f>
        <v>3557105</v>
      </c>
      <c r="AI87" s="1">
        <f>IFERROR(VLOOKUP(B87,'Regiões Administrativas'!$A$1:$I$646,6,0),"")</f>
        <v>-49.974671999999998</v>
      </c>
      <c r="AJ87" s="1">
        <f>IFERROR(VLOOKUP(B87,'Regiões Administrativas'!$A$1:$I$646,8,0),"")</f>
        <v>518.33459100000005</v>
      </c>
      <c r="AK87" s="1" t="str">
        <f>IFERROR(VLOOKUP(Form_Responses[[#This Row],[Município]],'Regiões Administrativas'!$A$1:$I$646,9,0),"")</f>
        <v>1J6R3Zw@HH+p</v>
      </c>
    </row>
    <row r="88" spans="1:37" ht="22.5" customHeight="1">
      <c r="A88" s="5">
        <v>46008.707077928237</v>
      </c>
      <c r="B88" s="1" t="s">
        <v>554</v>
      </c>
      <c r="C88" s="1" t="s">
        <v>555</v>
      </c>
      <c r="D88" s="1" t="s">
        <v>575</v>
      </c>
      <c r="E88" s="1" t="s">
        <v>576</v>
      </c>
      <c r="F88" s="1"/>
      <c r="G88" s="1" t="s">
        <v>577</v>
      </c>
      <c r="H88" s="6" t="s">
        <v>578</v>
      </c>
      <c r="I88" s="10" t="s">
        <v>89</v>
      </c>
      <c r="J88" s="7">
        <v>46067</v>
      </c>
      <c r="K88" s="7">
        <v>46069</v>
      </c>
      <c r="L88" s="11">
        <v>0.70833333333575865</v>
      </c>
      <c r="M88" s="11">
        <v>0.20833333333575865</v>
      </c>
      <c r="N88" s="1" t="s">
        <v>73</v>
      </c>
      <c r="O88" s="1" t="s">
        <v>45</v>
      </c>
      <c r="P88" s="1" t="s">
        <v>90</v>
      </c>
      <c r="Q88" s="1" t="s">
        <v>47</v>
      </c>
      <c r="R88" s="1" t="s">
        <v>48</v>
      </c>
      <c r="S88" s="8">
        <v>100000</v>
      </c>
      <c r="T88" s="8">
        <v>100000</v>
      </c>
      <c r="U88" s="8">
        <v>100000</v>
      </c>
      <c r="V88" s="8">
        <v>100000</v>
      </c>
      <c r="W88" s="1" t="s">
        <v>579</v>
      </c>
      <c r="X88" s="6" t="s">
        <v>580</v>
      </c>
      <c r="Y88" s="1" t="s">
        <v>562</v>
      </c>
      <c r="Z88" s="1" t="s">
        <v>361</v>
      </c>
      <c r="AA88" s="1" t="s">
        <v>297</v>
      </c>
      <c r="AB88" s="10" t="s">
        <v>66</v>
      </c>
      <c r="AC88" s="10" t="s">
        <v>94</v>
      </c>
      <c r="AD88" s="1" t="str">
        <f>IFERROR(VLOOKUP(B88,'Regiões Administrativas'!$A$1:$B$646,2,0),"")</f>
        <v>São José do Rio Preto</v>
      </c>
      <c r="AE88" s="1">
        <f>IFERROR(VLOOKUP(Form_Responses[[#This Row],[Município]],'Regiões Administrativas'!$A$1:$I$646,3,0),"")</f>
        <v>17450</v>
      </c>
      <c r="AF88" s="1">
        <f>IFERROR(VLOOKUP(Form_Responses[[#This Row],[Município]],'Regiões Administrativas'!$A$1:$I$646,4,0),"")</f>
        <v>355710505000001</v>
      </c>
      <c r="AG88" s="1">
        <f>IFERROR(VLOOKUP(Form_Responses[[#This Row],[Município]],'Regiões Administrativas'!$A$1:$I$646,4,0),"")</f>
        <v>355710505000001</v>
      </c>
      <c r="AH88" s="1">
        <f>IFERROR(VLOOKUP(B88,'Regiões Administrativas'!$A$1:$I$646,5,0),"")</f>
        <v>3557105</v>
      </c>
      <c r="AI88" s="1">
        <f>IFERROR(VLOOKUP(B88,'Regiões Administrativas'!$A$1:$I$646,6,0),"")</f>
        <v>-49.974671999999998</v>
      </c>
      <c r="AJ88" s="1">
        <f>IFERROR(VLOOKUP(B88,'Regiões Administrativas'!$A$1:$I$646,8,0),"")</f>
        <v>518.33459100000005</v>
      </c>
      <c r="AK88" s="1" t="str">
        <f>IFERROR(VLOOKUP(Form_Responses[[#This Row],[Município]],'Regiões Administrativas'!$A$1:$I$646,9,0),"")</f>
        <v>1J6R3Zw@HH+p</v>
      </c>
    </row>
    <row r="89" spans="1:37" ht="22.5" customHeight="1">
      <c r="A89" s="13">
        <v>46009.191783784721</v>
      </c>
      <c r="B89" s="1" t="s">
        <v>581</v>
      </c>
      <c r="C89" s="1" t="s">
        <v>582</v>
      </c>
      <c r="D89" s="1" t="s">
        <v>583</v>
      </c>
      <c r="E89" s="1" t="s">
        <v>584</v>
      </c>
      <c r="F89" s="1"/>
      <c r="G89" s="1" t="s">
        <v>585</v>
      </c>
      <c r="H89" s="1"/>
      <c r="I89" s="10" t="s">
        <v>60</v>
      </c>
      <c r="J89" s="7">
        <v>46194</v>
      </c>
      <c r="K89" s="7">
        <v>46194</v>
      </c>
      <c r="L89" s="11">
        <v>0.33333333333575865</v>
      </c>
      <c r="M89" s="11">
        <v>0.70833333333575865</v>
      </c>
      <c r="N89" s="1" t="s">
        <v>268</v>
      </c>
      <c r="O89" s="1" t="s">
        <v>99</v>
      </c>
      <c r="P89" s="1" t="s">
        <v>99</v>
      </c>
      <c r="Q89" s="1" t="s">
        <v>47</v>
      </c>
      <c r="R89" s="1" t="s">
        <v>74</v>
      </c>
      <c r="S89" s="8">
        <v>4000</v>
      </c>
      <c r="T89" s="8">
        <v>4000</v>
      </c>
      <c r="U89" s="8">
        <v>3000</v>
      </c>
      <c r="V89" s="8">
        <v>2000</v>
      </c>
      <c r="W89" s="1" t="s">
        <v>586</v>
      </c>
      <c r="X89" s="1"/>
      <c r="Y89" s="1" t="s">
        <v>587</v>
      </c>
      <c r="Z89" s="1" t="s">
        <v>66</v>
      </c>
      <c r="AA89" s="1" t="s">
        <v>67</v>
      </c>
      <c r="AB89" s="10" t="s">
        <v>66</v>
      </c>
      <c r="AC89" s="10" t="s">
        <v>68</v>
      </c>
      <c r="AD89" s="1" t="str">
        <f>IFERROR(VLOOKUP(B89,'Regiões Administrativas'!$A$1:$B$646,2,0),"")</f>
        <v>RMSP</v>
      </c>
      <c r="AE89" s="1">
        <f>IFERROR(VLOOKUP(Form_Responses[[#This Row],[Município]],'Regiões Administrativas'!$A$1:$I$646,3,0),"")</f>
        <v>17077</v>
      </c>
      <c r="AF89" s="1">
        <f>IFERROR(VLOOKUP(Form_Responses[[#This Row],[Município]],'Regiões Administrativas'!$A$1:$I$646,4,0),"")</f>
        <v>354680105000001</v>
      </c>
      <c r="AG89" s="1">
        <f>IFERROR(VLOOKUP(Form_Responses[[#This Row],[Município]],'Regiões Administrativas'!$A$1:$I$646,4,0),"")</f>
        <v>354680105000001</v>
      </c>
      <c r="AH89" s="1">
        <f>IFERROR(VLOOKUP(B89,'Regiões Administrativas'!$A$1:$I$646,5,0),"")</f>
        <v>3546801</v>
      </c>
      <c r="AI89" s="1">
        <f>IFERROR(VLOOKUP(B89,'Regiões Administrativas'!$A$1:$I$646,6,0),"")</f>
        <v>-46.227012799999997</v>
      </c>
      <c r="AJ89" s="1">
        <f>IFERROR(VLOOKUP(B89,'Regiões Administrativas'!$A$1:$I$646,8,0),"")</f>
        <v>646.60742200000004</v>
      </c>
      <c r="AK89" s="1" t="str">
        <f>IFERROR(VLOOKUP(Form_Responses[[#This Row],[Município]],'Regiões Administrativas'!$A$1:$I$646,9,0),"")</f>
        <v>1J6tOl=wZJb&gt;</v>
      </c>
    </row>
    <row r="90" spans="1:37" ht="22.5" customHeight="1">
      <c r="A90" s="13">
        <v>46009.353430532406</v>
      </c>
      <c r="B90" s="1" t="s">
        <v>537</v>
      </c>
      <c r="C90" s="1" t="s">
        <v>538</v>
      </c>
      <c r="D90" s="1" t="s">
        <v>588</v>
      </c>
      <c r="E90" s="1" t="s">
        <v>589</v>
      </c>
      <c r="F90" s="1"/>
      <c r="G90" s="1" t="s">
        <v>590</v>
      </c>
      <c r="H90" s="1" t="s">
        <v>591</v>
      </c>
      <c r="I90" s="10" t="s">
        <v>81</v>
      </c>
      <c r="J90" s="7">
        <v>46269</v>
      </c>
      <c r="K90" s="7">
        <v>46278</v>
      </c>
      <c r="L90" s="11">
        <v>0.58333333333575865</v>
      </c>
      <c r="M90" s="11">
        <v>0.91666666666424135</v>
      </c>
      <c r="N90" s="1" t="s">
        <v>73</v>
      </c>
      <c r="O90" s="1" t="s">
        <v>45</v>
      </c>
      <c r="P90" s="1" t="s">
        <v>63</v>
      </c>
      <c r="Q90" s="1" t="s">
        <v>47</v>
      </c>
      <c r="R90" s="1" t="s">
        <v>48</v>
      </c>
      <c r="S90" s="8">
        <v>3000</v>
      </c>
      <c r="T90" s="8">
        <v>2500</v>
      </c>
      <c r="U90" s="8">
        <v>2000</v>
      </c>
      <c r="V90" s="8">
        <v>2000</v>
      </c>
      <c r="W90" s="1" t="s">
        <v>592</v>
      </c>
      <c r="X90" s="1" t="s">
        <v>593</v>
      </c>
      <c r="Y90" s="6" t="s">
        <v>594</v>
      </c>
      <c r="Z90" s="1" t="s">
        <v>76</v>
      </c>
      <c r="AA90" s="1" t="s">
        <v>77</v>
      </c>
      <c r="AB90" s="10" t="s">
        <v>66</v>
      </c>
      <c r="AC90" s="10" t="s">
        <v>68</v>
      </c>
      <c r="AD90" s="1" t="str">
        <f>IFERROR(VLOOKUP(B90,'Regiões Administrativas'!$A$1:$B$646,2,0),"")</f>
        <v>Marília</v>
      </c>
      <c r="AE90" s="1">
        <f>IFERROR(VLOOKUP(Form_Responses[[#This Row],[Município]],'Regiões Administrativas'!$A$1:$I$646,3,0),"")</f>
        <v>16464</v>
      </c>
      <c r="AF90" s="1">
        <f>IFERROR(VLOOKUP(Form_Responses[[#This Row],[Município]],'Regiões Administrativas'!$A$1:$I$646,4,0),"")</f>
        <v>352900505000001</v>
      </c>
      <c r="AG90" s="1">
        <f>IFERROR(VLOOKUP(Form_Responses[[#This Row],[Município]],'Regiões Administrativas'!$A$1:$I$646,4,0),"")</f>
        <v>352900505000001</v>
      </c>
      <c r="AH90" s="1">
        <f>IFERROR(VLOOKUP(B90,'Regiões Administrativas'!$A$1:$I$646,5,0),"")</f>
        <v>3529005</v>
      </c>
      <c r="AI90" s="1">
        <f>IFERROR(VLOOKUP(B90,'Regiões Administrativas'!$A$1:$I$646,6,0),"")</f>
        <v>-49.951645599999999</v>
      </c>
      <c r="AJ90" s="1">
        <f>IFERROR(VLOOKUP(B90,'Regiões Administrativas'!$A$1:$I$646,8,0),"")</f>
        <v>657.30619000000002</v>
      </c>
      <c r="AK90" s="1" t="str">
        <f>IFERROR(VLOOKUP(Form_Responses[[#This Row],[Município]],'Regiões Administrativas'!$A$1:$I$646,9,0),"")</f>
        <v>1J6RQZYeWgj&gt;</v>
      </c>
    </row>
    <row r="91" spans="1:37" ht="22.5" customHeight="1">
      <c r="A91" s="13">
        <v>46009.36230883102</v>
      </c>
      <c r="B91" s="1" t="s">
        <v>537</v>
      </c>
      <c r="C91" s="1" t="s">
        <v>538</v>
      </c>
      <c r="D91" s="1" t="s">
        <v>595</v>
      </c>
      <c r="E91" s="1" t="s">
        <v>596</v>
      </c>
      <c r="F91" s="1"/>
      <c r="G91" s="1" t="s">
        <v>597</v>
      </c>
      <c r="H91" s="6" t="s">
        <v>598</v>
      </c>
      <c r="I91" s="10" t="s">
        <v>81</v>
      </c>
      <c r="J91" s="7">
        <v>46284</v>
      </c>
      <c r="K91" s="7">
        <v>46285</v>
      </c>
      <c r="L91" s="11">
        <v>0.41666666666424135</v>
      </c>
      <c r="M91" s="11">
        <v>0.75</v>
      </c>
      <c r="N91" s="1" t="s">
        <v>73</v>
      </c>
      <c r="O91" s="1" t="s">
        <v>45</v>
      </c>
      <c r="P91" s="1" t="s">
        <v>63</v>
      </c>
      <c r="Q91" s="1" t="s">
        <v>47</v>
      </c>
      <c r="R91" s="1" t="s">
        <v>74</v>
      </c>
      <c r="S91" s="8">
        <v>8000</v>
      </c>
      <c r="T91" s="8">
        <v>6000</v>
      </c>
      <c r="U91" s="8"/>
      <c r="V91" s="8"/>
      <c r="W91" s="1" t="s">
        <v>599</v>
      </c>
      <c r="X91" s="1"/>
      <c r="Y91" s="1" t="s">
        <v>600</v>
      </c>
      <c r="Z91" s="1" t="s">
        <v>66</v>
      </c>
      <c r="AA91" s="1" t="s">
        <v>66</v>
      </c>
      <c r="AB91" s="10" t="s">
        <v>66</v>
      </c>
      <c r="AC91" s="10" t="s">
        <v>68</v>
      </c>
      <c r="AD91" s="1" t="str">
        <f>IFERROR(VLOOKUP(B91,'Regiões Administrativas'!$A$1:$B$646,2,0),"")</f>
        <v>Marília</v>
      </c>
      <c r="AE91" s="1">
        <f>IFERROR(VLOOKUP(Form_Responses[[#This Row],[Município]],'Regiões Administrativas'!$A$1:$I$646,3,0),"")</f>
        <v>16464</v>
      </c>
      <c r="AF91" s="1">
        <f>IFERROR(VLOOKUP(Form_Responses[[#This Row],[Município]],'Regiões Administrativas'!$A$1:$I$646,4,0),"")</f>
        <v>352900505000001</v>
      </c>
      <c r="AG91" s="1">
        <f>IFERROR(VLOOKUP(Form_Responses[[#This Row],[Município]],'Regiões Administrativas'!$A$1:$I$646,4,0),"")</f>
        <v>352900505000001</v>
      </c>
      <c r="AH91" s="1">
        <f>IFERROR(VLOOKUP(B91,'Regiões Administrativas'!$A$1:$I$646,5,0),"")</f>
        <v>3529005</v>
      </c>
      <c r="AI91" s="1">
        <f>IFERROR(VLOOKUP(B91,'Regiões Administrativas'!$A$1:$I$646,6,0),"")</f>
        <v>-49.951645599999999</v>
      </c>
      <c r="AJ91" s="1">
        <f>IFERROR(VLOOKUP(B91,'Regiões Administrativas'!$A$1:$I$646,8,0),"")</f>
        <v>657.30619000000002</v>
      </c>
      <c r="AK91" s="1" t="str">
        <f>IFERROR(VLOOKUP(Form_Responses[[#This Row],[Município]],'Regiões Administrativas'!$A$1:$I$646,9,0),"")</f>
        <v>1J6RQZYeWgj&gt;</v>
      </c>
    </row>
    <row r="92" spans="1:37" ht="22.5" customHeight="1">
      <c r="A92" s="13">
        <v>46009.381985081018</v>
      </c>
      <c r="B92" s="1" t="s">
        <v>537</v>
      </c>
      <c r="C92" s="1" t="s">
        <v>538</v>
      </c>
      <c r="D92" s="1" t="s">
        <v>601</v>
      </c>
      <c r="E92" s="1" t="s">
        <v>602</v>
      </c>
      <c r="F92" s="1"/>
      <c r="G92" s="1" t="s">
        <v>603</v>
      </c>
      <c r="H92" s="6" t="s">
        <v>604</v>
      </c>
      <c r="I92" s="10" t="s">
        <v>81</v>
      </c>
      <c r="J92" s="7">
        <v>46271</v>
      </c>
      <c r="K92" s="7">
        <v>46271</v>
      </c>
      <c r="L92" s="11">
        <v>0.25</v>
      </c>
      <c r="M92" s="11">
        <v>0.54166666666424135</v>
      </c>
      <c r="N92" s="1" t="s">
        <v>61</v>
      </c>
      <c r="O92" s="1" t="s">
        <v>62</v>
      </c>
      <c r="P92" s="1" t="s">
        <v>63</v>
      </c>
      <c r="Q92" s="1" t="s">
        <v>47</v>
      </c>
      <c r="R92" s="1" t="s">
        <v>74</v>
      </c>
      <c r="S92" s="8">
        <v>700</v>
      </c>
      <c r="T92" s="8">
        <v>500</v>
      </c>
      <c r="U92" s="8">
        <v>500</v>
      </c>
      <c r="V92" s="8">
        <v>400</v>
      </c>
      <c r="W92" s="1" t="s">
        <v>605</v>
      </c>
      <c r="X92" s="6" t="s">
        <v>606</v>
      </c>
      <c r="Y92" s="6" t="s">
        <v>606</v>
      </c>
      <c r="Z92" s="1" t="s">
        <v>66</v>
      </c>
      <c r="AA92" s="1" t="s">
        <v>66</v>
      </c>
      <c r="AB92" s="10" t="s">
        <v>66</v>
      </c>
      <c r="AC92" s="10" t="s">
        <v>68</v>
      </c>
      <c r="AD92" s="1" t="str">
        <f>IFERROR(VLOOKUP(B92,'Regiões Administrativas'!$A$1:$B$646,2,0),"")</f>
        <v>Marília</v>
      </c>
      <c r="AE92" s="1">
        <f>IFERROR(VLOOKUP(Form_Responses[[#This Row],[Município]],'Regiões Administrativas'!$A$1:$I$646,3,0),"")</f>
        <v>16464</v>
      </c>
      <c r="AF92" s="1">
        <f>IFERROR(VLOOKUP(Form_Responses[[#This Row],[Município]],'Regiões Administrativas'!$A$1:$I$646,4,0),"")</f>
        <v>352900505000001</v>
      </c>
      <c r="AG92" s="1">
        <f>IFERROR(VLOOKUP(Form_Responses[[#This Row],[Município]],'Regiões Administrativas'!$A$1:$I$646,4,0),"")</f>
        <v>352900505000001</v>
      </c>
      <c r="AH92" s="1">
        <f>IFERROR(VLOOKUP(B92,'Regiões Administrativas'!$A$1:$I$646,5,0),"")</f>
        <v>3529005</v>
      </c>
      <c r="AI92" s="1">
        <f>IFERROR(VLOOKUP(B92,'Regiões Administrativas'!$A$1:$I$646,6,0),"")</f>
        <v>-49.951645599999999</v>
      </c>
      <c r="AJ92" s="1">
        <f>IFERROR(VLOOKUP(B92,'Regiões Administrativas'!$A$1:$I$646,8,0),"")</f>
        <v>657.30619000000002</v>
      </c>
      <c r="AK92" s="1" t="str">
        <f>IFERROR(VLOOKUP(Form_Responses[[#This Row],[Município]],'Regiões Administrativas'!$A$1:$I$646,9,0),"")</f>
        <v>1J6RQZYeWgj&gt;</v>
      </c>
    </row>
    <row r="93" spans="1:37" ht="22.5" customHeight="1">
      <c r="A93" s="13">
        <v>46009.40439221065</v>
      </c>
      <c r="B93" s="1" t="s">
        <v>607</v>
      </c>
      <c r="C93" s="1" t="s">
        <v>608</v>
      </c>
      <c r="D93" s="1" t="s">
        <v>609</v>
      </c>
      <c r="E93" s="1" t="s">
        <v>610</v>
      </c>
      <c r="F93" s="1" t="s">
        <v>611</v>
      </c>
      <c r="G93" s="1" t="s">
        <v>612</v>
      </c>
      <c r="H93" s="1" t="s">
        <v>613</v>
      </c>
      <c r="I93" s="10" t="s">
        <v>72</v>
      </c>
      <c r="J93" s="7">
        <v>46220</v>
      </c>
      <c r="K93" s="7">
        <v>46222</v>
      </c>
      <c r="L93" s="11">
        <v>0.79166666666424135</v>
      </c>
      <c r="M93" s="11">
        <v>0</v>
      </c>
      <c r="N93" s="1" t="s">
        <v>73</v>
      </c>
      <c r="O93" s="1" t="s">
        <v>45</v>
      </c>
      <c r="P93" s="1" t="s">
        <v>63</v>
      </c>
      <c r="Q93" s="1" t="s">
        <v>47</v>
      </c>
      <c r="R93" s="1" t="s">
        <v>48</v>
      </c>
      <c r="S93" s="8">
        <v>15000</v>
      </c>
      <c r="T93" s="8">
        <v>12000</v>
      </c>
      <c r="U93" s="8">
        <v>10000</v>
      </c>
      <c r="V93" s="8">
        <v>10000</v>
      </c>
      <c r="W93" s="1" t="s">
        <v>614</v>
      </c>
      <c r="X93" s="1" t="s">
        <v>615</v>
      </c>
      <c r="Y93" s="1" t="s">
        <v>616</v>
      </c>
      <c r="Z93" s="1" t="s">
        <v>361</v>
      </c>
      <c r="AA93" s="1" t="s">
        <v>617</v>
      </c>
      <c r="AB93" s="10" t="s">
        <v>344</v>
      </c>
      <c r="AC93" s="10" t="s">
        <v>68</v>
      </c>
      <c r="AD93" s="1" t="str">
        <f>IFERROR(VLOOKUP(B93,'Regiões Administrativas'!$A$1:$B$646,2,0),"")</f>
        <v>Ribeirão Preto</v>
      </c>
      <c r="AE93" s="1">
        <f>IFERROR(VLOOKUP(Form_Responses[[#This Row],[Município]],'Regiões Administrativas'!$A$1:$I$646,3,0),"")</f>
        <v>17291</v>
      </c>
      <c r="AF93" s="1">
        <f>IFERROR(VLOOKUP(Form_Responses[[#This Row],[Município]],'Regiões Administrativas'!$A$1:$I$646,4,0),"")</f>
        <v>355090205000001</v>
      </c>
      <c r="AG93" s="1">
        <f>IFERROR(VLOOKUP(Form_Responses[[#This Row],[Município]],'Regiões Administrativas'!$A$1:$I$646,4,0),"")</f>
        <v>355090205000001</v>
      </c>
      <c r="AH93" s="1">
        <f>IFERROR(VLOOKUP(B93,'Regiões Administrativas'!$A$1:$I$646,5,0),"")</f>
        <v>3550902</v>
      </c>
      <c r="AI93" s="1">
        <f>IFERROR(VLOOKUP(B93,'Regiões Administrativas'!$A$1:$I$646,6,0),"")</f>
        <v>-47.553352500000003</v>
      </c>
      <c r="AJ93" s="1">
        <f>IFERROR(VLOOKUP(B93,'Regiões Administrativas'!$A$1:$I$646,8,0),"")</f>
        <v>629.97666100000004</v>
      </c>
      <c r="AK93" s="1" t="str">
        <f>IFERROR(VLOOKUP(Form_Responses[[#This Row],[Município]],'Regiões Administrativas'!$A$1:$I$646,9,0),"")</f>
        <v>1J6t^Y6?+89&gt;</v>
      </c>
    </row>
    <row r="94" spans="1:37" ht="22.5" customHeight="1">
      <c r="A94" s="5">
        <v>46009.414438726853</v>
      </c>
      <c r="B94" s="1" t="s">
        <v>607</v>
      </c>
      <c r="C94" s="1" t="s">
        <v>608</v>
      </c>
      <c r="D94" s="1" t="s">
        <v>618</v>
      </c>
      <c r="E94" s="1" t="s">
        <v>619</v>
      </c>
      <c r="F94" s="10" t="s">
        <v>615</v>
      </c>
      <c r="G94" s="10" t="s">
        <v>620</v>
      </c>
      <c r="H94" s="10" t="s">
        <v>621</v>
      </c>
      <c r="I94" s="10" t="s">
        <v>89</v>
      </c>
      <c r="J94" s="7">
        <v>46066</v>
      </c>
      <c r="K94" s="7">
        <v>46070</v>
      </c>
      <c r="L94" s="11">
        <v>0.83333333333575865</v>
      </c>
      <c r="M94" s="11">
        <v>0.125</v>
      </c>
      <c r="N94" s="1" t="s">
        <v>44</v>
      </c>
      <c r="O94" s="1" t="s">
        <v>45</v>
      </c>
      <c r="P94" s="1" t="s">
        <v>90</v>
      </c>
      <c r="Q94" s="1" t="s">
        <v>47</v>
      </c>
      <c r="R94" s="1" t="s">
        <v>48</v>
      </c>
      <c r="S94" s="8">
        <v>20000</v>
      </c>
      <c r="T94" s="8">
        <v>18000</v>
      </c>
      <c r="U94" s="8">
        <v>12000</v>
      </c>
      <c r="V94" s="8">
        <v>12000</v>
      </c>
      <c r="W94" s="1" t="s">
        <v>622</v>
      </c>
      <c r="X94" s="1" t="s">
        <v>615</v>
      </c>
      <c r="Y94" s="1" t="s">
        <v>616</v>
      </c>
      <c r="Z94" s="1" t="s">
        <v>361</v>
      </c>
      <c r="AA94" s="1" t="s">
        <v>623</v>
      </c>
      <c r="AB94" s="10" t="s">
        <v>207</v>
      </c>
      <c r="AC94" s="10" t="s">
        <v>68</v>
      </c>
      <c r="AD94" s="1" t="str">
        <f>IFERROR(VLOOKUP(B94,'Regiões Administrativas'!$A$1:$B$646,2,0),"")</f>
        <v>Ribeirão Preto</v>
      </c>
      <c r="AE94" s="1">
        <f>IFERROR(VLOOKUP(Form_Responses[[#This Row],[Município]],'Regiões Administrativas'!$A$1:$I$646,3,0),"")</f>
        <v>17291</v>
      </c>
      <c r="AF94" s="1">
        <f>IFERROR(VLOOKUP(Form_Responses[[#This Row],[Município]],'Regiões Administrativas'!$A$1:$I$646,4,0),"")</f>
        <v>355090205000001</v>
      </c>
      <c r="AG94" s="1">
        <f>IFERROR(VLOOKUP(Form_Responses[[#This Row],[Município]],'Regiões Administrativas'!$A$1:$I$646,4,0),"")</f>
        <v>355090205000001</v>
      </c>
      <c r="AH94" s="1">
        <f>IFERROR(VLOOKUP(B94,'Regiões Administrativas'!$A$1:$I$646,5,0),"")</f>
        <v>3550902</v>
      </c>
      <c r="AI94" s="1">
        <f>IFERROR(VLOOKUP(B94,'Regiões Administrativas'!$A$1:$I$646,6,0),"")</f>
        <v>-47.553352500000003</v>
      </c>
      <c r="AJ94" s="1">
        <f>IFERROR(VLOOKUP(B94,'Regiões Administrativas'!$A$1:$I$646,8,0),"")</f>
        <v>629.97666100000004</v>
      </c>
      <c r="AK94" s="1" t="str">
        <f>IFERROR(VLOOKUP(Form_Responses[[#This Row],[Município]],'Regiões Administrativas'!$A$1:$I$646,9,0),"")</f>
        <v>1J6t^Y6?+89&gt;</v>
      </c>
    </row>
    <row r="95" spans="1:37" ht="22.5" customHeight="1">
      <c r="A95" s="13">
        <v>46009.416617002316</v>
      </c>
      <c r="B95" s="1" t="s">
        <v>624</v>
      </c>
      <c r="C95" s="1" t="s">
        <v>493</v>
      </c>
      <c r="D95" s="1" t="s">
        <v>625</v>
      </c>
      <c r="E95" s="1" t="s">
        <v>626</v>
      </c>
      <c r="F95" s="1"/>
      <c r="G95" s="10" t="s">
        <v>627</v>
      </c>
      <c r="H95" s="72" t="s">
        <v>628</v>
      </c>
      <c r="I95" s="10" t="s">
        <v>60</v>
      </c>
      <c r="J95" s="7">
        <v>46177</v>
      </c>
      <c r="K95" s="7">
        <v>46180</v>
      </c>
      <c r="L95" s="11">
        <v>0.79166666666424135</v>
      </c>
      <c r="M95" s="1"/>
      <c r="N95" s="1" t="s">
        <v>44</v>
      </c>
      <c r="O95" s="1" t="s">
        <v>45</v>
      </c>
      <c r="P95" s="1" t="s">
        <v>99</v>
      </c>
      <c r="Q95" s="1" t="s">
        <v>629</v>
      </c>
      <c r="R95" s="1" t="s">
        <v>48</v>
      </c>
      <c r="S95" s="8">
        <v>25000</v>
      </c>
      <c r="T95" s="8">
        <v>20000</v>
      </c>
      <c r="U95" s="8">
        <v>18000</v>
      </c>
      <c r="V95" s="8">
        <v>15000</v>
      </c>
      <c r="W95" s="1" t="s">
        <v>630</v>
      </c>
      <c r="X95" s="1" t="s">
        <v>164</v>
      </c>
      <c r="Y95" s="1" t="s">
        <v>631</v>
      </c>
      <c r="Z95" s="1" t="s">
        <v>632</v>
      </c>
      <c r="AA95" s="1" t="s">
        <v>633</v>
      </c>
      <c r="AB95" s="10" t="s">
        <v>66</v>
      </c>
      <c r="AC95" s="10" t="s">
        <v>68</v>
      </c>
      <c r="AD95" s="1" t="str">
        <f>IFERROR(VLOOKUP(B95,'Regiões Administrativas'!$A$1:$B$646,2,0),"")</f>
        <v>Registro</v>
      </c>
      <c r="AE95" s="1">
        <f>IFERROR(VLOOKUP(Form_Responses[[#This Row],[Município]],'Regiões Administrativas'!$A$1:$I$646,3,0),"")</f>
        <v>16744</v>
      </c>
      <c r="AF95" s="1">
        <f>IFERROR(VLOOKUP(Form_Responses[[#This Row],[Município]],'Regiões Administrativas'!$A$1:$I$646,4,0),"")</f>
        <v>353620805000001</v>
      </c>
      <c r="AG95" s="1">
        <f>IFERROR(VLOOKUP(Form_Responses[[#This Row],[Município]],'Regiões Administrativas'!$A$1:$I$646,4,0),"")</f>
        <v>353620805000001</v>
      </c>
      <c r="AH95" s="1">
        <f>IFERROR(VLOOKUP(B95,'Regiões Administrativas'!$A$1:$I$646,5,0),"")</f>
        <v>3536208</v>
      </c>
      <c r="AI95" s="1">
        <f>IFERROR(VLOOKUP(B95,'Regiões Administrativas'!$A$1:$I$646,6,0),"")</f>
        <v>-47.879997600000003</v>
      </c>
      <c r="AJ95" s="1">
        <f>IFERROR(VLOOKUP(B95,'Regiões Administrativas'!$A$1:$I$646,8,0),"")</f>
        <v>32.946368</v>
      </c>
      <c r="AK95" s="1" t="str">
        <f>IFERROR(VLOOKUP(Form_Responses[[#This Row],[Município]],'Regiões Administrativas'!$A$1:$I$646,9,0),"")</f>
        <v>1J6U,?;Q\T]p</v>
      </c>
    </row>
    <row r="96" spans="1:37" ht="22.5" customHeight="1">
      <c r="A96" s="5">
        <v>46009.431241273152</v>
      </c>
      <c r="B96" s="1" t="s">
        <v>624</v>
      </c>
      <c r="C96" s="1" t="s">
        <v>493</v>
      </c>
      <c r="D96" s="1" t="s">
        <v>634</v>
      </c>
      <c r="E96" s="1" t="s">
        <v>635</v>
      </c>
      <c r="F96" s="1"/>
      <c r="G96" s="10" t="s">
        <v>636</v>
      </c>
      <c r="I96" s="10" t="s">
        <v>220</v>
      </c>
      <c r="J96" s="7">
        <v>46154</v>
      </c>
      <c r="K96" s="7">
        <v>46187</v>
      </c>
      <c r="L96" s="1"/>
      <c r="M96" s="1"/>
      <c r="N96" s="1" t="s">
        <v>268</v>
      </c>
      <c r="O96" s="1" t="s">
        <v>142</v>
      </c>
      <c r="P96" s="1" t="s">
        <v>235</v>
      </c>
      <c r="Q96" s="1" t="s">
        <v>47</v>
      </c>
      <c r="R96" s="1" t="s">
        <v>230</v>
      </c>
      <c r="S96" s="8">
        <v>15000</v>
      </c>
      <c r="T96" s="8"/>
      <c r="U96" s="8"/>
      <c r="V96" s="8"/>
      <c r="W96" s="1" t="s">
        <v>637</v>
      </c>
      <c r="X96" s="1"/>
      <c r="Y96" s="1" t="s">
        <v>631</v>
      </c>
      <c r="Z96" s="1" t="s">
        <v>76</v>
      </c>
      <c r="AA96" s="1" t="s">
        <v>67</v>
      </c>
      <c r="AB96" s="10" t="s">
        <v>66</v>
      </c>
      <c r="AC96" s="10" t="s">
        <v>68</v>
      </c>
      <c r="AD96" s="1" t="str">
        <f>IFERROR(VLOOKUP(B96,'Regiões Administrativas'!$A$1:$B$646,2,0),"")</f>
        <v>Registro</v>
      </c>
      <c r="AE96" s="1">
        <f>IFERROR(VLOOKUP(Form_Responses[[#This Row],[Município]],'Regiões Administrativas'!$A$1:$I$646,3,0),"")</f>
        <v>16744</v>
      </c>
      <c r="AF96" s="1">
        <f>IFERROR(VLOOKUP(Form_Responses[[#This Row],[Município]],'Regiões Administrativas'!$A$1:$I$646,4,0),"")</f>
        <v>353620805000001</v>
      </c>
      <c r="AG96" s="1">
        <f>IFERROR(VLOOKUP(Form_Responses[[#This Row],[Município]],'Regiões Administrativas'!$A$1:$I$646,4,0),"")</f>
        <v>353620805000001</v>
      </c>
      <c r="AH96" s="1">
        <f>IFERROR(VLOOKUP(B96,'Regiões Administrativas'!$A$1:$I$646,5,0),"")</f>
        <v>3536208</v>
      </c>
      <c r="AI96" s="1">
        <f>IFERROR(VLOOKUP(B96,'Regiões Administrativas'!$A$1:$I$646,6,0),"")</f>
        <v>-47.879997600000003</v>
      </c>
      <c r="AJ96" s="1">
        <f>IFERROR(VLOOKUP(B96,'Regiões Administrativas'!$A$1:$I$646,8,0),"")</f>
        <v>32.946368</v>
      </c>
      <c r="AK96" s="1" t="str">
        <f>IFERROR(VLOOKUP(Form_Responses[[#This Row],[Município]],'Regiões Administrativas'!$A$1:$I$646,9,0),"")</f>
        <v>1J6U,?;Q\T]p</v>
      </c>
    </row>
    <row r="97" spans="1:37" ht="22.5" customHeight="1">
      <c r="A97" s="13">
        <v>46009.436506678241</v>
      </c>
      <c r="B97" s="1" t="s">
        <v>554</v>
      </c>
      <c r="C97" s="1" t="s">
        <v>555</v>
      </c>
      <c r="D97" s="1" t="s">
        <v>638</v>
      </c>
      <c r="E97" s="1" t="s">
        <v>639</v>
      </c>
      <c r="F97" s="1"/>
      <c r="G97" s="10" t="s">
        <v>577</v>
      </c>
      <c r="H97" s="72" t="s">
        <v>640</v>
      </c>
      <c r="I97" s="10" t="s">
        <v>72</v>
      </c>
      <c r="J97" s="7">
        <v>46227</v>
      </c>
      <c r="K97" s="7">
        <v>46228</v>
      </c>
      <c r="L97" s="11">
        <v>0.33333333333575865</v>
      </c>
      <c r="M97" s="11">
        <v>0.75</v>
      </c>
      <c r="N97" s="1" t="s">
        <v>641</v>
      </c>
      <c r="O97" s="1" t="s">
        <v>642</v>
      </c>
      <c r="P97" s="1" t="s">
        <v>63</v>
      </c>
      <c r="Q97" s="1" t="s">
        <v>47</v>
      </c>
      <c r="R97" s="1" t="s">
        <v>230</v>
      </c>
      <c r="S97" s="8">
        <v>5000</v>
      </c>
      <c r="T97" s="8">
        <v>3000</v>
      </c>
      <c r="U97" s="8">
        <v>3000</v>
      </c>
      <c r="V97" s="8">
        <v>3000</v>
      </c>
      <c r="W97" s="1" t="s">
        <v>643</v>
      </c>
      <c r="X97" s="1"/>
      <c r="Y97" s="1" t="s">
        <v>562</v>
      </c>
      <c r="Z97" s="1" t="s">
        <v>361</v>
      </c>
      <c r="AA97" s="1" t="s">
        <v>297</v>
      </c>
      <c r="AB97" s="10" t="s">
        <v>66</v>
      </c>
      <c r="AC97" s="10" t="s">
        <v>55</v>
      </c>
      <c r="AD97" s="1" t="str">
        <f>IFERROR(VLOOKUP(B97,'Regiões Administrativas'!$A$1:$B$646,2,0),"")</f>
        <v>São José do Rio Preto</v>
      </c>
      <c r="AE97" s="1">
        <f>IFERROR(VLOOKUP(Form_Responses[[#This Row],[Município]],'Regiões Administrativas'!$A$1:$I$646,3,0),"")</f>
        <v>17450</v>
      </c>
      <c r="AF97" s="1">
        <f>IFERROR(VLOOKUP(Form_Responses[[#This Row],[Município]],'Regiões Administrativas'!$A$1:$I$646,4,0),"")</f>
        <v>355710505000001</v>
      </c>
      <c r="AG97" s="1">
        <f>IFERROR(VLOOKUP(Form_Responses[[#This Row],[Município]],'Regiões Administrativas'!$A$1:$I$646,4,0),"")</f>
        <v>355710505000001</v>
      </c>
      <c r="AH97" s="1">
        <f>IFERROR(VLOOKUP(B97,'Regiões Administrativas'!$A$1:$I$646,5,0),"")</f>
        <v>3557105</v>
      </c>
      <c r="AI97" s="1">
        <f>IFERROR(VLOOKUP(B97,'Regiões Administrativas'!$A$1:$I$646,6,0),"")</f>
        <v>-49.974671999999998</v>
      </c>
      <c r="AJ97" s="1">
        <f>IFERROR(VLOOKUP(B97,'Regiões Administrativas'!$A$1:$I$646,8,0),"")</f>
        <v>518.33459100000005</v>
      </c>
      <c r="AK97" s="1" t="str">
        <f>IFERROR(VLOOKUP(Form_Responses[[#This Row],[Município]],'Regiões Administrativas'!$A$1:$I$646,9,0),"")</f>
        <v>1J6R3Zw@HH+p</v>
      </c>
    </row>
    <row r="98" spans="1:37" ht="22.5" customHeight="1">
      <c r="A98" s="5">
        <v>46009.45348866898</v>
      </c>
      <c r="B98" s="1" t="s">
        <v>644</v>
      </c>
      <c r="C98" s="1" t="s">
        <v>383</v>
      </c>
      <c r="D98" s="1" t="s">
        <v>645</v>
      </c>
      <c r="E98" s="1" t="s">
        <v>646</v>
      </c>
      <c r="F98" s="1"/>
      <c r="G98" s="10" t="s">
        <v>647</v>
      </c>
      <c r="H98" s="72" t="s">
        <v>648</v>
      </c>
      <c r="I98" s="10" t="s">
        <v>128</v>
      </c>
      <c r="J98" s="7">
        <v>46122</v>
      </c>
      <c r="K98" s="7">
        <v>46131</v>
      </c>
      <c r="L98" s="1"/>
      <c r="M98" s="1"/>
      <c r="N98" s="1" t="s">
        <v>44</v>
      </c>
      <c r="O98" s="1" t="s">
        <v>45</v>
      </c>
      <c r="P98" s="1" t="s">
        <v>63</v>
      </c>
      <c r="Q98" s="1" t="s">
        <v>47</v>
      </c>
      <c r="R98" s="1" t="s">
        <v>48</v>
      </c>
      <c r="S98" s="8">
        <v>130000</v>
      </c>
      <c r="T98" s="8">
        <v>100000</v>
      </c>
      <c r="U98" s="8">
        <v>125000</v>
      </c>
      <c r="V98" s="8">
        <v>130000</v>
      </c>
      <c r="W98" s="1" t="s">
        <v>649</v>
      </c>
      <c r="X98" s="1"/>
      <c r="Y98" s="1" t="s">
        <v>650</v>
      </c>
      <c r="Z98" s="1" t="s">
        <v>76</v>
      </c>
      <c r="AA98" s="1" t="s">
        <v>67</v>
      </c>
      <c r="AB98" s="10" t="s">
        <v>66</v>
      </c>
      <c r="AC98" s="10" t="s">
        <v>68</v>
      </c>
      <c r="AD98" s="1" t="str">
        <f>IFERROR(VLOOKUP(B98,'Regiões Administrativas'!$A$1:$B$646,2,0),"")</f>
        <v>Campinas</v>
      </c>
      <c r="AE98" s="1">
        <f>IFERROR(VLOOKUP(Form_Responses[[#This Row],[Município]],'Regiões Administrativas'!$A$1:$I$646,3,0),"")</f>
        <v>16138</v>
      </c>
      <c r="AF98" s="1">
        <f>IFERROR(VLOOKUP(Form_Responses[[#This Row],[Município]],'Regiões Administrativas'!$A$1:$I$646,4,0),"")</f>
        <v>352340405000001</v>
      </c>
      <c r="AG98" s="1">
        <f>IFERROR(VLOOKUP(Form_Responses[[#This Row],[Município]],'Regiões Administrativas'!$A$1:$I$646,4,0),"")</f>
        <v>352340405000001</v>
      </c>
      <c r="AH98" s="1">
        <f>IFERROR(VLOOKUP(B98,'Regiões Administrativas'!$A$1:$I$646,5,0),"")</f>
        <v>3523404</v>
      </c>
      <c r="AI98" s="1">
        <f>IFERROR(VLOOKUP(B98,'Regiões Administrativas'!$A$1:$I$646,6,0),"")</f>
        <v>-46.8375579</v>
      </c>
      <c r="AJ98" s="1">
        <f>IFERROR(VLOOKUP(B98,'Regiões Administrativas'!$A$1:$I$646,8,0),"")</f>
        <v>766.77427399999999</v>
      </c>
      <c r="AK98" s="1" t="str">
        <f>IFERROR(VLOOKUP(Form_Responses[[#This Row],[Município]],'Regiões Administrativas'!$A$1:$I$646,9,0),"")</f>
        <v>1J6tn\{r;71f</v>
      </c>
    </row>
    <row r="99" spans="1:37" ht="22.5" customHeight="1">
      <c r="A99" s="13">
        <v>46009.479472824074</v>
      </c>
      <c r="B99" s="1" t="s">
        <v>554</v>
      </c>
      <c r="C99" s="1" t="s">
        <v>555</v>
      </c>
      <c r="D99" s="1" t="s">
        <v>651</v>
      </c>
      <c r="E99" s="1" t="s">
        <v>652</v>
      </c>
      <c r="F99" s="1"/>
      <c r="G99" s="10" t="s">
        <v>653</v>
      </c>
      <c r="I99" s="10" t="s">
        <v>81</v>
      </c>
      <c r="J99" s="7">
        <v>46284</v>
      </c>
      <c r="K99" s="7">
        <v>46286</v>
      </c>
      <c r="L99" s="11">
        <v>0.33333333333575865</v>
      </c>
      <c r="M99" s="11">
        <v>0.91666666666424135</v>
      </c>
      <c r="N99" s="1" t="s">
        <v>268</v>
      </c>
      <c r="O99" s="1" t="s">
        <v>45</v>
      </c>
      <c r="P99" s="1" t="s">
        <v>63</v>
      </c>
      <c r="Q99" s="1" t="s">
        <v>47</v>
      </c>
      <c r="R99" s="1" t="s">
        <v>48</v>
      </c>
      <c r="S99" s="8">
        <v>5000</v>
      </c>
      <c r="T99" s="8">
        <v>4000</v>
      </c>
      <c r="U99" s="8">
        <v>3000</v>
      </c>
      <c r="V99" s="8">
        <v>3000</v>
      </c>
      <c r="W99" s="1" t="s">
        <v>654</v>
      </c>
      <c r="X99" s="1" t="s">
        <v>431</v>
      </c>
      <c r="Y99" s="1" t="s">
        <v>562</v>
      </c>
      <c r="Z99" s="1" t="s">
        <v>361</v>
      </c>
      <c r="AA99" s="1" t="s">
        <v>563</v>
      </c>
      <c r="AB99" s="1" t="s">
        <v>66</v>
      </c>
      <c r="AC99" s="1" t="s">
        <v>68</v>
      </c>
      <c r="AD99" s="1" t="str">
        <f>IFERROR(VLOOKUP(B99,'Regiões Administrativas'!$A$1:$B$646,2,0),"")</f>
        <v>São José do Rio Preto</v>
      </c>
      <c r="AE99" s="1">
        <f>IFERROR(VLOOKUP(Form_Responses[[#This Row],[Município]],'Regiões Administrativas'!$A$1:$I$646,3,0),"")</f>
        <v>17450</v>
      </c>
      <c r="AF99" s="1">
        <f>IFERROR(VLOOKUP(Form_Responses[[#This Row],[Município]],'Regiões Administrativas'!$A$1:$I$646,4,0),"")</f>
        <v>355710505000001</v>
      </c>
      <c r="AG99" s="1">
        <f>IFERROR(VLOOKUP(Form_Responses[[#This Row],[Município]],'Regiões Administrativas'!$A$1:$I$646,4,0),"")</f>
        <v>355710505000001</v>
      </c>
      <c r="AH99" s="1">
        <f>IFERROR(VLOOKUP(B99,'Regiões Administrativas'!$A$1:$I$646,5,0),"")</f>
        <v>3557105</v>
      </c>
      <c r="AI99" s="1">
        <f>IFERROR(VLOOKUP(B99,'Regiões Administrativas'!$A$1:$I$646,6,0),"")</f>
        <v>-49.974671999999998</v>
      </c>
      <c r="AJ99" s="1">
        <f>IFERROR(VLOOKUP(B99,'Regiões Administrativas'!$A$1:$I$646,8,0),"")</f>
        <v>518.33459100000005</v>
      </c>
      <c r="AK99" s="1" t="str">
        <f>IFERROR(VLOOKUP(Form_Responses[[#This Row],[Município]],'Regiões Administrativas'!$A$1:$I$646,9,0),"")</f>
        <v>1J6R3Zw@HH+p</v>
      </c>
    </row>
    <row r="100" spans="1:37" ht="22.5" customHeight="1">
      <c r="A100" s="13">
        <v>46009.489307407406</v>
      </c>
      <c r="B100" s="1" t="s">
        <v>655</v>
      </c>
      <c r="C100" s="1" t="s">
        <v>656</v>
      </c>
      <c r="D100" s="1" t="s">
        <v>657</v>
      </c>
      <c r="E100" s="1" t="s">
        <v>658</v>
      </c>
      <c r="F100" s="1"/>
      <c r="G100" s="10" t="s">
        <v>659</v>
      </c>
      <c r="I100" s="10" t="s">
        <v>60</v>
      </c>
      <c r="J100" s="7">
        <v>46179</v>
      </c>
      <c r="K100" s="7">
        <v>46020</v>
      </c>
      <c r="L100" s="11">
        <v>0.70833333333575865</v>
      </c>
      <c r="M100" s="11">
        <v>0.91666666666424135</v>
      </c>
      <c r="N100" s="1" t="s">
        <v>44</v>
      </c>
      <c r="O100" s="1" t="s">
        <v>190</v>
      </c>
      <c r="P100" s="1" t="s">
        <v>135</v>
      </c>
      <c r="Q100" s="1" t="s">
        <v>47</v>
      </c>
      <c r="R100" s="1" t="s">
        <v>74</v>
      </c>
      <c r="S100" s="8">
        <v>20000</v>
      </c>
      <c r="T100" s="8">
        <v>20000</v>
      </c>
      <c r="U100" s="8">
        <v>18000</v>
      </c>
      <c r="V100" s="8">
        <v>17000</v>
      </c>
      <c r="W100" s="1" t="s">
        <v>660</v>
      </c>
      <c r="X100" s="1"/>
      <c r="Y100" s="1" t="s">
        <v>661</v>
      </c>
      <c r="Z100" s="1" t="s">
        <v>66</v>
      </c>
      <c r="AA100" s="1" t="s">
        <v>66</v>
      </c>
      <c r="AB100" s="1" t="s">
        <v>66</v>
      </c>
      <c r="AC100" s="1" t="s">
        <v>68</v>
      </c>
      <c r="AD100" s="1" t="str">
        <f>IFERROR(VLOOKUP(B100,'Regiões Administrativas'!$A$1:$B$646,2,0),"")</f>
        <v>Itapeva</v>
      </c>
      <c r="AE100" s="1">
        <f>IFERROR(VLOOKUP(Form_Responses[[#This Row],[Município]],'Regiões Administrativas'!$A$1:$I$646,3,0),"")</f>
        <v>16130</v>
      </c>
      <c r="AF100" s="1">
        <f>IFERROR(VLOOKUP(Form_Responses[[#This Row],[Município]],'Regiões Administrativas'!$A$1:$I$646,4,0),"")</f>
        <v>352320605000001</v>
      </c>
      <c r="AG100" s="1">
        <f>IFERROR(VLOOKUP(Form_Responses[[#This Row],[Município]],'Regiões Administrativas'!$A$1:$I$646,4,0),"")</f>
        <v>352320605000001</v>
      </c>
      <c r="AH100" s="1">
        <f>IFERROR(VLOOKUP(B100,'Regiões Administrativas'!$A$1:$I$646,5,0),"")</f>
        <v>3523206</v>
      </c>
      <c r="AI100" s="1">
        <f>IFERROR(VLOOKUP(B100,'Regiões Administrativas'!$A$1:$I$646,6,0),"")</f>
        <v>-49.336119699999998</v>
      </c>
      <c r="AJ100" s="1">
        <f>IFERROR(VLOOKUP(B100,'Regiões Administrativas'!$A$1:$I$646,8,0),"")</f>
        <v>734.12665600000003</v>
      </c>
      <c r="AK100" s="1" t="str">
        <f>IFERROR(VLOOKUP(Form_Responses[[#This Row],[Município]],'Regiões Administrativas'!$A$1:$I$646,9,0),"")</f>
        <v>1J6S29)Jh3)p</v>
      </c>
    </row>
    <row r="101" spans="1:37" ht="22.5" customHeight="1">
      <c r="A101" s="13">
        <v>46009.504070891198</v>
      </c>
      <c r="B101" s="1" t="s">
        <v>662</v>
      </c>
      <c r="C101" s="1" t="s">
        <v>216</v>
      </c>
      <c r="D101" s="1" t="s">
        <v>663</v>
      </c>
      <c r="E101" s="1" t="s">
        <v>664</v>
      </c>
      <c r="F101" s="1"/>
      <c r="G101" s="1" t="s">
        <v>665</v>
      </c>
      <c r="H101" s="6" t="s">
        <v>666</v>
      </c>
      <c r="I101" s="1" t="s">
        <v>162</v>
      </c>
      <c r="J101" s="7">
        <v>46021</v>
      </c>
      <c r="K101" s="7">
        <v>46061</v>
      </c>
      <c r="L101" s="1"/>
      <c r="M101" s="1"/>
      <c r="N101" s="1" t="s">
        <v>44</v>
      </c>
      <c r="O101" s="1" t="s">
        <v>45</v>
      </c>
      <c r="P101" s="1" t="s">
        <v>63</v>
      </c>
      <c r="Q101" s="1" t="s">
        <v>47</v>
      </c>
      <c r="R101" s="1" t="s">
        <v>48</v>
      </c>
      <c r="S101" s="8">
        <v>600000</v>
      </c>
      <c r="T101" s="8">
        <v>150000</v>
      </c>
      <c r="U101" s="8">
        <v>600000</v>
      </c>
      <c r="V101" s="8">
        <v>220000</v>
      </c>
      <c r="W101" s="1" t="s">
        <v>667</v>
      </c>
      <c r="X101" s="1"/>
      <c r="Y101" s="1" t="s">
        <v>668</v>
      </c>
      <c r="Z101" s="1" t="s">
        <v>632</v>
      </c>
      <c r="AA101" s="1" t="s">
        <v>113</v>
      </c>
      <c r="AB101" s="1" t="s">
        <v>66</v>
      </c>
      <c r="AC101" s="1" t="s">
        <v>68</v>
      </c>
      <c r="AD101" s="1" t="str">
        <f>IFERROR(VLOOKUP(B101,'Regiões Administrativas'!$A$1:$B$646,2,0),"")</f>
        <v>Santos</v>
      </c>
      <c r="AE101" s="1">
        <f>IFERROR(VLOOKUP(Form_Responses[[#This Row],[Município]],'Regiões Administrativas'!$A$1:$I$646,3,0),"")</f>
        <v>16898</v>
      </c>
      <c r="AF101" s="1">
        <f>IFERROR(VLOOKUP(Form_Responses[[#This Row],[Município]],'Regiões Administrativas'!$A$1:$I$646,4,0),"")</f>
        <v>354100005000001</v>
      </c>
      <c r="AG101" s="1">
        <f>IFERROR(VLOOKUP(Form_Responses[[#This Row],[Município]],'Regiões Administrativas'!$A$1:$I$646,4,0),"")</f>
        <v>354100005000001</v>
      </c>
      <c r="AH101" s="1">
        <f>IFERROR(VLOOKUP(B101,'Regiões Administrativas'!$A$1:$I$646,5,0),"")</f>
        <v>3541000</v>
      </c>
      <c r="AI101" s="1">
        <f>IFERROR(VLOOKUP(B101,'Regiões Administrativas'!$A$1:$I$646,6,0),"")</f>
        <v>-46.412049600000003</v>
      </c>
      <c r="AJ101" s="1">
        <f>IFERROR(VLOOKUP(B101,'Regiões Administrativas'!$A$1:$I$646,8,0),"")</f>
        <v>8.6821260000000002</v>
      </c>
      <c r="AK101" s="1" t="str">
        <f>IFERROR(VLOOKUP(Form_Responses[[#This Row],[Município]],'Regiões Administrativas'!$A$1:$I$646,9,0),"")</f>
        <v>1J6toXTzH9Kf</v>
      </c>
    </row>
    <row r="102" spans="1:37" ht="22.5" customHeight="1">
      <c r="A102" s="13">
        <v>46009.520349652783</v>
      </c>
      <c r="B102" s="1" t="s">
        <v>662</v>
      </c>
      <c r="C102" s="1" t="s">
        <v>216</v>
      </c>
      <c r="D102" s="1" t="s">
        <v>669</v>
      </c>
      <c r="E102" s="1" t="s">
        <v>670</v>
      </c>
      <c r="F102" s="1"/>
      <c r="G102" s="1" t="s">
        <v>671</v>
      </c>
      <c r="H102" s="6" t="s">
        <v>672</v>
      </c>
      <c r="I102" s="1" t="s">
        <v>162</v>
      </c>
      <c r="J102" s="7">
        <v>46022</v>
      </c>
      <c r="K102" s="7">
        <v>46023</v>
      </c>
      <c r="L102" s="1"/>
      <c r="M102" s="1"/>
      <c r="N102" s="1" t="s">
        <v>44</v>
      </c>
      <c r="O102" s="1" t="s">
        <v>45</v>
      </c>
      <c r="P102" s="1" t="s">
        <v>180</v>
      </c>
      <c r="Q102" s="1" t="s">
        <v>47</v>
      </c>
      <c r="R102" s="1" t="s">
        <v>48</v>
      </c>
      <c r="S102" s="8">
        <v>2000000</v>
      </c>
      <c r="T102" s="8"/>
      <c r="U102" s="8"/>
      <c r="V102" s="8">
        <v>2000000</v>
      </c>
      <c r="W102" s="1" t="s">
        <v>673</v>
      </c>
      <c r="X102" s="1"/>
      <c r="Y102" s="1" t="s">
        <v>674</v>
      </c>
      <c r="Z102" s="1" t="s">
        <v>76</v>
      </c>
      <c r="AA102" s="1" t="s">
        <v>225</v>
      </c>
      <c r="AB102" s="1" t="s">
        <v>318</v>
      </c>
      <c r="AC102" s="1" t="s">
        <v>68</v>
      </c>
      <c r="AD102" s="1" t="str">
        <f>IFERROR(VLOOKUP(B102,'Regiões Administrativas'!$A$1:$B$646,2,0),"")</f>
        <v>Santos</v>
      </c>
      <c r="AE102" s="1">
        <f>IFERROR(VLOOKUP(Form_Responses[[#This Row],[Município]],'Regiões Administrativas'!$A$1:$I$646,3,0),"")</f>
        <v>16898</v>
      </c>
      <c r="AF102" s="1">
        <f>IFERROR(VLOOKUP(Form_Responses[[#This Row],[Município]],'Regiões Administrativas'!$A$1:$I$646,4,0),"")</f>
        <v>354100005000001</v>
      </c>
      <c r="AG102" s="1">
        <f>IFERROR(VLOOKUP(Form_Responses[[#This Row],[Município]],'Regiões Administrativas'!$A$1:$I$646,4,0),"")</f>
        <v>354100005000001</v>
      </c>
      <c r="AH102" s="1">
        <f>IFERROR(VLOOKUP(B102,'Regiões Administrativas'!$A$1:$I$646,5,0),"")</f>
        <v>3541000</v>
      </c>
      <c r="AI102" s="1">
        <f>IFERROR(VLOOKUP(B102,'Regiões Administrativas'!$A$1:$I$646,6,0),"")</f>
        <v>-46.412049600000003</v>
      </c>
      <c r="AJ102" s="1">
        <f>IFERROR(VLOOKUP(B102,'Regiões Administrativas'!$A$1:$I$646,8,0),"")</f>
        <v>8.6821260000000002</v>
      </c>
      <c r="AK102" s="1" t="str">
        <f>IFERROR(VLOOKUP(Form_Responses[[#This Row],[Município]],'Regiões Administrativas'!$A$1:$I$646,9,0),"")</f>
        <v>1J6toXTzH9Kf</v>
      </c>
    </row>
    <row r="103" spans="1:37" ht="22.5" customHeight="1">
      <c r="A103" s="13">
        <v>46009.526517800929</v>
      </c>
      <c r="B103" s="1" t="s">
        <v>662</v>
      </c>
      <c r="C103" s="1" t="s">
        <v>216</v>
      </c>
      <c r="D103" s="1" t="s">
        <v>675</v>
      </c>
      <c r="E103" s="1" t="s">
        <v>676</v>
      </c>
      <c r="F103" s="1"/>
      <c r="G103" s="1" t="s">
        <v>677</v>
      </c>
      <c r="H103" s="6" t="s">
        <v>666</v>
      </c>
      <c r="I103" s="1" t="s">
        <v>162</v>
      </c>
      <c r="J103" s="7">
        <v>46011</v>
      </c>
      <c r="K103" s="7">
        <v>46053</v>
      </c>
      <c r="L103" s="1"/>
      <c r="M103" s="1"/>
      <c r="N103" s="1" t="s">
        <v>73</v>
      </c>
      <c r="O103" s="1" t="s">
        <v>45</v>
      </c>
      <c r="P103" s="1" t="s">
        <v>63</v>
      </c>
      <c r="Q103" s="1" t="s">
        <v>47</v>
      </c>
      <c r="R103" s="1" t="s">
        <v>48</v>
      </c>
      <c r="S103" s="8">
        <v>400000</v>
      </c>
      <c r="T103" s="8"/>
      <c r="U103" s="8">
        <v>180000</v>
      </c>
      <c r="V103" s="8">
        <v>150000</v>
      </c>
      <c r="W103" s="1" t="s">
        <v>667</v>
      </c>
      <c r="X103" s="6" t="s">
        <v>678</v>
      </c>
      <c r="Y103" s="1" t="s">
        <v>668</v>
      </c>
      <c r="Z103" s="1" t="s">
        <v>361</v>
      </c>
      <c r="AA103" s="1" t="s">
        <v>93</v>
      </c>
      <c r="AB103" s="1" t="s">
        <v>66</v>
      </c>
      <c r="AC103" s="1" t="s">
        <v>68</v>
      </c>
      <c r="AD103" s="1" t="str">
        <f>IFERROR(VLOOKUP(B103,'Regiões Administrativas'!$A$1:$B$646,2,0),"")</f>
        <v>Santos</v>
      </c>
      <c r="AE103" s="1">
        <f>IFERROR(VLOOKUP(Form_Responses[[#This Row],[Município]],'Regiões Administrativas'!$A$1:$I$646,3,0),"")</f>
        <v>16898</v>
      </c>
      <c r="AF103" s="1">
        <f>IFERROR(VLOOKUP(Form_Responses[[#This Row],[Município]],'Regiões Administrativas'!$A$1:$I$646,4,0),"")</f>
        <v>354100005000001</v>
      </c>
      <c r="AG103" s="1">
        <f>IFERROR(VLOOKUP(Form_Responses[[#This Row],[Município]],'Regiões Administrativas'!$A$1:$I$646,4,0),"")</f>
        <v>354100005000001</v>
      </c>
      <c r="AH103" s="1">
        <f>IFERROR(VLOOKUP(B103,'Regiões Administrativas'!$A$1:$I$646,5,0),"")</f>
        <v>3541000</v>
      </c>
      <c r="AI103" s="1">
        <f>IFERROR(VLOOKUP(B103,'Regiões Administrativas'!$A$1:$I$646,6,0),"")</f>
        <v>-46.412049600000003</v>
      </c>
      <c r="AJ103" s="1">
        <f>IFERROR(VLOOKUP(B103,'Regiões Administrativas'!$A$1:$I$646,8,0),"")</f>
        <v>8.6821260000000002</v>
      </c>
      <c r="AK103" s="1" t="str">
        <f>IFERROR(VLOOKUP(Form_Responses[[#This Row],[Município]],'Regiões Administrativas'!$A$1:$I$646,9,0),"")</f>
        <v>1J6toXTzH9Kf</v>
      </c>
    </row>
    <row r="104" spans="1:37" ht="22.5" customHeight="1">
      <c r="A104" s="13">
        <v>46009.590190150462</v>
      </c>
      <c r="B104" s="1" t="s">
        <v>554</v>
      </c>
      <c r="C104" s="1" t="s">
        <v>555</v>
      </c>
      <c r="D104" s="1" t="s">
        <v>679</v>
      </c>
      <c r="E104" s="1" t="s">
        <v>680</v>
      </c>
      <c r="F104" s="1"/>
      <c r="G104" s="1" t="s">
        <v>681</v>
      </c>
      <c r="H104" s="1"/>
      <c r="I104" s="1" t="s">
        <v>81</v>
      </c>
      <c r="J104" s="7">
        <v>46278</v>
      </c>
      <c r="K104" s="7">
        <v>46279</v>
      </c>
      <c r="L104" s="11">
        <v>0.625</v>
      </c>
      <c r="M104" s="11">
        <v>0.75</v>
      </c>
      <c r="N104" s="1" t="s">
        <v>268</v>
      </c>
      <c r="O104" s="1" t="s">
        <v>45</v>
      </c>
      <c r="P104" s="1" t="s">
        <v>63</v>
      </c>
      <c r="Q104" s="1" t="s">
        <v>47</v>
      </c>
      <c r="R104" s="1" t="s">
        <v>48</v>
      </c>
      <c r="S104" s="8">
        <v>5000</v>
      </c>
      <c r="T104" s="8">
        <v>3500</v>
      </c>
      <c r="U104" s="8">
        <v>3500</v>
      </c>
      <c r="V104" s="8">
        <v>3500</v>
      </c>
      <c r="W104" s="1" t="s">
        <v>682</v>
      </c>
      <c r="X104" s="1" t="s">
        <v>683</v>
      </c>
      <c r="Y104" s="1" t="s">
        <v>562</v>
      </c>
      <c r="Z104" s="1" t="s">
        <v>361</v>
      </c>
      <c r="AA104" s="1" t="s">
        <v>563</v>
      </c>
      <c r="AB104" s="1" t="s">
        <v>66</v>
      </c>
      <c r="AC104" s="1" t="s">
        <v>68</v>
      </c>
      <c r="AD104" s="1" t="str">
        <f>IFERROR(VLOOKUP(B104,'Regiões Administrativas'!$A$1:$B$646,2,0),"")</f>
        <v>São José do Rio Preto</v>
      </c>
      <c r="AE104" s="1">
        <f>IFERROR(VLOOKUP(Form_Responses[[#This Row],[Município]],'Regiões Administrativas'!$A$1:$I$646,3,0),"")</f>
        <v>17450</v>
      </c>
      <c r="AF104" s="1">
        <f>IFERROR(VLOOKUP(Form_Responses[[#This Row],[Município]],'Regiões Administrativas'!$A$1:$I$646,4,0),"")</f>
        <v>355710505000001</v>
      </c>
      <c r="AG104" s="1">
        <f>IFERROR(VLOOKUP(Form_Responses[[#This Row],[Município]],'Regiões Administrativas'!$A$1:$I$646,4,0),"")</f>
        <v>355710505000001</v>
      </c>
      <c r="AH104" s="1">
        <f>IFERROR(VLOOKUP(B104,'Regiões Administrativas'!$A$1:$I$646,5,0),"")</f>
        <v>3557105</v>
      </c>
      <c r="AI104" s="1">
        <f>IFERROR(VLOOKUP(B104,'Regiões Administrativas'!$A$1:$I$646,6,0),"")</f>
        <v>-49.974671999999998</v>
      </c>
      <c r="AJ104" s="1">
        <f>IFERROR(VLOOKUP(B104,'Regiões Administrativas'!$A$1:$I$646,8,0),"")</f>
        <v>518.33459100000005</v>
      </c>
      <c r="AK104" s="1" t="str">
        <f>IFERROR(VLOOKUP(Form_Responses[[#This Row],[Município]],'Regiões Administrativas'!$A$1:$I$646,9,0),"")</f>
        <v>1J6R3Zw@HH+p</v>
      </c>
    </row>
    <row r="105" spans="1:37" ht="22.5" customHeight="1">
      <c r="A105" s="5">
        <v>46009.605499513884</v>
      </c>
      <c r="B105" s="1" t="s">
        <v>537</v>
      </c>
      <c r="C105" s="1" t="s">
        <v>538</v>
      </c>
      <c r="D105" s="1" t="s">
        <v>684</v>
      </c>
      <c r="E105" s="1" t="s">
        <v>685</v>
      </c>
      <c r="F105" s="1"/>
      <c r="G105" s="1" t="s">
        <v>686</v>
      </c>
      <c r="H105" s="1"/>
      <c r="I105" s="1" t="s">
        <v>220</v>
      </c>
      <c r="J105" s="7">
        <v>46159</v>
      </c>
      <c r="K105" s="7">
        <v>46159</v>
      </c>
      <c r="L105" s="11">
        <v>0.41666666666424135</v>
      </c>
      <c r="M105" s="11">
        <v>0.75</v>
      </c>
      <c r="N105" s="1" t="s">
        <v>44</v>
      </c>
      <c r="O105" s="1" t="s">
        <v>234</v>
      </c>
      <c r="P105" s="1" t="s">
        <v>63</v>
      </c>
      <c r="Q105" s="1" t="s">
        <v>47</v>
      </c>
      <c r="R105" s="1" t="s">
        <v>74</v>
      </c>
      <c r="S105" s="8">
        <v>2500</v>
      </c>
      <c r="T105" s="8"/>
      <c r="U105" s="8">
        <v>2000</v>
      </c>
      <c r="V105" s="8">
        <v>2000</v>
      </c>
      <c r="W105" s="1" t="s">
        <v>687</v>
      </c>
      <c r="X105" s="1"/>
      <c r="Y105" s="1" t="s">
        <v>688</v>
      </c>
      <c r="Z105" s="1" t="s">
        <v>66</v>
      </c>
      <c r="AA105" s="1" t="s">
        <v>66</v>
      </c>
      <c r="AB105" s="1" t="s">
        <v>66</v>
      </c>
      <c r="AC105" s="1" t="s">
        <v>68</v>
      </c>
      <c r="AD105" s="1" t="str">
        <f>IFERROR(VLOOKUP(B105,'Regiões Administrativas'!$A$1:$B$646,2,0),"")</f>
        <v>Marília</v>
      </c>
      <c r="AE105" s="1">
        <f>IFERROR(VLOOKUP(Form_Responses[[#This Row],[Município]],'Regiões Administrativas'!$A$1:$I$646,3,0),"")</f>
        <v>16464</v>
      </c>
      <c r="AF105" s="1">
        <f>IFERROR(VLOOKUP(Form_Responses[[#This Row],[Município]],'Regiões Administrativas'!$A$1:$I$646,4,0),"")</f>
        <v>352900505000001</v>
      </c>
      <c r="AG105" s="1">
        <f>IFERROR(VLOOKUP(Form_Responses[[#This Row],[Município]],'Regiões Administrativas'!$A$1:$I$646,4,0),"")</f>
        <v>352900505000001</v>
      </c>
      <c r="AH105" s="1">
        <f>IFERROR(VLOOKUP(B105,'Regiões Administrativas'!$A$1:$I$646,5,0),"")</f>
        <v>3529005</v>
      </c>
      <c r="AI105" s="1">
        <f>IFERROR(VLOOKUP(B105,'Regiões Administrativas'!$A$1:$I$646,6,0),"")</f>
        <v>-49.951645599999999</v>
      </c>
      <c r="AJ105" s="1">
        <f>IFERROR(VLOOKUP(B105,'Regiões Administrativas'!$A$1:$I$646,8,0),"")</f>
        <v>657.30619000000002</v>
      </c>
      <c r="AK105" s="1" t="str">
        <f>IFERROR(VLOOKUP(Form_Responses[[#This Row],[Município]],'Regiões Administrativas'!$A$1:$I$646,9,0),"")</f>
        <v>1J6RQZYeWgj&gt;</v>
      </c>
    </row>
    <row r="106" spans="1:37" ht="22.5" customHeight="1">
      <c r="A106" s="13">
        <v>46009.616264340279</v>
      </c>
      <c r="B106" s="1" t="s">
        <v>537</v>
      </c>
      <c r="C106" s="1" t="s">
        <v>538</v>
      </c>
      <c r="D106" s="1" t="s">
        <v>689</v>
      </c>
      <c r="E106" s="1" t="s">
        <v>690</v>
      </c>
      <c r="F106" s="1"/>
      <c r="G106" s="1" t="s">
        <v>691</v>
      </c>
      <c r="H106" s="6" t="s">
        <v>692</v>
      </c>
      <c r="I106" s="1" t="s">
        <v>43</v>
      </c>
      <c r="J106" s="7">
        <v>46254</v>
      </c>
      <c r="K106" s="7">
        <v>46254</v>
      </c>
      <c r="L106" s="11">
        <v>0.5</v>
      </c>
      <c r="M106" s="11">
        <v>0.91666666666424135</v>
      </c>
      <c r="N106" s="1" t="s">
        <v>641</v>
      </c>
      <c r="O106" s="1" t="s">
        <v>142</v>
      </c>
      <c r="P106" s="1" t="s">
        <v>63</v>
      </c>
      <c r="Q106" s="1" t="s">
        <v>47</v>
      </c>
      <c r="R106" s="1" t="s">
        <v>74</v>
      </c>
      <c r="S106" s="8">
        <v>3500</v>
      </c>
      <c r="T106" s="8">
        <v>3200</v>
      </c>
      <c r="U106" s="8">
        <v>3200</v>
      </c>
      <c r="V106" s="8">
        <v>3000</v>
      </c>
      <c r="W106" s="1" t="s">
        <v>693</v>
      </c>
      <c r="X106" s="6" t="s">
        <v>692</v>
      </c>
      <c r="Y106" s="1" t="s">
        <v>694</v>
      </c>
      <c r="Z106" s="1" t="s">
        <v>76</v>
      </c>
      <c r="AA106" s="1" t="s">
        <v>113</v>
      </c>
      <c r="AB106" s="1" t="s">
        <v>66</v>
      </c>
      <c r="AC106" s="1" t="s">
        <v>68</v>
      </c>
      <c r="AD106" s="1" t="str">
        <f>IFERROR(VLOOKUP(B106,'Regiões Administrativas'!$A$1:$B$646,2,0),"")</f>
        <v>Marília</v>
      </c>
      <c r="AE106" s="1">
        <f>IFERROR(VLOOKUP(Form_Responses[[#This Row],[Município]],'Regiões Administrativas'!$A$1:$I$646,3,0),"")</f>
        <v>16464</v>
      </c>
      <c r="AF106" s="1">
        <f>IFERROR(VLOOKUP(Form_Responses[[#This Row],[Município]],'Regiões Administrativas'!$A$1:$I$646,4,0),"")</f>
        <v>352900505000001</v>
      </c>
      <c r="AG106" s="1">
        <f>IFERROR(VLOOKUP(Form_Responses[[#This Row],[Município]],'Regiões Administrativas'!$A$1:$I$646,4,0),"")</f>
        <v>352900505000001</v>
      </c>
      <c r="AH106" s="1">
        <f>IFERROR(VLOOKUP(B106,'Regiões Administrativas'!$A$1:$I$646,5,0),"")</f>
        <v>3529005</v>
      </c>
      <c r="AI106" s="1">
        <f>IFERROR(VLOOKUP(B106,'Regiões Administrativas'!$A$1:$I$646,6,0),"")</f>
        <v>-49.951645599999999</v>
      </c>
      <c r="AJ106" s="1">
        <f>IFERROR(VLOOKUP(B106,'Regiões Administrativas'!$A$1:$I$646,8,0),"")</f>
        <v>657.30619000000002</v>
      </c>
      <c r="AK106" s="1" t="str">
        <f>IFERROR(VLOOKUP(Form_Responses[[#This Row],[Município]],'Regiões Administrativas'!$A$1:$I$646,9,0),"")</f>
        <v>1J6RQZYeWgj&gt;</v>
      </c>
    </row>
    <row r="107" spans="1:37" ht="22.5" customHeight="1">
      <c r="A107" s="5">
        <v>46009.623372037036</v>
      </c>
      <c r="B107" s="1" t="s">
        <v>695</v>
      </c>
      <c r="C107" s="1" t="s">
        <v>103</v>
      </c>
      <c r="D107" s="1" t="s">
        <v>696</v>
      </c>
      <c r="E107" s="1" t="s">
        <v>697</v>
      </c>
      <c r="F107" s="1"/>
      <c r="G107" s="1" t="s">
        <v>698</v>
      </c>
      <c r="H107" s="6" t="s">
        <v>699</v>
      </c>
      <c r="I107" s="1" t="s">
        <v>128</v>
      </c>
      <c r="J107" s="7">
        <v>46115</v>
      </c>
      <c r="K107" s="7">
        <v>46115</v>
      </c>
      <c r="L107" s="11">
        <v>0.79166666666424135</v>
      </c>
      <c r="M107" s="11">
        <v>0.85416666666424135</v>
      </c>
      <c r="N107" s="1" t="s">
        <v>268</v>
      </c>
      <c r="O107" s="1" t="s">
        <v>221</v>
      </c>
      <c r="P107" s="1" t="s">
        <v>221</v>
      </c>
      <c r="Q107" s="1" t="s">
        <v>47</v>
      </c>
      <c r="R107" s="1" t="s">
        <v>74</v>
      </c>
      <c r="S107" s="8">
        <v>3700</v>
      </c>
      <c r="T107" s="8">
        <v>3500</v>
      </c>
      <c r="U107" s="8">
        <v>2700</v>
      </c>
      <c r="V107" s="8">
        <v>2500</v>
      </c>
      <c r="W107" s="1" t="s">
        <v>700</v>
      </c>
      <c r="X107" s="1"/>
      <c r="Y107" s="1" t="s">
        <v>701</v>
      </c>
      <c r="Z107" s="1" t="s">
        <v>66</v>
      </c>
      <c r="AA107" s="1" t="s">
        <v>67</v>
      </c>
      <c r="AB107" s="1" t="s">
        <v>66</v>
      </c>
      <c r="AC107" s="1" t="s">
        <v>68</v>
      </c>
      <c r="AD107" s="1" t="str">
        <f>IFERROR(VLOOKUP(B107,'Regiões Administrativas'!$A$1:$B$646,2,0),"")</f>
        <v>Campinas</v>
      </c>
      <c r="AE107" s="1">
        <f>IFERROR(VLOOKUP(Form_Responses[[#This Row],[Município]],'Regiões Administrativas'!$A$1:$I$646,3,0),"")</f>
        <v>17044</v>
      </c>
      <c r="AF107" s="1">
        <f>IFERROR(VLOOKUP(Form_Responses[[#This Row],[Município]],'Regiões Administrativas'!$A$1:$I$646,4,0),"")</f>
        <v>354580305000001</v>
      </c>
      <c r="AG107" s="1">
        <f>IFERROR(VLOOKUP(Form_Responses[[#This Row],[Município]],'Regiões Administrativas'!$A$1:$I$646,4,0),"")</f>
        <v>354580305000001</v>
      </c>
      <c r="AH107" s="1">
        <f>IFERROR(VLOOKUP(B107,'Regiões Administrativas'!$A$1:$I$646,5,0),"")</f>
        <v>3545803</v>
      </c>
      <c r="AI107" s="1">
        <f>IFERROR(VLOOKUP(B107,'Regiões Administrativas'!$A$1:$I$646,6,0),"")</f>
        <v>-47.413954799999999</v>
      </c>
      <c r="AJ107" s="1">
        <f>IFERROR(VLOOKUP(B107,'Regiões Administrativas'!$A$1:$I$646,8,0),"")</f>
        <v>567.88567699999999</v>
      </c>
      <c r="AK107" s="1" t="str">
        <f>IFERROR(VLOOKUP(Form_Responses[[#This Row],[Município]],'Regiões Administrativas'!$A$1:$I$646,9,0),"")</f>
        <v>1J6thm2*&lt;]9-</v>
      </c>
    </row>
    <row r="108" spans="1:37" ht="22.5" customHeight="1">
      <c r="A108" s="5">
        <v>46009.629773854162</v>
      </c>
      <c r="B108" s="1" t="s">
        <v>702</v>
      </c>
      <c r="C108" s="1" t="s">
        <v>103</v>
      </c>
      <c r="D108" s="1" t="s">
        <v>703</v>
      </c>
      <c r="E108" s="1" t="s">
        <v>704</v>
      </c>
      <c r="F108" s="1"/>
      <c r="G108" s="1" t="s">
        <v>705</v>
      </c>
      <c r="H108" s="6" t="s">
        <v>706</v>
      </c>
      <c r="I108" s="1" t="s">
        <v>220</v>
      </c>
      <c r="J108" s="7">
        <v>46164</v>
      </c>
      <c r="K108" s="7">
        <v>46164</v>
      </c>
      <c r="L108" s="11">
        <v>0.875</v>
      </c>
      <c r="M108" s="11">
        <v>4.1666666664241347E-2</v>
      </c>
      <c r="N108" s="1" t="s">
        <v>110</v>
      </c>
      <c r="O108" s="1" t="s">
        <v>45</v>
      </c>
      <c r="P108" s="1" t="s">
        <v>99</v>
      </c>
      <c r="Q108" s="1" t="s">
        <v>47</v>
      </c>
      <c r="R108" s="1" t="s">
        <v>74</v>
      </c>
      <c r="S108" s="8">
        <v>6000</v>
      </c>
      <c r="T108" s="8">
        <v>3500</v>
      </c>
      <c r="U108" s="8">
        <v>5800</v>
      </c>
      <c r="V108" s="8">
        <v>2900</v>
      </c>
      <c r="W108" s="1" t="s">
        <v>700</v>
      </c>
      <c r="X108" s="1"/>
      <c r="Y108" s="1" t="s">
        <v>707</v>
      </c>
      <c r="Z108" s="1" t="s">
        <v>66</v>
      </c>
      <c r="AA108" s="1" t="s">
        <v>708</v>
      </c>
      <c r="AB108" s="1" t="s">
        <v>66</v>
      </c>
      <c r="AC108" s="1" t="s">
        <v>68</v>
      </c>
      <c r="AD108" s="1" t="str">
        <f>IFERROR(VLOOKUP(B108,'Regiões Administrativas'!$A$1:$B$646,2,0),"")</f>
        <v>Central</v>
      </c>
      <c r="AE108" s="1">
        <f>IFERROR(VLOOKUP(Form_Responses[[#This Row],[Município]],'Regiões Administrativas'!$A$1:$I$646,3,0),"")</f>
        <v>17099</v>
      </c>
      <c r="AF108" s="1">
        <f>IFERROR(VLOOKUP(Form_Responses[[#This Row],[Município]],'Regiões Administrativas'!$A$1:$I$646,4,0),"")</f>
        <v>354740305000001</v>
      </c>
      <c r="AG108" s="1">
        <f>IFERROR(VLOOKUP(Form_Responses[[#This Row],[Município]],'Regiões Administrativas'!$A$1:$I$646,4,0),"")</f>
        <v>354740305000001</v>
      </c>
      <c r="AH108" s="1">
        <f>IFERROR(VLOOKUP(B108,'Regiões Administrativas'!$A$1:$I$646,5,0),"")</f>
        <v>3547403</v>
      </c>
      <c r="AI108" s="1">
        <f>IFERROR(VLOOKUP(B108,'Regiões Administrativas'!$A$1:$I$646,6,0),"")</f>
        <v>-50.830947399999999</v>
      </c>
      <c r="AJ108" s="1">
        <f>IFERROR(VLOOKUP(B108,'Regiões Administrativas'!$A$1:$I$646,8,0),"")</f>
        <v>428.951819</v>
      </c>
      <c r="AK108" s="1" t="str">
        <f>IFERROR(VLOOKUP(Form_Responses[[#This Row],[Município]],'Regiões Administrativas'!$A$1:$I$646,9,0),"")</f>
        <v>1J6R@J.h:Gyf</v>
      </c>
    </row>
    <row r="109" spans="1:37" ht="22.5" customHeight="1">
      <c r="A109" s="13">
        <v>46009.63699381944</v>
      </c>
      <c r="B109" s="1" t="s">
        <v>702</v>
      </c>
      <c r="C109" s="1" t="s">
        <v>103</v>
      </c>
      <c r="D109" s="1" t="s">
        <v>709</v>
      </c>
      <c r="E109" s="1" t="s">
        <v>710</v>
      </c>
      <c r="F109" s="1"/>
      <c r="G109" s="1" t="s">
        <v>711</v>
      </c>
      <c r="H109" s="6" t="s">
        <v>712</v>
      </c>
      <c r="I109" s="1" t="s">
        <v>60</v>
      </c>
      <c r="J109" s="7">
        <v>46179</v>
      </c>
      <c r="K109" s="7">
        <v>46179</v>
      </c>
      <c r="L109" s="11">
        <v>0.79166666666424135</v>
      </c>
      <c r="M109" s="11">
        <v>0.95833333333575865</v>
      </c>
      <c r="N109" s="1" t="s">
        <v>44</v>
      </c>
      <c r="O109" s="1" t="s">
        <v>45</v>
      </c>
      <c r="P109" s="1" t="s">
        <v>135</v>
      </c>
      <c r="Q109" s="1" t="s">
        <v>47</v>
      </c>
      <c r="R109" s="1" t="s">
        <v>74</v>
      </c>
      <c r="S109" s="8">
        <v>4500</v>
      </c>
      <c r="T109" s="8">
        <v>4000</v>
      </c>
      <c r="U109" s="8">
        <v>2800</v>
      </c>
      <c r="V109" s="8">
        <v>3600</v>
      </c>
      <c r="W109" s="1" t="s">
        <v>713</v>
      </c>
      <c r="X109" s="1"/>
      <c r="Y109" s="1" t="s">
        <v>707</v>
      </c>
      <c r="Z109" s="1" t="s">
        <v>76</v>
      </c>
      <c r="AA109" s="1" t="s">
        <v>708</v>
      </c>
      <c r="AB109" s="1" t="s">
        <v>66</v>
      </c>
      <c r="AC109" s="1" t="s">
        <v>68</v>
      </c>
      <c r="AD109" s="1" t="str">
        <f>IFERROR(VLOOKUP(B109,'Regiões Administrativas'!$A$1:$B$646,2,0),"")</f>
        <v>Central</v>
      </c>
      <c r="AE109" s="1">
        <f>IFERROR(VLOOKUP(Form_Responses[[#This Row],[Município]],'Regiões Administrativas'!$A$1:$I$646,3,0),"")</f>
        <v>17099</v>
      </c>
      <c r="AF109" s="1">
        <f>IFERROR(VLOOKUP(Form_Responses[[#This Row],[Município]],'Regiões Administrativas'!$A$1:$I$646,4,0),"")</f>
        <v>354740305000001</v>
      </c>
      <c r="AG109" s="1">
        <f>IFERROR(VLOOKUP(Form_Responses[[#This Row],[Município]],'Regiões Administrativas'!$A$1:$I$646,4,0),"")</f>
        <v>354740305000001</v>
      </c>
      <c r="AH109" s="1">
        <f>IFERROR(VLOOKUP(B109,'Regiões Administrativas'!$A$1:$I$646,5,0),"")</f>
        <v>3547403</v>
      </c>
      <c r="AI109" s="1">
        <f>IFERROR(VLOOKUP(B109,'Regiões Administrativas'!$A$1:$I$646,6,0),"")</f>
        <v>-50.830947399999999</v>
      </c>
      <c r="AJ109" s="1">
        <f>IFERROR(VLOOKUP(B109,'Regiões Administrativas'!$A$1:$I$646,8,0),"")</f>
        <v>428.951819</v>
      </c>
      <c r="AK109" s="1" t="str">
        <f>IFERROR(VLOOKUP(Form_Responses[[#This Row],[Município]],'Regiões Administrativas'!$A$1:$I$646,9,0),"")</f>
        <v>1J6R@J.h:Gyf</v>
      </c>
    </row>
    <row r="110" spans="1:37" ht="22.5" customHeight="1">
      <c r="A110" s="13">
        <v>46009.638804571761</v>
      </c>
      <c r="B110" s="1" t="s">
        <v>537</v>
      </c>
      <c r="C110" s="1" t="s">
        <v>538</v>
      </c>
      <c r="D110" s="1" t="s">
        <v>714</v>
      </c>
      <c r="E110" s="1" t="s">
        <v>715</v>
      </c>
      <c r="F110" s="1"/>
      <c r="G110" s="1" t="s">
        <v>716</v>
      </c>
      <c r="H110" s="1"/>
      <c r="I110" s="1" t="s">
        <v>72</v>
      </c>
      <c r="J110" s="7">
        <v>46216</v>
      </c>
      <c r="K110" s="7">
        <v>46222</v>
      </c>
      <c r="L110" s="11">
        <v>0.60416666666424135</v>
      </c>
      <c r="M110" s="11">
        <v>0.91666666666424135</v>
      </c>
      <c r="N110" s="1" t="s">
        <v>73</v>
      </c>
      <c r="O110" s="1" t="s">
        <v>45</v>
      </c>
      <c r="P110" s="1" t="s">
        <v>63</v>
      </c>
      <c r="Q110" s="1" t="s">
        <v>47</v>
      </c>
      <c r="R110" s="1" t="s">
        <v>230</v>
      </c>
      <c r="S110" s="8">
        <v>3500</v>
      </c>
      <c r="T110" s="8">
        <v>3000</v>
      </c>
      <c r="U110" s="8">
        <v>3000</v>
      </c>
      <c r="V110" s="8">
        <v>2500</v>
      </c>
      <c r="W110" s="1" t="s">
        <v>717</v>
      </c>
      <c r="X110" s="1"/>
      <c r="Y110" s="1" t="s">
        <v>718</v>
      </c>
      <c r="Z110" s="1" t="s">
        <v>76</v>
      </c>
      <c r="AA110" s="1" t="s">
        <v>77</v>
      </c>
      <c r="AB110" s="1" t="s">
        <v>66</v>
      </c>
      <c r="AC110" s="1" t="s">
        <v>68</v>
      </c>
      <c r="AD110" s="1" t="str">
        <f>IFERROR(VLOOKUP(B110,'Regiões Administrativas'!$A$1:$B$646,2,0),"")</f>
        <v>Marília</v>
      </c>
      <c r="AE110" s="1">
        <f>IFERROR(VLOOKUP(Form_Responses[[#This Row],[Município]],'Regiões Administrativas'!$A$1:$I$646,3,0),"")</f>
        <v>16464</v>
      </c>
      <c r="AF110" s="1">
        <f>IFERROR(VLOOKUP(Form_Responses[[#This Row],[Município]],'Regiões Administrativas'!$A$1:$I$646,4,0),"")</f>
        <v>352900505000001</v>
      </c>
      <c r="AG110" s="1">
        <f>IFERROR(VLOOKUP(Form_Responses[[#This Row],[Município]],'Regiões Administrativas'!$A$1:$I$646,4,0),"")</f>
        <v>352900505000001</v>
      </c>
      <c r="AH110" s="1">
        <f>IFERROR(VLOOKUP(B110,'Regiões Administrativas'!$A$1:$I$646,5,0),"")</f>
        <v>3529005</v>
      </c>
      <c r="AI110" s="1">
        <f>IFERROR(VLOOKUP(B110,'Regiões Administrativas'!$A$1:$I$646,6,0),"")</f>
        <v>-49.951645599999999</v>
      </c>
      <c r="AJ110" s="1">
        <f>IFERROR(VLOOKUP(B110,'Regiões Administrativas'!$A$1:$I$646,8,0),"")</f>
        <v>657.30619000000002</v>
      </c>
      <c r="AK110" s="1" t="str">
        <f>IFERROR(VLOOKUP(Form_Responses[[#This Row],[Município]],'Regiões Administrativas'!$A$1:$I$646,9,0),"")</f>
        <v>1J6RQZYeWgj&gt;</v>
      </c>
    </row>
    <row r="111" spans="1:37" ht="22.5" customHeight="1">
      <c r="A111" s="13">
        <v>46009.642029814815</v>
      </c>
      <c r="B111" s="1" t="s">
        <v>702</v>
      </c>
      <c r="C111" s="1" t="s">
        <v>103</v>
      </c>
      <c r="D111" s="1" t="s">
        <v>719</v>
      </c>
      <c r="E111" s="1" t="s">
        <v>720</v>
      </c>
      <c r="F111" s="1"/>
      <c r="G111" s="1" t="s">
        <v>721</v>
      </c>
      <c r="H111" s="6" t="s">
        <v>722</v>
      </c>
      <c r="I111" s="1" t="s">
        <v>72</v>
      </c>
      <c r="J111" s="7">
        <v>46214</v>
      </c>
      <c r="K111" s="7">
        <v>46215</v>
      </c>
      <c r="L111" s="11">
        <v>0.79166666666424135</v>
      </c>
      <c r="M111" s="11">
        <v>0.125</v>
      </c>
      <c r="N111" s="1" t="s">
        <v>73</v>
      </c>
      <c r="O111" s="1" t="s">
        <v>190</v>
      </c>
      <c r="P111" s="1" t="s">
        <v>63</v>
      </c>
      <c r="Q111" s="1" t="s">
        <v>365</v>
      </c>
      <c r="R111" s="1" t="s">
        <v>48</v>
      </c>
      <c r="S111" s="8">
        <v>20000</v>
      </c>
      <c r="T111" s="12" t="s">
        <v>723</v>
      </c>
      <c r="U111" s="12" t="s">
        <v>723</v>
      </c>
      <c r="V111" s="8">
        <v>18000</v>
      </c>
      <c r="W111" s="1" t="s">
        <v>724</v>
      </c>
      <c r="X111" s="1"/>
      <c r="Y111" s="1" t="s">
        <v>707</v>
      </c>
      <c r="Z111" s="1" t="s">
        <v>76</v>
      </c>
      <c r="AA111" s="1" t="s">
        <v>708</v>
      </c>
      <c r="AB111" s="1" t="s">
        <v>66</v>
      </c>
      <c r="AC111" s="1" t="s">
        <v>68</v>
      </c>
      <c r="AD111" s="1" t="str">
        <f>IFERROR(VLOOKUP(B111,'Regiões Administrativas'!$A$1:$B$646,2,0),"")</f>
        <v>Central</v>
      </c>
      <c r="AE111" s="1">
        <f>IFERROR(VLOOKUP(Form_Responses[[#This Row],[Município]],'Regiões Administrativas'!$A$1:$I$646,3,0),"")</f>
        <v>17099</v>
      </c>
      <c r="AF111" s="1">
        <f>IFERROR(VLOOKUP(Form_Responses[[#This Row],[Município]],'Regiões Administrativas'!$A$1:$I$646,4,0),"")</f>
        <v>354740305000001</v>
      </c>
      <c r="AG111" s="1">
        <f>IFERROR(VLOOKUP(Form_Responses[[#This Row],[Município]],'Regiões Administrativas'!$A$1:$I$646,4,0),"")</f>
        <v>354740305000001</v>
      </c>
      <c r="AH111" s="1">
        <f>IFERROR(VLOOKUP(B111,'Regiões Administrativas'!$A$1:$I$646,5,0),"")</f>
        <v>3547403</v>
      </c>
      <c r="AI111" s="1">
        <f>IFERROR(VLOOKUP(B111,'Regiões Administrativas'!$A$1:$I$646,6,0),"")</f>
        <v>-50.830947399999999</v>
      </c>
      <c r="AJ111" s="1">
        <f>IFERROR(VLOOKUP(B111,'Regiões Administrativas'!$A$1:$I$646,8,0),"")</f>
        <v>428.951819</v>
      </c>
      <c r="AK111" s="1" t="str">
        <f>IFERROR(VLOOKUP(Form_Responses[[#This Row],[Município]],'Regiões Administrativas'!$A$1:$I$646,9,0),"")</f>
        <v>1J6R@J.h:Gyf</v>
      </c>
    </row>
    <row r="112" spans="1:37" ht="22.5" customHeight="1">
      <c r="A112" s="13">
        <v>46009.647514525466</v>
      </c>
      <c r="B112" s="1" t="s">
        <v>702</v>
      </c>
      <c r="C112" s="1" t="s">
        <v>103</v>
      </c>
      <c r="D112" s="1" t="s">
        <v>725</v>
      </c>
      <c r="E112" s="1" t="s">
        <v>726</v>
      </c>
      <c r="F112" s="1"/>
      <c r="G112" s="1" t="s">
        <v>705</v>
      </c>
      <c r="H112" s="6" t="s">
        <v>727</v>
      </c>
      <c r="I112" s="1" t="s">
        <v>162</v>
      </c>
      <c r="J112" s="7">
        <v>46346</v>
      </c>
      <c r="K112" s="7">
        <v>46392</v>
      </c>
      <c r="L112" s="11">
        <v>0.79166666666424135</v>
      </c>
      <c r="M112" s="11">
        <v>0</v>
      </c>
      <c r="N112" s="1" t="s">
        <v>44</v>
      </c>
      <c r="O112" s="1" t="s">
        <v>45</v>
      </c>
      <c r="P112" s="1" t="s">
        <v>251</v>
      </c>
      <c r="Q112" s="1" t="s">
        <v>47</v>
      </c>
      <c r="R112" s="1" t="s">
        <v>48</v>
      </c>
      <c r="S112" s="8">
        <v>15000</v>
      </c>
      <c r="T112" s="8">
        <v>10000</v>
      </c>
      <c r="U112" s="8">
        <v>7000</v>
      </c>
      <c r="V112" s="8">
        <v>4000</v>
      </c>
      <c r="W112" s="1" t="s">
        <v>728</v>
      </c>
      <c r="X112" s="1"/>
      <c r="Y112" s="1" t="s">
        <v>707</v>
      </c>
      <c r="Z112" s="1" t="s">
        <v>76</v>
      </c>
      <c r="AA112" s="1" t="s">
        <v>206</v>
      </c>
      <c r="AB112" s="1" t="s">
        <v>66</v>
      </c>
      <c r="AC112" s="1" t="s">
        <v>68</v>
      </c>
      <c r="AD112" s="1" t="str">
        <f>IFERROR(VLOOKUP(B112,'Regiões Administrativas'!$A$1:$B$646,2,0),"")</f>
        <v>Central</v>
      </c>
      <c r="AE112" s="1">
        <f>IFERROR(VLOOKUP(Form_Responses[[#This Row],[Município]],'Regiões Administrativas'!$A$1:$I$646,3,0),"")</f>
        <v>17099</v>
      </c>
      <c r="AF112" s="1">
        <f>IFERROR(VLOOKUP(Form_Responses[[#This Row],[Município]],'Regiões Administrativas'!$A$1:$I$646,4,0),"")</f>
        <v>354740305000001</v>
      </c>
      <c r="AG112" s="1">
        <f>IFERROR(VLOOKUP(Form_Responses[[#This Row],[Município]],'Regiões Administrativas'!$A$1:$I$646,4,0),"")</f>
        <v>354740305000001</v>
      </c>
      <c r="AH112" s="1">
        <f>IFERROR(VLOOKUP(B112,'Regiões Administrativas'!$A$1:$I$646,5,0),"")</f>
        <v>3547403</v>
      </c>
      <c r="AI112" s="1">
        <f>IFERROR(VLOOKUP(B112,'Regiões Administrativas'!$A$1:$I$646,6,0),"")</f>
        <v>-50.830947399999999</v>
      </c>
      <c r="AJ112" s="1">
        <f>IFERROR(VLOOKUP(B112,'Regiões Administrativas'!$A$1:$I$646,8,0),"")</f>
        <v>428.951819</v>
      </c>
      <c r="AK112" s="1" t="str">
        <f>IFERROR(VLOOKUP(Form_Responses[[#This Row],[Município]],'Regiões Administrativas'!$A$1:$I$646,9,0),"")</f>
        <v>1J6R@J.h:Gyf</v>
      </c>
    </row>
    <row r="113" spans="1:37" ht="22.5" customHeight="1">
      <c r="A113" s="13">
        <v>46009.647845833329</v>
      </c>
      <c r="B113" s="1" t="s">
        <v>537</v>
      </c>
      <c r="C113" s="1" t="s">
        <v>538</v>
      </c>
      <c r="D113" s="1" t="s">
        <v>729</v>
      </c>
      <c r="E113" s="1" t="s">
        <v>730</v>
      </c>
      <c r="F113" s="1"/>
      <c r="G113" s="1" t="s">
        <v>731</v>
      </c>
      <c r="H113" s="6" t="s">
        <v>598</v>
      </c>
      <c r="I113" s="1" t="s">
        <v>72</v>
      </c>
      <c r="J113" s="7">
        <v>46228</v>
      </c>
      <c r="K113" s="7">
        <v>46228</v>
      </c>
      <c r="L113" s="11">
        <v>0.33333333333575865</v>
      </c>
      <c r="M113" s="11">
        <v>0.5</v>
      </c>
      <c r="N113" s="1" t="s">
        <v>98</v>
      </c>
      <c r="O113" s="1" t="s">
        <v>310</v>
      </c>
      <c r="P113" s="1" t="s">
        <v>63</v>
      </c>
      <c r="Q113" s="1" t="s">
        <v>47</v>
      </c>
      <c r="R113" s="1" t="s">
        <v>256</v>
      </c>
      <c r="S113" s="8">
        <v>100</v>
      </c>
      <c r="T113" s="8">
        <v>60</v>
      </c>
      <c r="U113" s="8"/>
      <c r="V113" s="8"/>
      <c r="W113" s="1" t="s">
        <v>732</v>
      </c>
      <c r="X113" s="1"/>
      <c r="Y113" s="1" t="s">
        <v>600</v>
      </c>
      <c r="Z113" s="1" t="s">
        <v>361</v>
      </c>
      <c r="AA113" s="1" t="s">
        <v>67</v>
      </c>
      <c r="AB113" s="1" t="s">
        <v>54</v>
      </c>
      <c r="AC113" s="1" t="s">
        <v>733</v>
      </c>
      <c r="AD113" s="1" t="str">
        <f>IFERROR(VLOOKUP(B113,'Regiões Administrativas'!$A$1:$B$646,2,0),"")</f>
        <v>Marília</v>
      </c>
      <c r="AE113" s="1">
        <f>IFERROR(VLOOKUP(Form_Responses[[#This Row],[Município]],'Regiões Administrativas'!$A$1:$I$646,3,0),"")</f>
        <v>16464</v>
      </c>
      <c r="AF113" s="1">
        <f>IFERROR(VLOOKUP(Form_Responses[[#This Row],[Município]],'Regiões Administrativas'!$A$1:$I$646,4,0),"")</f>
        <v>352900505000001</v>
      </c>
      <c r="AG113" s="1">
        <f>IFERROR(VLOOKUP(Form_Responses[[#This Row],[Município]],'Regiões Administrativas'!$A$1:$I$646,4,0),"")</f>
        <v>352900505000001</v>
      </c>
      <c r="AH113" s="1">
        <f>IFERROR(VLOOKUP(B113,'Regiões Administrativas'!$A$1:$I$646,5,0),"")</f>
        <v>3529005</v>
      </c>
      <c r="AI113" s="1">
        <f>IFERROR(VLOOKUP(B113,'Regiões Administrativas'!$A$1:$I$646,6,0),"")</f>
        <v>-49.951645599999999</v>
      </c>
      <c r="AJ113" s="1">
        <f>IFERROR(VLOOKUP(B113,'Regiões Administrativas'!$A$1:$I$646,8,0),"")</f>
        <v>657.30619000000002</v>
      </c>
      <c r="AK113" s="1" t="str">
        <f>IFERROR(VLOOKUP(Form_Responses[[#This Row],[Município]],'Regiões Administrativas'!$A$1:$I$646,9,0),"")</f>
        <v>1J6RQZYeWgj&gt;</v>
      </c>
    </row>
    <row r="114" spans="1:37" ht="22.5" customHeight="1">
      <c r="A114" s="13">
        <v>46009.652198796291</v>
      </c>
      <c r="B114" s="1" t="s">
        <v>702</v>
      </c>
      <c r="C114" s="1" t="s">
        <v>103</v>
      </c>
      <c r="D114" s="1" t="s">
        <v>734</v>
      </c>
      <c r="E114" s="1" t="s">
        <v>735</v>
      </c>
      <c r="F114" s="1"/>
      <c r="G114" s="1" t="s">
        <v>736</v>
      </c>
      <c r="H114" s="6" t="s">
        <v>737</v>
      </c>
      <c r="I114" s="1" t="s">
        <v>162</v>
      </c>
      <c r="J114" s="7">
        <v>46387</v>
      </c>
      <c r="K114" s="7">
        <v>46388</v>
      </c>
      <c r="L114" s="11">
        <v>0.97916666666424135</v>
      </c>
      <c r="M114" s="11">
        <v>0.125</v>
      </c>
      <c r="N114" s="1" t="s">
        <v>44</v>
      </c>
      <c r="O114" s="1" t="s">
        <v>45</v>
      </c>
      <c r="P114" s="1" t="s">
        <v>180</v>
      </c>
      <c r="Q114" s="1" t="s">
        <v>47</v>
      </c>
      <c r="R114" s="1" t="s">
        <v>48</v>
      </c>
      <c r="S114" s="8">
        <v>6000</v>
      </c>
      <c r="T114" s="8">
        <v>5000</v>
      </c>
      <c r="U114" s="8">
        <v>4000</v>
      </c>
      <c r="V114" s="8">
        <v>4600</v>
      </c>
      <c r="W114" s="1" t="s">
        <v>738</v>
      </c>
      <c r="X114" s="1"/>
      <c r="Y114" s="1" t="s">
        <v>707</v>
      </c>
      <c r="Z114" s="1" t="s">
        <v>76</v>
      </c>
      <c r="AA114" s="1" t="s">
        <v>206</v>
      </c>
      <c r="AB114" s="1" t="s">
        <v>66</v>
      </c>
      <c r="AC114" s="1" t="s">
        <v>68</v>
      </c>
      <c r="AD114" s="1" t="str">
        <f>IFERROR(VLOOKUP(B114,'Regiões Administrativas'!$A$1:$B$646,2,0),"")</f>
        <v>Central</v>
      </c>
      <c r="AE114" s="1">
        <f>IFERROR(VLOOKUP(Form_Responses[[#This Row],[Município]],'Regiões Administrativas'!$A$1:$I$646,3,0),"")</f>
        <v>17099</v>
      </c>
      <c r="AF114" s="1">
        <f>IFERROR(VLOOKUP(Form_Responses[[#This Row],[Município]],'Regiões Administrativas'!$A$1:$I$646,4,0),"")</f>
        <v>354740305000001</v>
      </c>
      <c r="AG114" s="1">
        <f>IFERROR(VLOOKUP(Form_Responses[[#This Row],[Município]],'Regiões Administrativas'!$A$1:$I$646,4,0),"")</f>
        <v>354740305000001</v>
      </c>
      <c r="AH114" s="1">
        <f>IFERROR(VLOOKUP(B114,'Regiões Administrativas'!$A$1:$I$646,5,0),"")</f>
        <v>3547403</v>
      </c>
      <c r="AI114" s="1">
        <f>IFERROR(VLOOKUP(B114,'Regiões Administrativas'!$A$1:$I$646,6,0),"")</f>
        <v>-50.830947399999999</v>
      </c>
      <c r="AJ114" s="1">
        <f>IFERROR(VLOOKUP(B114,'Regiões Administrativas'!$A$1:$I$646,8,0),"")</f>
        <v>428.951819</v>
      </c>
      <c r="AK114" s="1" t="str">
        <f>IFERROR(VLOOKUP(Form_Responses[[#This Row],[Município]],'Regiões Administrativas'!$A$1:$I$646,9,0),"")</f>
        <v>1J6R@J.h:Gyf</v>
      </c>
    </row>
    <row r="115" spans="1:37" ht="22.5" customHeight="1">
      <c r="A115" s="13">
        <v>46009.68226011574</v>
      </c>
      <c r="B115" s="1" t="s">
        <v>537</v>
      </c>
      <c r="C115" s="1" t="s">
        <v>538</v>
      </c>
      <c r="D115" s="1" t="s">
        <v>739</v>
      </c>
      <c r="E115" s="1" t="s">
        <v>740</v>
      </c>
      <c r="F115" s="1"/>
      <c r="G115" s="1" t="s">
        <v>741</v>
      </c>
      <c r="H115" s="6" t="s">
        <v>742</v>
      </c>
      <c r="I115" s="1" t="s">
        <v>162</v>
      </c>
      <c r="J115" s="7">
        <v>46387</v>
      </c>
      <c r="K115" s="7">
        <v>46387</v>
      </c>
      <c r="L115" s="11">
        <v>0.29166666666424135</v>
      </c>
      <c r="M115" s="11">
        <v>0.375</v>
      </c>
      <c r="N115" s="1" t="s">
        <v>61</v>
      </c>
      <c r="O115" s="1" t="s">
        <v>62</v>
      </c>
      <c r="P115" s="1" t="s">
        <v>63</v>
      </c>
      <c r="Q115" s="1" t="s">
        <v>47</v>
      </c>
      <c r="R115" s="1" t="s">
        <v>74</v>
      </c>
      <c r="S115" s="8">
        <v>1500</v>
      </c>
      <c r="T115" s="8">
        <v>1200</v>
      </c>
      <c r="U115" s="8">
        <v>1200</v>
      </c>
      <c r="V115" s="8">
        <v>1100</v>
      </c>
      <c r="W115" s="1" t="s">
        <v>743</v>
      </c>
      <c r="X115" s="6" t="s">
        <v>742</v>
      </c>
      <c r="Y115" s="6" t="s">
        <v>742</v>
      </c>
      <c r="Z115" s="1" t="s">
        <v>66</v>
      </c>
      <c r="AA115" s="1" t="s">
        <v>66</v>
      </c>
      <c r="AB115" s="1" t="s">
        <v>66</v>
      </c>
      <c r="AC115" s="1" t="s">
        <v>354</v>
      </c>
      <c r="AD115" s="1" t="str">
        <f>IFERROR(VLOOKUP(B115,'Regiões Administrativas'!$A$1:$B$646,2,0),"")</f>
        <v>Marília</v>
      </c>
      <c r="AE115" s="1">
        <f>IFERROR(VLOOKUP(Form_Responses[[#This Row],[Município]],'Regiões Administrativas'!$A$1:$I$646,3,0),"")</f>
        <v>16464</v>
      </c>
      <c r="AF115" s="1">
        <f>IFERROR(VLOOKUP(Form_Responses[[#This Row],[Município]],'Regiões Administrativas'!$A$1:$I$646,4,0),"")</f>
        <v>352900505000001</v>
      </c>
      <c r="AG115" s="1">
        <f>IFERROR(VLOOKUP(Form_Responses[[#This Row],[Município]],'Regiões Administrativas'!$A$1:$I$646,4,0),"")</f>
        <v>352900505000001</v>
      </c>
      <c r="AH115" s="1">
        <f>IFERROR(VLOOKUP(B115,'Regiões Administrativas'!$A$1:$I$646,5,0),"")</f>
        <v>3529005</v>
      </c>
      <c r="AI115" s="1">
        <f>IFERROR(VLOOKUP(B115,'Regiões Administrativas'!$A$1:$I$646,6,0),"")</f>
        <v>-49.951645599999999</v>
      </c>
      <c r="AJ115" s="1">
        <f>IFERROR(VLOOKUP(B115,'Regiões Administrativas'!$A$1:$I$646,8,0),"")</f>
        <v>657.30619000000002</v>
      </c>
      <c r="AK115" s="1" t="str">
        <f>IFERROR(VLOOKUP(Form_Responses[[#This Row],[Município]],'Regiões Administrativas'!$A$1:$I$646,9,0),"")</f>
        <v>1J6RQZYeWgj&gt;</v>
      </c>
    </row>
    <row r="116" spans="1:37" ht="22.5" customHeight="1">
      <c r="A116" s="5">
        <v>46009.703663090273</v>
      </c>
      <c r="B116" s="1" t="s">
        <v>744</v>
      </c>
      <c r="C116" s="1" t="s">
        <v>555</v>
      </c>
      <c r="D116" s="1" t="s">
        <v>745</v>
      </c>
      <c r="E116" s="1" t="s">
        <v>746</v>
      </c>
      <c r="F116" s="1"/>
      <c r="G116" s="1" t="s">
        <v>747</v>
      </c>
      <c r="H116" s="1" t="s">
        <v>748</v>
      </c>
      <c r="I116" s="1" t="s">
        <v>109</v>
      </c>
      <c r="J116" s="7">
        <v>46100</v>
      </c>
      <c r="K116" s="7">
        <v>46102</v>
      </c>
      <c r="L116" s="11">
        <v>0.83333333333575865</v>
      </c>
      <c r="M116" s="1"/>
      <c r="N116" s="1" t="s">
        <v>44</v>
      </c>
      <c r="O116" s="1" t="s">
        <v>45</v>
      </c>
      <c r="P116" s="1" t="s">
        <v>46</v>
      </c>
      <c r="Q116" s="1" t="s">
        <v>47</v>
      </c>
      <c r="R116" s="1" t="s">
        <v>48</v>
      </c>
      <c r="S116" s="8">
        <v>15000</v>
      </c>
      <c r="T116" s="8">
        <v>13000</v>
      </c>
      <c r="U116" s="8">
        <v>12000</v>
      </c>
      <c r="V116" s="8">
        <v>12000</v>
      </c>
      <c r="W116" s="1" t="s">
        <v>749</v>
      </c>
      <c r="X116" s="1"/>
      <c r="Y116" s="1" t="s">
        <v>750</v>
      </c>
      <c r="Z116" s="1" t="s">
        <v>224</v>
      </c>
      <c r="AA116" s="1" t="s">
        <v>751</v>
      </c>
      <c r="AB116" s="10" t="s">
        <v>344</v>
      </c>
      <c r="AC116" s="10" t="s">
        <v>68</v>
      </c>
      <c r="AD116" s="10" t="str">
        <f>IFERROR(VLOOKUP(B116,'Regiões Administrativas'!$A$1:$B$646,2,0),"")</f>
        <v>São José do Rio Preto</v>
      </c>
      <c r="AE116" s="10">
        <f>IFERROR(VLOOKUP(Form_Responses[[#This Row],[Município]],'Regiões Administrativas'!$A$1:$I$646,3,0),"")</f>
        <v>16510</v>
      </c>
      <c r="AF116" s="10">
        <f>IFERROR(VLOOKUP(Form_Responses[[#This Row],[Município]],'Regiões Administrativas'!$A$1:$I$646,4,0),"")</f>
        <v>353000305000001</v>
      </c>
      <c r="AG116" s="10">
        <f>IFERROR(VLOOKUP(Form_Responses[[#This Row],[Município]],'Regiões Administrativas'!$A$1:$I$646,4,0),"")</f>
        <v>353000305000001</v>
      </c>
      <c r="AH116" s="10">
        <f>IFERROR(VLOOKUP(B116,'Regiões Administrativas'!$A$1:$I$646,5,0),"")</f>
        <v>3530003</v>
      </c>
      <c r="AI116" s="10">
        <f>IFERROR(VLOOKUP(B116,'Regiões Administrativas'!$A$1:$I$646,6,0),"")</f>
        <v>-50.138427200000002</v>
      </c>
      <c r="AJ116" s="10">
        <f>IFERROR(VLOOKUP(B116,'Regiões Administrativas'!$A$1:$I$646,8,0),"")</f>
        <v>459.85779500000001</v>
      </c>
      <c r="AK116" s="10" t="str">
        <f>IFERROR(VLOOKUP(Form_Responses[[#This Row],[Município]],'Regiões Administrativas'!$A$1:$I$646,9,0),"")</f>
        <v>1J6R3A:EK2)f</v>
      </c>
    </row>
    <row r="117" spans="1:37" ht="22.5" customHeight="1">
      <c r="A117" s="5">
        <v>46010.41610076389</v>
      </c>
      <c r="B117" s="1" t="s">
        <v>752</v>
      </c>
      <c r="C117" s="1" t="s">
        <v>753</v>
      </c>
      <c r="D117" s="1" t="s">
        <v>90</v>
      </c>
      <c r="E117" s="1" t="s">
        <v>754</v>
      </c>
      <c r="F117" s="1"/>
      <c r="G117" s="1" t="s">
        <v>755</v>
      </c>
      <c r="H117" s="1"/>
      <c r="I117" s="1" t="s">
        <v>89</v>
      </c>
      <c r="J117" s="7">
        <v>46066</v>
      </c>
      <c r="K117" s="7">
        <v>46070</v>
      </c>
      <c r="L117" s="11">
        <v>0.83333333333575865</v>
      </c>
      <c r="M117" s="11">
        <v>0.125</v>
      </c>
      <c r="N117" s="1" t="s">
        <v>44</v>
      </c>
      <c r="O117" s="1" t="s">
        <v>45</v>
      </c>
      <c r="P117" s="1" t="s">
        <v>90</v>
      </c>
      <c r="Q117" s="1" t="s">
        <v>47</v>
      </c>
      <c r="R117" s="1" t="s">
        <v>74</v>
      </c>
      <c r="S117" s="8">
        <v>20000</v>
      </c>
      <c r="T117" s="8">
        <v>20000</v>
      </c>
      <c r="U117" s="8">
        <v>20000</v>
      </c>
      <c r="V117" s="8">
        <v>20000</v>
      </c>
      <c r="W117" s="1" t="s">
        <v>756</v>
      </c>
      <c r="X117" s="1"/>
      <c r="Y117" s="1" t="s">
        <v>757</v>
      </c>
      <c r="Z117" s="1" t="s">
        <v>76</v>
      </c>
      <c r="AA117" s="1" t="s">
        <v>113</v>
      </c>
      <c r="AB117" s="10" t="s">
        <v>66</v>
      </c>
      <c r="AC117" s="10" t="s">
        <v>94</v>
      </c>
      <c r="AD117" s="10" t="str">
        <f>IFERROR(VLOOKUP(B117,'Regiões Administrativas'!$A$1:$B$646,2,0),"")</f>
        <v>Campinas</v>
      </c>
      <c r="AE117" s="10">
        <f>IFERROR(VLOOKUP(Form_Responses[[#This Row],[Município]],'Regiões Administrativas'!$A$1:$I$646,3,0),"")</f>
        <v>17339</v>
      </c>
      <c r="AF117" s="10">
        <f>IFERROR(VLOOKUP(Form_Responses[[#This Row],[Município]],'Regiões Administrativas'!$A$1:$I$646,4,0),"")</f>
        <v>355330205000001</v>
      </c>
      <c r="AG117" s="10">
        <f>IFERROR(VLOOKUP(Form_Responses[[#This Row],[Município]],'Regiões Administrativas'!$A$1:$I$646,4,0),"")</f>
        <v>355330205000001</v>
      </c>
      <c r="AH117" s="10">
        <f>IFERROR(VLOOKUP(B117,'Regiões Administrativas'!$A$1:$I$646,5,0),"")</f>
        <v>3553302</v>
      </c>
      <c r="AI117" s="10">
        <f>IFERROR(VLOOKUP(B117,'Regiões Administrativas'!$A$1:$I$646,6,0),"")</f>
        <v>-47.271615500000003</v>
      </c>
      <c r="AJ117" s="10">
        <f>IFERROR(VLOOKUP(B117,'Regiões Administrativas'!$A$1:$I$646,8,0),"")</f>
        <v>693.87781199999995</v>
      </c>
      <c r="AK117" s="10" t="str">
        <f>IFERROR(VLOOKUP(Form_Responses[[#This Row],[Município]],'Regiões Administrativas'!$A$1:$I$646,9,0),"")</f>
        <v>1J6tG:woQRnp</v>
      </c>
    </row>
    <row r="118" spans="1:37" ht="22.5" customHeight="1">
      <c r="A118" s="13">
        <v>46010.418296782409</v>
      </c>
      <c r="B118" s="1" t="s">
        <v>367</v>
      </c>
      <c r="C118" s="1" t="s">
        <v>103</v>
      </c>
      <c r="D118" s="1" t="s">
        <v>758</v>
      </c>
      <c r="E118" s="1" t="s">
        <v>759</v>
      </c>
      <c r="F118" s="1"/>
      <c r="G118" s="1" t="s">
        <v>760</v>
      </c>
      <c r="H118" s="6" t="s">
        <v>761</v>
      </c>
      <c r="I118" s="1" t="s">
        <v>72</v>
      </c>
      <c r="J118" s="7">
        <v>45843</v>
      </c>
      <c r="K118" s="7">
        <v>45844</v>
      </c>
      <c r="L118" s="11">
        <v>0.83333333333575865</v>
      </c>
      <c r="M118" s="11">
        <v>0.125</v>
      </c>
      <c r="N118" s="1" t="s">
        <v>44</v>
      </c>
      <c r="O118" s="1" t="s">
        <v>45</v>
      </c>
      <c r="P118" s="1" t="s">
        <v>135</v>
      </c>
      <c r="Q118" s="1" t="s">
        <v>47</v>
      </c>
      <c r="R118" s="1" t="s">
        <v>48</v>
      </c>
      <c r="S118" s="8">
        <v>6000</v>
      </c>
      <c r="T118" s="8">
        <v>5000</v>
      </c>
      <c r="U118" s="8">
        <v>5000</v>
      </c>
      <c r="V118" s="8">
        <v>5000</v>
      </c>
      <c r="W118" s="1" t="s">
        <v>181</v>
      </c>
      <c r="X118" s="1"/>
      <c r="Y118" s="1" t="s">
        <v>762</v>
      </c>
      <c r="Z118" s="1" t="s">
        <v>76</v>
      </c>
      <c r="AA118" s="1" t="s">
        <v>113</v>
      </c>
      <c r="AB118" s="10" t="s">
        <v>66</v>
      </c>
      <c r="AC118" s="10" t="s">
        <v>68</v>
      </c>
      <c r="AD118" s="10" t="str">
        <f>IFERROR(VLOOKUP(B118,'Regiões Administrativas'!$A$1:$B$646,2,0),"")</f>
        <v>São José do Rio Preto</v>
      </c>
      <c r="AE118" s="10">
        <f>IFERROR(VLOOKUP(Form_Responses[[#This Row],[Município]],'Regiões Administrativas'!$A$1:$I$646,3,0),"")</f>
        <v>16489</v>
      </c>
      <c r="AF118" s="10">
        <f>IFERROR(VLOOKUP(Form_Responses[[#This Row],[Município]],'Regiões Administrativas'!$A$1:$I$646,4,0),"")</f>
        <v>352965805000001</v>
      </c>
      <c r="AG118" s="10">
        <f>IFERROR(VLOOKUP(Form_Responses[[#This Row],[Município]],'Regiões Administrativas'!$A$1:$I$646,4,0),"")</f>
        <v>352965805000001</v>
      </c>
      <c r="AH118" s="10">
        <f>IFERROR(VLOOKUP(B118,'Regiões Administrativas'!$A$1:$I$646,5,0),"")</f>
        <v>3529658</v>
      </c>
      <c r="AI118" s="10">
        <f>IFERROR(VLOOKUP(B118,'Regiões Administrativas'!$A$1:$I$646,6,0),"")</f>
        <v>-50.6220803</v>
      </c>
      <c r="AJ118" s="10">
        <f>IFERROR(VLOOKUP(B118,'Regiões Administrativas'!$A$1:$I$646,8,0),"")</f>
        <v>408.60607299999998</v>
      </c>
      <c r="AK118" s="10" t="str">
        <f>IFERROR(VLOOKUP(Form_Responses[[#This Row],[Município]],'Regiões Administrativas'!$A$1:$I$646,9,0),"")</f>
        <v>1J6R@4z;?*Z&gt;</v>
      </c>
    </row>
    <row r="119" spans="1:37" ht="22.5" customHeight="1">
      <c r="A119" s="5">
        <v>46010.42005828704</v>
      </c>
      <c r="B119" s="1" t="s">
        <v>752</v>
      </c>
      <c r="C119" s="1" t="s">
        <v>753</v>
      </c>
      <c r="D119" s="1" t="s">
        <v>763</v>
      </c>
      <c r="E119" s="1" t="s">
        <v>764</v>
      </c>
      <c r="F119" s="1"/>
      <c r="G119" s="1" t="s">
        <v>765</v>
      </c>
      <c r="H119" s="1"/>
      <c r="I119" s="1" t="s">
        <v>109</v>
      </c>
      <c r="J119" s="7">
        <v>46141</v>
      </c>
      <c r="K119" s="7">
        <v>46117</v>
      </c>
      <c r="L119" s="11">
        <v>0.79166666666424135</v>
      </c>
      <c r="M119" s="11">
        <v>0.91666666666424135</v>
      </c>
      <c r="N119" s="1" t="s">
        <v>44</v>
      </c>
      <c r="O119" s="1" t="s">
        <v>221</v>
      </c>
      <c r="P119" s="1" t="s">
        <v>221</v>
      </c>
      <c r="Q119" s="1" t="s">
        <v>47</v>
      </c>
      <c r="R119" s="1" t="s">
        <v>74</v>
      </c>
      <c r="S119" s="8">
        <v>10000</v>
      </c>
      <c r="T119" s="8">
        <v>10000</v>
      </c>
      <c r="U119" s="8">
        <v>10000</v>
      </c>
      <c r="V119" s="8">
        <v>10000</v>
      </c>
      <c r="W119" s="1" t="s">
        <v>766</v>
      </c>
      <c r="X119" s="1"/>
      <c r="Y119" s="1" t="s">
        <v>767</v>
      </c>
      <c r="Z119" s="1" t="s">
        <v>66</v>
      </c>
      <c r="AA119" s="1" t="s">
        <v>225</v>
      </c>
      <c r="AB119" s="10" t="s">
        <v>66</v>
      </c>
      <c r="AC119" s="10" t="s">
        <v>68</v>
      </c>
      <c r="AD119" s="10" t="str">
        <f>IFERROR(VLOOKUP(B119,'Regiões Administrativas'!$A$1:$B$646,2,0),"")</f>
        <v>Campinas</v>
      </c>
      <c r="AE119" s="10">
        <f>IFERROR(VLOOKUP(Form_Responses[[#This Row],[Município]],'Regiões Administrativas'!$A$1:$I$646,3,0),"")</f>
        <v>17339</v>
      </c>
      <c r="AF119" s="10">
        <f>IFERROR(VLOOKUP(Form_Responses[[#This Row],[Município]],'Regiões Administrativas'!$A$1:$I$646,4,0),"")</f>
        <v>355330205000001</v>
      </c>
      <c r="AG119" s="10">
        <f>IFERROR(VLOOKUP(Form_Responses[[#This Row],[Município]],'Regiões Administrativas'!$A$1:$I$646,4,0),"")</f>
        <v>355330205000001</v>
      </c>
      <c r="AH119" s="10">
        <f>IFERROR(VLOOKUP(B119,'Regiões Administrativas'!$A$1:$I$646,5,0),"")</f>
        <v>3553302</v>
      </c>
      <c r="AI119" s="10">
        <f>IFERROR(VLOOKUP(B119,'Regiões Administrativas'!$A$1:$I$646,6,0),"")</f>
        <v>-47.271615500000003</v>
      </c>
      <c r="AJ119" s="10">
        <f>IFERROR(VLOOKUP(B119,'Regiões Administrativas'!$A$1:$I$646,8,0),"")</f>
        <v>693.87781199999995</v>
      </c>
      <c r="AK119" s="10" t="str">
        <f>IFERROR(VLOOKUP(Form_Responses[[#This Row],[Município]],'Regiões Administrativas'!$A$1:$I$646,9,0),"")</f>
        <v>1J6tG:woQRnp</v>
      </c>
    </row>
    <row r="120" spans="1:37" ht="22.5" customHeight="1">
      <c r="A120" s="13">
        <v>46010.423518668977</v>
      </c>
      <c r="B120" s="1" t="s">
        <v>367</v>
      </c>
      <c r="C120" s="1" t="s">
        <v>103</v>
      </c>
      <c r="D120" s="1" t="s">
        <v>768</v>
      </c>
      <c r="E120" s="1" t="s">
        <v>769</v>
      </c>
      <c r="F120" s="1"/>
      <c r="G120" s="1" t="s">
        <v>770</v>
      </c>
      <c r="H120" s="6" t="s">
        <v>771</v>
      </c>
      <c r="I120" s="1" t="s">
        <v>162</v>
      </c>
      <c r="J120" s="7">
        <v>45992</v>
      </c>
      <c r="K120" s="7">
        <v>46024</v>
      </c>
      <c r="L120" s="11">
        <v>0.83333333333575865</v>
      </c>
      <c r="M120" s="11">
        <v>0.16666666666424135</v>
      </c>
      <c r="N120" s="1" t="s">
        <v>44</v>
      </c>
      <c r="O120" s="1" t="s">
        <v>45</v>
      </c>
      <c r="P120" s="1" t="s">
        <v>251</v>
      </c>
      <c r="Q120" s="1" t="s">
        <v>47</v>
      </c>
      <c r="R120" s="1" t="s">
        <v>48</v>
      </c>
      <c r="S120" s="8">
        <v>6000</v>
      </c>
      <c r="T120" s="8">
        <v>5000</v>
      </c>
      <c r="U120" s="8"/>
      <c r="V120" s="8">
        <v>5000</v>
      </c>
      <c r="W120" s="1">
        <v>5000</v>
      </c>
      <c r="X120" s="1"/>
      <c r="Y120" s="1" t="s">
        <v>762</v>
      </c>
      <c r="Z120" s="1" t="s">
        <v>76</v>
      </c>
      <c r="AA120" s="1" t="s">
        <v>113</v>
      </c>
      <c r="AB120" s="10" t="s">
        <v>66</v>
      </c>
      <c r="AC120" s="10" t="s">
        <v>68</v>
      </c>
      <c r="AD120" s="1" t="str">
        <f>IFERROR(VLOOKUP(B120,'Regiões Administrativas'!$A$1:$B$646,2,0),"")</f>
        <v>São José do Rio Preto</v>
      </c>
      <c r="AE120" s="1">
        <f>IFERROR(VLOOKUP(Form_Responses[[#This Row],[Município]],'Regiões Administrativas'!$A$1:$I$646,3,0),"")</f>
        <v>16489</v>
      </c>
      <c r="AF120" s="1">
        <f>IFERROR(VLOOKUP(Form_Responses[[#This Row],[Município]],'Regiões Administrativas'!$A$1:$I$646,4,0),"")</f>
        <v>352965805000001</v>
      </c>
      <c r="AG120" s="1">
        <f>IFERROR(VLOOKUP(Form_Responses[[#This Row],[Município]],'Regiões Administrativas'!$A$1:$I$646,4,0),"")</f>
        <v>352965805000001</v>
      </c>
      <c r="AH120" s="1">
        <f>IFERROR(VLOOKUP(B120,'Regiões Administrativas'!$A$1:$I$646,5,0),"")</f>
        <v>3529658</v>
      </c>
      <c r="AI120" s="1">
        <f>IFERROR(VLOOKUP(B120,'Regiões Administrativas'!$A$1:$I$646,6,0),"")</f>
        <v>-50.6220803</v>
      </c>
      <c r="AJ120" s="1">
        <f>IFERROR(VLOOKUP(B120,'Regiões Administrativas'!$A$1:$I$646,8,0),"")</f>
        <v>408.60607299999998</v>
      </c>
      <c r="AK120" s="1" t="str">
        <f>IFERROR(VLOOKUP(Form_Responses[[#This Row],[Município]],'Regiões Administrativas'!$A$1:$I$646,9,0),"")</f>
        <v>1J6R@4z;?*Z&gt;</v>
      </c>
    </row>
    <row r="121" spans="1:37" ht="22.5" customHeight="1">
      <c r="A121" s="13">
        <v>46010.43054976852</v>
      </c>
      <c r="B121" s="1" t="s">
        <v>752</v>
      </c>
      <c r="C121" s="1" t="s">
        <v>753</v>
      </c>
      <c r="D121" s="1" t="s">
        <v>772</v>
      </c>
      <c r="E121" s="1" t="s">
        <v>773</v>
      </c>
      <c r="F121" s="1"/>
      <c r="G121" s="1" t="s">
        <v>765</v>
      </c>
      <c r="H121" s="1"/>
      <c r="I121" s="1" t="s">
        <v>60</v>
      </c>
      <c r="J121" s="7">
        <v>46180</v>
      </c>
      <c r="K121" s="7">
        <v>46180</v>
      </c>
      <c r="L121" s="11">
        <v>0.25</v>
      </c>
      <c r="M121" s="11">
        <v>0.70833333333575865</v>
      </c>
      <c r="N121" s="1" t="s">
        <v>73</v>
      </c>
      <c r="O121" s="1" t="s">
        <v>45</v>
      </c>
      <c r="P121" s="1" t="s">
        <v>221</v>
      </c>
      <c r="Q121" s="1" t="s">
        <v>47</v>
      </c>
      <c r="R121" s="1" t="s">
        <v>74</v>
      </c>
      <c r="S121" s="8">
        <v>5000</v>
      </c>
      <c r="T121" s="8">
        <v>5000</v>
      </c>
      <c r="U121" s="8">
        <v>5000</v>
      </c>
      <c r="V121" s="8">
        <v>5000</v>
      </c>
      <c r="W121" s="1" t="s">
        <v>756</v>
      </c>
      <c r="X121" s="1"/>
      <c r="Y121" s="1" t="s">
        <v>757</v>
      </c>
      <c r="Z121" s="1" t="s">
        <v>66</v>
      </c>
      <c r="AA121" s="1" t="s">
        <v>66</v>
      </c>
      <c r="AB121" s="10" t="s">
        <v>66</v>
      </c>
      <c r="AC121" s="10" t="s">
        <v>68</v>
      </c>
      <c r="AD121" s="1" t="str">
        <f>IFERROR(VLOOKUP(B121,'Regiões Administrativas'!$A$1:$B$646,2,0),"")</f>
        <v>Campinas</v>
      </c>
      <c r="AE121" s="1">
        <f>IFERROR(VLOOKUP(Form_Responses[[#This Row],[Município]],'Regiões Administrativas'!$A$1:$I$646,3,0),"")</f>
        <v>17339</v>
      </c>
      <c r="AF121" s="1">
        <f>IFERROR(VLOOKUP(Form_Responses[[#This Row],[Município]],'Regiões Administrativas'!$A$1:$I$646,4,0),"")</f>
        <v>355330205000001</v>
      </c>
      <c r="AG121" s="1">
        <f>IFERROR(VLOOKUP(Form_Responses[[#This Row],[Município]],'Regiões Administrativas'!$A$1:$I$646,4,0),"")</f>
        <v>355330205000001</v>
      </c>
      <c r="AH121" s="1">
        <f>IFERROR(VLOOKUP(B121,'Regiões Administrativas'!$A$1:$I$646,5,0),"")</f>
        <v>3553302</v>
      </c>
      <c r="AI121" s="1">
        <f>IFERROR(VLOOKUP(B121,'Regiões Administrativas'!$A$1:$I$646,6,0),"")</f>
        <v>-47.271615500000003</v>
      </c>
      <c r="AJ121" s="1">
        <f>IFERROR(VLOOKUP(B121,'Regiões Administrativas'!$A$1:$I$646,8,0),"")</f>
        <v>693.87781199999995</v>
      </c>
      <c r="AK121" s="1" t="str">
        <f>IFERROR(VLOOKUP(Form_Responses[[#This Row],[Município]],'Regiões Administrativas'!$A$1:$I$646,9,0),"")</f>
        <v>1J6tG:woQRnp</v>
      </c>
    </row>
    <row r="122" spans="1:37" ht="22.5" customHeight="1">
      <c r="A122" s="13">
        <v>46010.432905520836</v>
      </c>
      <c r="B122" s="1" t="s">
        <v>752</v>
      </c>
      <c r="C122" s="1" t="s">
        <v>753</v>
      </c>
      <c r="D122" s="1" t="s">
        <v>774</v>
      </c>
      <c r="E122" s="1" t="s">
        <v>775</v>
      </c>
      <c r="F122" s="1"/>
      <c r="G122" s="1" t="s">
        <v>776</v>
      </c>
      <c r="H122" s="1"/>
      <c r="I122" s="1" t="s">
        <v>60</v>
      </c>
      <c r="J122" s="7">
        <v>46194</v>
      </c>
      <c r="K122" s="7">
        <v>46194</v>
      </c>
      <c r="L122" s="11">
        <v>0.20833333333575865</v>
      </c>
      <c r="M122" s="11">
        <v>0.54166666666424135</v>
      </c>
      <c r="N122" s="1" t="s">
        <v>44</v>
      </c>
      <c r="O122" s="1" t="s">
        <v>221</v>
      </c>
      <c r="P122" s="1" t="s">
        <v>221</v>
      </c>
      <c r="Q122" s="1" t="s">
        <v>47</v>
      </c>
      <c r="R122" s="1" t="s">
        <v>48</v>
      </c>
      <c r="S122" s="8">
        <v>20000</v>
      </c>
      <c r="T122" s="8">
        <v>20000</v>
      </c>
      <c r="U122" s="8">
        <v>20000</v>
      </c>
      <c r="V122" s="8">
        <v>20000</v>
      </c>
      <c r="W122" s="1" t="s">
        <v>756</v>
      </c>
      <c r="X122" s="1"/>
      <c r="Y122" s="1" t="s">
        <v>777</v>
      </c>
      <c r="Z122" s="1" t="s">
        <v>76</v>
      </c>
      <c r="AA122" s="1" t="s">
        <v>343</v>
      </c>
      <c r="AB122" s="10" t="s">
        <v>66</v>
      </c>
      <c r="AC122" s="10" t="s">
        <v>68</v>
      </c>
      <c r="AD122" s="1" t="str">
        <f>IFERROR(VLOOKUP(B122,'Regiões Administrativas'!$A$1:$B$646,2,0),"")</f>
        <v>Campinas</v>
      </c>
      <c r="AE122" s="1">
        <f>IFERROR(VLOOKUP(Form_Responses[[#This Row],[Município]],'Regiões Administrativas'!$A$1:$I$646,3,0),"")</f>
        <v>17339</v>
      </c>
      <c r="AF122" s="1">
        <f>IFERROR(VLOOKUP(Form_Responses[[#This Row],[Município]],'Regiões Administrativas'!$A$1:$I$646,4,0),"")</f>
        <v>355330205000001</v>
      </c>
      <c r="AG122" s="1">
        <f>IFERROR(VLOOKUP(Form_Responses[[#This Row],[Município]],'Regiões Administrativas'!$A$1:$I$646,4,0),"")</f>
        <v>355330205000001</v>
      </c>
      <c r="AH122" s="1">
        <f>IFERROR(VLOOKUP(B122,'Regiões Administrativas'!$A$1:$I$646,5,0),"")</f>
        <v>3553302</v>
      </c>
      <c r="AI122" s="1">
        <f>IFERROR(VLOOKUP(B122,'Regiões Administrativas'!$A$1:$I$646,6,0),"")</f>
        <v>-47.271615500000003</v>
      </c>
      <c r="AJ122" s="1">
        <f>IFERROR(VLOOKUP(B122,'Regiões Administrativas'!$A$1:$I$646,8,0),"")</f>
        <v>693.87781199999995</v>
      </c>
      <c r="AK122" s="1" t="str">
        <f>IFERROR(VLOOKUP(Form_Responses[[#This Row],[Município]],'Regiões Administrativas'!$A$1:$I$646,9,0),"")</f>
        <v>1J6tG:woQRnp</v>
      </c>
    </row>
    <row r="123" spans="1:37" ht="22.5" customHeight="1">
      <c r="A123" s="13">
        <v>46010.435536458332</v>
      </c>
      <c r="B123" s="1" t="s">
        <v>752</v>
      </c>
      <c r="C123" s="1" t="s">
        <v>753</v>
      </c>
      <c r="D123" s="1" t="s">
        <v>778</v>
      </c>
      <c r="E123" s="1" t="s">
        <v>779</v>
      </c>
      <c r="F123" s="1"/>
      <c r="G123" s="1" t="s">
        <v>780</v>
      </c>
      <c r="H123" s="1"/>
      <c r="I123" s="1" t="s">
        <v>43</v>
      </c>
      <c r="J123" s="7">
        <v>46253</v>
      </c>
      <c r="K123" s="7">
        <v>46255</v>
      </c>
      <c r="L123" s="11">
        <v>0.83333333333575865</v>
      </c>
      <c r="M123" s="11">
        <v>0.125</v>
      </c>
      <c r="N123" s="1" t="s">
        <v>110</v>
      </c>
      <c r="O123" s="1" t="s">
        <v>99</v>
      </c>
      <c r="P123" s="1" t="s">
        <v>99</v>
      </c>
      <c r="Q123" s="1" t="s">
        <v>47</v>
      </c>
      <c r="R123" s="1" t="s">
        <v>74</v>
      </c>
      <c r="S123" s="8">
        <v>30000</v>
      </c>
      <c r="T123" s="8">
        <v>30000</v>
      </c>
      <c r="U123" s="8">
        <v>30000</v>
      </c>
      <c r="V123" s="8">
        <v>30000</v>
      </c>
      <c r="W123" s="1" t="s">
        <v>756</v>
      </c>
      <c r="X123" s="1"/>
      <c r="Y123" s="1" t="s">
        <v>757</v>
      </c>
      <c r="Z123" s="1" t="s">
        <v>76</v>
      </c>
      <c r="AA123" s="1" t="s">
        <v>113</v>
      </c>
      <c r="AB123" s="10" t="s">
        <v>66</v>
      </c>
      <c r="AC123" s="10" t="s">
        <v>94</v>
      </c>
      <c r="AD123" s="1" t="str">
        <f>IFERROR(VLOOKUP(B123,'Regiões Administrativas'!$A$1:$B$646,2,0),"")</f>
        <v>Campinas</v>
      </c>
      <c r="AE123" s="1">
        <f>IFERROR(VLOOKUP(Form_Responses[[#This Row],[Município]],'Regiões Administrativas'!$A$1:$I$646,3,0),"")</f>
        <v>17339</v>
      </c>
      <c r="AF123" s="1">
        <f>IFERROR(VLOOKUP(Form_Responses[[#This Row],[Município]],'Regiões Administrativas'!$A$1:$I$646,4,0),"")</f>
        <v>355330205000001</v>
      </c>
      <c r="AG123" s="1">
        <f>IFERROR(VLOOKUP(Form_Responses[[#This Row],[Município]],'Regiões Administrativas'!$A$1:$I$646,4,0),"")</f>
        <v>355330205000001</v>
      </c>
      <c r="AH123" s="1">
        <f>IFERROR(VLOOKUP(B123,'Regiões Administrativas'!$A$1:$I$646,5,0),"")</f>
        <v>3553302</v>
      </c>
      <c r="AI123" s="1">
        <f>IFERROR(VLOOKUP(B123,'Regiões Administrativas'!$A$1:$I$646,6,0),"")</f>
        <v>-47.271615500000003</v>
      </c>
      <c r="AJ123" s="1">
        <f>IFERROR(VLOOKUP(B123,'Regiões Administrativas'!$A$1:$I$646,8,0),"")</f>
        <v>693.87781199999995</v>
      </c>
      <c r="AK123" s="1" t="str">
        <f>IFERROR(VLOOKUP(Form_Responses[[#This Row],[Município]],'Regiões Administrativas'!$A$1:$I$646,9,0),"")</f>
        <v>1J6tG:woQRnp</v>
      </c>
    </row>
    <row r="124" spans="1:37" ht="22.5" customHeight="1">
      <c r="A124" s="13">
        <v>46010.440321898146</v>
      </c>
      <c r="B124" s="1" t="s">
        <v>781</v>
      </c>
      <c r="C124" s="1" t="s">
        <v>38</v>
      </c>
      <c r="D124" s="1" t="s">
        <v>782</v>
      </c>
      <c r="E124" s="1" t="s">
        <v>783</v>
      </c>
      <c r="F124" s="1"/>
      <c r="G124" s="1" t="s">
        <v>784</v>
      </c>
      <c r="H124" s="1"/>
      <c r="I124" s="1" t="s">
        <v>162</v>
      </c>
      <c r="J124" s="7">
        <v>46374</v>
      </c>
      <c r="K124" s="7">
        <v>46376</v>
      </c>
      <c r="L124" s="1"/>
      <c r="M124" s="1"/>
      <c r="N124" s="1" t="s">
        <v>44</v>
      </c>
      <c r="O124" s="1" t="s">
        <v>45</v>
      </c>
      <c r="P124" s="1" t="s">
        <v>251</v>
      </c>
      <c r="Q124" s="1" t="s">
        <v>47</v>
      </c>
      <c r="R124" s="1" t="s">
        <v>74</v>
      </c>
      <c r="S124" s="8">
        <v>15000</v>
      </c>
      <c r="T124" s="8">
        <v>15000</v>
      </c>
      <c r="U124" s="8">
        <v>15000</v>
      </c>
      <c r="V124" s="8"/>
      <c r="W124" s="1" t="s">
        <v>785</v>
      </c>
      <c r="X124" s="1"/>
      <c r="Y124" s="1" t="s">
        <v>786</v>
      </c>
      <c r="Z124" s="1" t="s">
        <v>76</v>
      </c>
      <c r="AA124" s="1" t="s">
        <v>113</v>
      </c>
      <c r="AB124" s="10" t="s">
        <v>66</v>
      </c>
      <c r="AC124" s="10" t="s">
        <v>68</v>
      </c>
      <c r="AD124" s="1" t="str">
        <f>IFERROR(VLOOKUP(B124,'Regiões Administrativas'!$A$1:$B$646,2,0),"")</f>
        <v>Barretos</v>
      </c>
      <c r="AE124" s="1">
        <f>IFERROR(VLOOKUP(Form_Responses[[#This Row],[Município]],'Regiões Administrativas'!$A$1:$I$646,3,0),"")</f>
        <v>15945</v>
      </c>
      <c r="AF124" s="1">
        <f>IFERROR(VLOOKUP(Form_Responses[[#This Row],[Município]],'Regiões Administrativas'!$A$1:$I$646,4,0),"")</f>
        <v>351740605000001</v>
      </c>
      <c r="AG124" s="1">
        <f>IFERROR(VLOOKUP(Form_Responses[[#This Row],[Município]],'Regiões Administrativas'!$A$1:$I$646,4,0),"")</f>
        <v>351740605000001</v>
      </c>
      <c r="AH124" s="1">
        <f>IFERROR(VLOOKUP(B124,'Regiões Administrativas'!$A$1:$I$646,5,0),"")</f>
        <v>3517406</v>
      </c>
      <c r="AI124" s="1">
        <f>IFERROR(VLOOKUP(B124,'Regiões Administrativas'!$A$1:$I$646,6,0),"")</f>
        <v>-48.314470499999999</v>
      </c>
      <c r="AJ124" s="1">
        <f>IFERROR(VLOOKUP(B124,'Regiões Administrativas'!$A$1:$I$646,8,0),"")</f>
        <v>517.52504299999998</v>
      </c>
      <c r="AK124" s="1" t="str">
        <f>IFERROR(VLOOKUP(Form_Responses[[#This Row],[Município]],'Regiões Administrativas'!$A$1:$I$646,9,0),"")</f>
        <v>1J6R9vRh6ePf</v>
      </c>
    </row>
    <row r="125" spans="1:37" ht="22.5" customHeight="1">
      <c r="A125" s="5">
        <v>46010.48305174768</v>
      </c>
      <c r="B125" s="1" t="s">
        <v>198</v>
      </c>
      <c r="C125" s="1" t="s">
        <v>38</v>
      </c>
      <c r="D125" s="1" t="s">
        <v>787</v>
      </c>
      <c r="E125" s="1" t="s">
        <v>788</v>
      </c>
      <c r="F125" s="1"/>
      <c r="G125" s="1" t="s">
        <v>789</v>
      </c>
      <c r="H125" s="6" t="s">
        <v>261</v>
      </c>
      <c r="I125" s="1" t="s">
        <v>220</v>
      </c>
      <c r="J125" s="7">
        <v>46143</v>
      </c>
      <c r="K125" s="7">
        <v>46143</v>
      </c>
      <c r="L125" s="11">
        <v>0.33333333333575865</v>
      </c>
      <c r="M125" s="11">
        <v>0.54166666666424135</v>
      </c>
      <c r="N125" s="1" t="s">
        <v>61</v>
      </c>
      <c r="O125" s="1" t="s">
        <v>62</v>
      </c>
      <c r="P125" s="1" t="s">
        <v>99</v>
      </c>
      <c r="Q125" s="1" t="s">
        <v>47</v>
      </c>
      <c r="R125" s="1" t="s">
        <v>74</v>
      </c>
      <c r="S125" s="8">
        <v>1000</v>
      </c>
      <c r="T125" s="8">
        <v>750</v>
      </c>
      <c r="U125" s="8">
        <v>1000</v>
      </c>
      <c r="V125" s="8">
        <v>800</v>
      </c>
      <c r="W125" s="1" t="s">
        <v>262</v>
      </c>
      <c r="X125" s="1"/>
      <c r="Y125" s="1" t="s">
        <v>205</v>
      </c>
      <c r="Z125" s="1" t="s">
        <v>76</v>
      </c>
      <c r="AA125" s="1" t="s">
        <v>244</v>
      </c>
      <c r="AB125" s="10" t="s">
        <v>207</v>
      </c>
      <c r="AC125" s="10" t="s">
        <v>68</v>
      </c>
      <c r="AD125" s="1" t="str">
        <f>IFERROR(VLOOKUP(B125,'Regiões Administrativas'!$A$1:$B$646,2,0),"")</f>
        <v>Barretos</v>
      </c>
      <c r="AE125" s="1">
        <f>IFERROR(VLOOKUP(Form_Responses[[#This Row],[Município]],'Regiões Administrativas'!$A$1:$I$646,3,0),"")</f>
        <v>16671</v>
      </c>
      <c r="AF125" s="1">
        <f>IFERROR(VLOOKUP(Form_Responses[[#This Row],[Município]],'Regiões Administrativas'!$A$1:$I$646,4,0),"")</f>
        <v>353390805000001</v>
      </c>
      <c r="AG125" s="1">
        <f>IFERROR(VLOOKUP(Form_Responses[[#This Row],[Município]],'Regiões Administrativas'!$A$1:$I$646,4,0),"")</f>
        <v>353390805000001</v>
      </c>
      <c r="AH125" s="1">
        <f>IFERROR(VLOOKUP(B125,'Regiões Administrativas'!$A$1:$I$646,5,0),"")</f>
        <v>3533908</v>
      </c>
      <c r="AI125" s="1">
        <f>IFERROR(VLOOKUP(B125,'Regiões Administrativas'!$A$1:$I$646,6,0),"")</f>
        <v>-48.913491700000002</v>
      </c>
      <c r="AJ125" s="1">
        <f>IFERROR(VLOOKUP(B125,'Regiões Administrativas'!$A$1:$I$646,8,0),"")</f>
        <v>500.315541</v>
      </c>
      <c r="AK125" s="1" t="str">
        <f>IFERROR(VLOOKUP(Form_Responses[[#This Row],[Município]],'Regiões Administrativas'!$A$1:$I$646,9,0),"")</f>
        <v>1J6RdQ4;ieE-</v>
      </c>
    </row>
    <row r="126" spans="1:37" ht="22.5" customHeight="1">
      <c r="A126" s="5">
        <v>46010.485356342593</v>
      </c>
      <c r="B126" s="1" t="s">
        <v>790</v>
      </c>
      <c r="C126" s="1" t="s">
        <v>791</v>
      </c>
      <c r="D126" s="1" t="s">
        <v>792</v>
      </c>
      <c r="E126" s="1" t="s">
        <v>793</v>
      </c>
      <c r="F126" s="1"/>
      <c r="G126" s="1" t="s">
        <v>794</v>
      </c>
      <c r="H126" s="1"/>
      <c r="I126" s="1" t="s">
        <v>89</v>
      </c>
      <c r="J126" s="7">
        <v>46053</v>
      </c>
      <c r="K126" s="7">
        <v>46069</v>
      </c>
      <c r="L126" s="1"/>
      <c r="M126" s="1"/>
      <c r="N126" s="1" t="s">
        <v>44</v>
      </c>
      <c r="O126" s="1" t="s">
        <v>45</v>
      </c>
      <c r="P126" s="1" t="s">
        <v>90</v>
      </c>
      <c r="Q126" s="1" t="s">
        <v>47</v>
      </c>
      <c r="R126" s="1" t="s">
        <v>74</v>
      </c>
      <c r="S126" s="8">
        <v>280000</v>
      </c>
      <c r="T126" s="8">
        <v>250000</v>
      </c>
      <c r="U126" s="8"/>
      <c r="V126" s="8"/>
      <c r="W126" s="1" t="s">
        <v>756</v>
      </c>
      <c r="X126" s="1"/>
      <c r="Y126" s="1" t="s">
        <v>795</v>
      </c>
      <c r="Z126" s="1" t="s">
        <v>66</v>
      </c>
      <c r="AA126" s="1" t="s">
        <v>67</v>
      </c>
      <c r="AB126" s="10" t="s">
        <v>66</v>
      </c>
      <c r="AC126" s="10" t="s">
        <v>68</v>
      </c>
      <c r="AD126" s="1" t="str">
        <f>IFERROR(VLOOKUP(B126,'Regiões Administrativas'!$A$1:$B$646,2,0),"")</f>
        <v>Campinas</v>
      </c>
      <c r="AE126" s="1">
        <f>IFERROR(VLOOKUP(Form_Responses[[#This Row],[Município]],'Regiões Administrativas'!$A$1:$I$646,3,0),"")</f>
        <v>15710</v>
      </c>
      <c r="AF126" s="1">
        <f>IFERROR(VLOOKUP(Form_Responses[[#This Row],[Município]],'Regiões Administrativas'!$A$1:$I$646,4,0),"")</f>
        <v>350950205000001</v>
      </c>
      <c r="AG126" s="1">
        <f>IFERROR(VLOOKUP(Form_Responses[[#This Row],[Município]],'Regiões Administrativas'!$A$1:$I$646,4,0),"")</f>
        <v>350950205000001</v>
      </c>
      <c r="AH126" s="1">
        <f>IFERROR(VLOOKUP(B126,'Regiões Administrativas'!$A$1:$I$646,5,0),"")</f>
        <v>3509502</v>
      </c>
      <c r="AI126" s="1">
        <f>IFERROR(VLOOKUP(B126,'Regiões Administrativas'!$A$1:$I$646,6,0),"")</f>
        <v>-47.060156300000003</v>
      </c>
      <c r="AJ126" s="1">
        <f>IFERROR(VLOOKUP(B126,'Regiões Administrativas'!$A$1:$I$646,8,0),"")</f>
        <v>688.98713699999996</v>
      </c>
      <c r="AK126" s="1" t="str">
        <f>IFERROR(VLOOKUP(Form_Responses[[#This Row],[Município]],'Regiões Administrativas'!$A$1:$I$646,9,0),"")</f>
        <v>1J6tL4:8Z?Sf</v>
      </c>
    </row>
    <row r="127" spans="1:37" ht="22.5" customHeight="1">
      <c r="A127" s="13">
        <v>46010.492757175925</v>
      </c>
      <c r="B127" s="1" t="s">
        <v>198</v>
      </c>
      <c r="C127" s="1" t="s">
        <v>38</v>
      </c>
      <c r="D127" s="1" t="s">
        <v>796</v>
      </c>
      <c r="E127" s="1" t="s">
        <v>797</v>
      </c>
      <c r="F127" s="1"/>
      <c r="G127" s="1" t="s">
        <v>798</v>
      </c>
      <c r="H127" s="6" t="s">
        <v>261</v>
      </c>
      <c r="I127" s="1" t="s">
        <v>72</v>
      </c>
      <c r="J127" s="7">
        <v>46209</v>
      </c>
      <c r="K127" s="7">
        <v>46220</v>
      </c>
      <c r="L127" s="11">
        <v>0.33333333333575865</v>
      </c>
      <c r="M127" s="11">
        <v>0.83333333333575865</v>
      </c>
      <c r="N127" s="1" t="s">
        <v>61</v>
      </c>
      <c r="O127" s="1" t="s">
        <v>62</v>
      </c>
      <c r="P127" s="1" t="s">
        <v>63</v>
      </c>
      <c r="Q127" s="1" t="s">
        <v>47</v>
      </c>
      <c r="R127" s="1" t="s">
        <v>74</v>
      </c>
      <c r="S127" s="8">
        <v>1500</v>
      </c>
      <c r="T127" s="8">
        <v>1500</v>
      </c>
      <c r="U127" s="8">
        <v>1500</v>
      </c>
      <c r="V127" s="8">
        <v>1500</v>
      </c>
      <c r="W127" s="1" t="s">
        <v>262</v>
      </c>
      <c r="X127" s="1"/>
      <c r="Y127" s="1" t="s">
        <v>205</v>
      </c>
      <c r="Z127" s="1" t="s">
        <v>76</v>
      </c>
      <c r="AA127" s="1" t="s">
        <v>206</v>
      </c>
      <c r="AB127" s="10" t="s">
        <v>344</v>
      </c>
      <c r="AC127" s="10" t="s">
        <v>68</v>
      </c>
      <c r="AD127" s="1" t="str">
        <f>IFERROR(VLOOKUP(B127,'Regiões Administrativas'!$A$1:$B$646,2,0),"")</f>
        <v>Barretos</v>
      </c>
      <c r="AE127" s="1">
        <f>IFERROR(VLOOKUP(Form_Responses[[#This Row],[Município]],'Regiões Administrativas'!$A$1:$I$646,3,0),"")</f>
        <v>16671</v>
      </c>
      <c r="AF127" s="1">
        <f>IFERROR(VLOOKUP(Form_Responses[[#This Row],[Município]],'Regiões Administrativas'!$A$1:$I$646,4,0),"")</f>
        <v>353390805000001</v>
      </c>
      <c r="AG127" s="1">
        <f>IFERROR(VLOOKUP(Form_Responses[[#This Row],[Município]],'Regiões Administrativas'!$A$1:$I$646,4,0),"")</f>
        <v>353390805000001</v>
      </c>
      <c r="AH127" s="1">
        <f>IFERROR(VLOOKUP(B127,'Regiões Administrativas'!$A$1:$I$646,5,0),"")</f>
        <v>3533908</v>
      </c>
      <c r="AI127" s="1">
        <f>IFERROR(VLOOKUP(B127,'Regiões Administrativas'!$A$1:$I$646,6,0),"")</f>
        <v>-48.913491700000002</v>
      </c>
      <c r="AJ127" s="1">
        <f>IFERROR(VLOOKUP(B127,'Regiões Administrativas'!$A$1:$I$646,8,0),"")</f>
        <v>500.315541</v>
      </c>
      <c r="AK127" s="1" t="str">
        <f>IFERROR(VLOOKUP(Form_Responses[[#This Row],[Município]],'Regiões Administrativas'!$A$1:$I$646,9,0),"")</f>
        <v>1J6RdQ4;ieE-</v>
      </c>
    </row>
    <row r="128" spans="1:37" ht="22.5" customHeight="1">
      <c r="A128" s="13">
        <v>46010.493346863426</v>
      </c>
      <c r="B128" s="1" t="s">
        <v>799</v>
      </c>
      <c r="C128" s="1" t="s">
        <v>85</v>
      </c>
      <c r="D128" s="1" t="s">
        <v>800</v>
      </c>
      <c r="E128" s="1" t="s">
        <v>801</v>
      </c>
      <c r="F128" s="1"/>
      <c r="G128" s="1" t="s">
        <v>802</v>
      </c>
      <c r="H128" s="1"/>
      <c r="I128" s="1" t="s">
        <v>60</v>
      </c>
      <c r="J128" s="7">
        <v>46192</v>
      </c>
      <c r="K128" s="7">
        <v>46194</v>
      </c>
      <c r="L128" s="1"/>
      <c r="M128" s="1"/>
      <c r="N128" s="1" t="s">
        <v>110</v>
      </c>
      <c r="O128" s="1" t="s">
        <v>45</v>
      </c>
      <c r="P128" s="1" t="s">
        <v>135</v>
      </c>
      <c r="Q128" s="1" t="s">
        <v>47</v>
      </c>
      <c r="R128" s="1" t="s">
        <v>74</v>
      </c>
      <c r="S128" s="8">
        <v>42000</v>
      </c>
      <c r="T128" s="8">
        <v>37000</v>
      </c>
      <c r="U128" s="8">
        <v>40000</v>
      </c>
      <c r="V128" s="8">
        <v>36000</v>
      </c>
      <c r="W128" s="1" t="s">
        <v>803</v>
      </c>
      <c r="X128" s="1"/>
      <c r="Y128" s="1" t="s">
        <v>804</v>
      </c>
      <c r="Z128" s="1" t="s">
        <v>76</v>
      </c>
      <c r="AA128" s="1" t="s">
        <v>93</v>
      </c>
      <c r="AB128" s="10" t="s">
        <v>54</v>
      </c>
      <c r="AC128" s="10" t="s">
        <v>68</v>
      </c>
      <c r="AD128" s="1" t="str">
        <f>IFERROR(VLOOKUP(B128,'Regiões Administrativas'!$A$1:$B$646,2,0),"")</f>
        <v>Campinas</v>
      </c>
      <c r="AE128" s="1">
        <f>IFERROR(VLOOKUP(Form_Responses[[#This Row],[Município]],'Regiões Administrativas'!$A$1:$I$646,3,0),"")</f>
        <v>17161</v>
      </c>
      <c r="AF128" s="1">
        <f>IFERROR(VLOOKUP(Form_Responses[[#This Row],[Município]],'Regiões Administrativas'!$A$1:$I$646,4,0),"")</f>
        <v>354910205000001</v>
      </c>
      <c r="AG128" s="1">
        <f>IFERROR(VLOOKUP(Form_Responses[[#This Row],[Município]],'Regiões Administrativas'!$A$1:$I$646,4,0),"")</f>
        <v>354910205000001</v>
      </c>
      <c r="AH128" s="1">
        <f>IFERROR(VLOOKUP(B128,'Regiões Administrativas'!$A$1:$I$646,5,0),"")</f>
        <v>3549102</v>
      </c>
      <c r="AI128" s="1">
        <f>IFERROR(VLOOKUP(B128,'Regiões Administrativas'!$A$1:$I$646,6,0),"")</f>
        <v>-46.796350799999999</v>
      </c>
      <c r="AJ128" s="1">
        <f>IFERROR(VLOOKUP(B128,'Regiões Administrativas'!$A$1:$I$646,8,0),"")</f>
        <v>766.78897300000006</v>
      </c>
      <c r="AK128" s="1" t="str">
        <f>IFERROR(VLOOKUP(Form_Responses[[#This Row],[Município]],'Regiões Administrativas'!$A$1:$I$646,9,0),"")</f>
        <v>1J6tigtTvE\-</v>
      </c>
    </row>
    <row r="129" spans="1:37" ht="22.5" customHeight="1">
      <c r="A129" s="13">
        <v>46010.494480717593</v>
      </c>
      <c r="B129" s="1" t="s">
        <v>781</v>
      </c>
      <c r="C129" s="1" t="s">
        <v>38</v>
      </c>
      <c r="D129" s="1" t="s">
        <v>805</v>
      </c>
      <c r="E129" s="1" t="s">
        <v>806</v>
      </c>
      <c r="F129" s="1"/>
      <c r="G129" s="1" t="s">
        <v>807</v>
      </c>
      <c r="H129" s="1"/>
      <c r="I129" s="1" t="s">
        <v>197</v>
      </c>
      <c r="J129" s="1"/>
      <c r="K129" s="1"/>
      <c r="L129" s="1"/>
      <c r="M129" s="1"/>
      <c r="N129" s="1" t="s">
        <v>268</v>
      </c>
      <c r="O129" s="1" t="s">
        <v>142</v>
      </c>
      <c r="P129" s="1" t="s">
        <v>63</v>
      </c>
      <c r="Q129" s="1" t="s">
        <v>47</v>
      </c>
      <c r="R129" s="1" t="s">
        <v>74</v>
      </c>
      <c r="S129" s="8">
        <v>5000</v>
      </c>
      <c r="T129" s="8">
        <v>5000</v>
      </c>
      <c r="U129" s="8"/>
      <c r="V129" s="8"/>
      <c r="W129" s="1" t="s">
        <v>808</v>
      </c>
      <c r="X129" s="1"/>
      <c r="Y129" s="1" t="s">
        <v>809</v>
      </c>
      <c r="Z129" s="1" t="s">
        <v>76</v>
      </c>
      <c r="AA129" s="1" t="s">
        <v>113</v>
      </c>
      <c r="AB129" s="10" t="s">
        <v>66</v>
      </c>
      <c r="AC129" s="10" t="s">
        <v>68</v>
      </c>
      <c r="AD129" s="1" t="str">
        <f>IFERROR(VLOOKUP(B129,'Regiões Administrativas'!$A$1:$B$646,2,0),"")</f>
        <v>Barretos</v>
      </c>
      <c r="AE129" s="1">
        <f>IFERROR(VLOOKUP(Form_Responses[[#This Row],[Município]],'Regiões Administrativas'!$A$1:$I$646,3,0),"")</f>
        <v>15945</v>
      </c>
      <c r="AF129" s="1">
        <f>IFERROR(VLOOKUP(Form_Responses[[#This Row],[Município]],'Regiões Administrativas'!$A$1:$I$646,4,0),"")</f>
        <v>351740605000001</v>
      </c>
      <c r="AG129" s="1">
        <f>IFERROR(VLOOKUP(Form_Responses[[#This Row],[Município]],'Regiões Administrativas'!$A$1:$I$646,4,0),"")</f>
        <v>351740605000001</v>
      </c>
      <c r="AH129" s="1">
        <f>IFERROR(VLOOKUP(B129,'Regiões Administrativas'!$A$1:$I$646,5,0),"")</f>
        <v>3517406</v>
      </c>
      <c r="AI129" s="1">
        <f>IFERROR(VLOOKUP(B129,'Regiões Administrativas'!$A$1:$I$646,6,0),"")</f>
        <v>-48.314470499999999</v>
      </c>
      <c r="AJ129" s="1">
        <f>IFERROR(VLOOKUP(B129,'Regiões Administrativas'!$A$1:$I$646,8,0),"")</f>
        <v>517.52504299999998</v>
      </c>
      <c r="AK129" s="1" t="str">
        <f>IFERROR(VLOOKUP(Form_Responses[[#This Row],[Município]],'Regiões Administrativas'!$A$1:$I$646,9,0),"")</f>
        <v>1J6R9vRh6ePf</v>
      </c>
    </row>
    <row r="130" spans="1:37" ht="22.5" customHeight="1">
      <c r="A130" s="5">
        <v>46010.49802540509</v>
      </c>
      <c r="B130" s="1" t="s">
        <v>810</v>
      </c>
      <c r="C130" s="1" t="s">
        <v>811</v>
      </c>
      <c r="D130" s="1" t="s">
        <v>812</v>
      </c>
      <c r="E130" s="1" t="s">
        <v>813</v>
      </c>
      <c r="F130" s="1"/>
      <c r="G130" s="1" t="s">
        <v>814</v>
      </c>
      <c r="H130" s="1"/>
      <c r="I130" s="1" t="s">
        <v>89</v>
      </c>
      <c r="J130" s="7">
        <v>46067</v>
      </c>
      <c r="K130" s="7">
        <v>46070</v>
      </c>
      <c r="L130" s="11">
        <v>0.75</v>
      </c>
      <c r="M130" s="11">
        <v>0.91666666666424135</v>
      </c>
      <c r="N130" s="1" t="s">
        <v>44</v>
      </c>
      <c r="O130" s="1" t="s">
        <v>45</v>
      </c>
      <c r="P130" s="1" t="s">
        <v>90</v>
      </c>
      <c r="Q130" s="1" t="s">
        <v>47</v>
      </c>
      <c r="R130" s="1" t="s">
        <v>74</v>
      </c>
      <c r="S130" s="8">
        <v>10000</v>
      </c>
      <c r="T130" s="8">
        <v>5000</v>
      </c>
      <c r="U130" s="8">
        <v>12000</v>
      </c>
      <c r="V130" s="8">
        <v>20000</v>
      </c>
      <c r="W130" s="1" t="s">
        <v>815</v>
      </c>
      <c r="X130" s="1" t="s">
        <v>683</v>
      </c>
      <c r="Y130" s="1" t="s">
        <v>816</v>
      </c>
      <c r="Z130" s="1" t="s">
        <v>76</v>
      </c>
      <c r="AA130" s="1" t="s">
        <v>67</v>
      </c>
      <c r="AB130" s="10" t="s">
        <v>66</v>
      </c>
      <c r="AC130" s="10" t="s">
        <v>68</v>
      </c>
      <c r="AD130" s="1" t="str">
        <f>IFERROR(VLOOKUP(B130,'Regiões Administrativas'!$A$1:$B$646,2,0),"")</f>
        <v>Campinas</v>
      </c>
      <c r="AE130" s="1">
        <f>IFERROR(VLOOKUP(Form_Responses[[#This Row],[Município]],'Regiões Administrativas'!$A$1:$I$646,3,0),"")</f>
        <v>16577</v>
      </c>
      <c r="AF130" s="1">
        <f>IFERROR(VLOOKUP(Form_Responses[[#This Row],[Município]],'Regiões Administrativas'!$A$1:$I$646,4,0),"")</f>
        <v>353120905000001</v>
      </c>
      <c r="AG130" s="1">
        <f>IFERROR(VLOOKUP(Form_Responses[[#This Row],[Município]],'Regiões Administrativas'!$A$1:$I$646,4,0),"")</f>
        <v>353120905000001</v>
      </c>
      <c r="AH130" s="1">
        <f>IFERROR(VLOOKUP(B130,'Regiões Administrativas'!$A$1:$I$646,5,0),"")</f>
        <v>3531209</v>
      </c>
      <c r="AI130" s="1">
        <f>IFERROR(VLOOKUP(B130,'Regiões Administrativas'!$A$1:$I$646,6,0),"")</f>
        <v>-46.681194300000001</v>
      </c>
      <c r="AJ130" s="1">
        <f>IFERROR(VLOOKUP(B130,'Regiões Administrativas'!$A$1:$I$646,8,0),"")</f>
        <v>762.74740299999996</v>
      </c>
      <c r="AK130" s="1" t="str">
        <f>IFERROR(VLOOKUP(Form_Responses[[#This Row],[Município]],'Regiões Administrativas'!$A$1:$I$646,9,0),"")</f>
        <v>1J6tjn;.2zU&gt;</v>
      </c>
    </row>
    <row r="131" spans="1:37" ht="22.5" customHeight="1">
      <c r="A131" s="13">
        <v>46010.507315243056</v>
      </c>
      <c r="B131" s="1" t="s">
        <v>810</v>
      </c>
      <c r="C131" s="1" t="s">
        <v>811</v>
      </c>
      <c r="D131" s="1" t="s">
        <v>817</v>
      </c>
      <c r="E131" s="1" t="s">
        <v>818</v>
      </c>
      <c r="F131" s="1"/>
      <c r="G131" s="1" t="s">
        <v>814</v>
      </c>
      <c r="H131" s="1"/>
      <c r="I131" s="1" t="s">
        <v>43</v>
      </c>
      <c r="J131" s="7">
        <v>46240</v>
      </c>
      <c r="K131" s="7">
        <v>46243</v>
      </c>
      <c r="L131" s="11">
        <v>0.41666666666424135</v>
      </c>
      <c r="M131" s="11">
        <v>0.91666666666424135</v>
      </c>
      <c r="N131" s="1" t="s">
        <v>44</v>
      </c>
      <c r="O131" s="1" t="s">
        <v>221</v>
      </c>
      <c r="P131" s="1" t="s">
        <v>221</v>
      </c>
      <c r="Q131" s="1" t="s">
        <v>365</v>
      </c>
      <c r="R131" s="1" t="s">
        <v>74</v>
      </c>
      <c r="S131" s="8">
        <v>10000</v>
      </c>
      <c r="T131" s="8">
        <v>8000</v>
      </c>
      <c r="U131" s="8">
        <v>6500</v>
      </c>
      <c r="V131" s="8">
        <v>7000</v>
      </c>
      <c r="W131" s="1" t="s">
        <v>815</v>
      </c>
      <c r="X131" s="1" t="s">
        <v>683</v>
      </c>
      <c r="Y131" s="1" t="s">
        <v>816</v>
      </c>
      <c r="Z131" s="1" t="s">
        <v>76</v>
      </c>
      <c r="AA131" s="1" t="s">
        <v>67</v>
      </c>
      <c r="AB131" s="10" t="s">
        <v>66</v>
      </c>
      <c r="AC131" s="10" t="s">
        <v>68</v>
      </c>
      <c r="AD131" s="1" t="str">
        <f>IFERROR(VLOOKUP(B131,'Regiões Administrativas'!$A$1:$B$646,2,0),"")</f>
        <v>Campinas</v>
      </c>
      <c r="AE131" s="1">
        <f>IFERROR(VLOOKUP(Form_Responses[[#This Row],[Município]],'Regiões Administrativas'!$A$1:$I$646,3,0),"")</f>
        <v>16577</v>
      </c>
      <c r="AF131" s="1">
        <f>IFERROR(VLOOKUP(Form_Responses[[#This Row],[Município]],'Regiões Administrativas'!$A$1:$I$646,4,0),"")</f>
        <v>353120905000001</v>
      </c>
      <c r="AG131" s="1">
        <f>IFERROR(VLOOKUP(Form_Responses[[#This Row],[Município]],'Regiões Administrativas'!$A$1:$I$646,4,0),"")</f>
        <v>353120905000001</v>
      </c>
      <c r="AH131" s="1">
        <f>IFERROR(VLOOKUP(B131,'Regiões Administrativas'!$A$1:$I$646,5,0),"")</f>
        <v>3531209</v>
      </c>
      <c r="AI131" s="1">
        <f>IFERROR(VLOOKUP(B131,'Regiões Administrativas'!$A$1:$I$646,6,0),"")</f>
        <v>-46.681194300000001</v>
      </c>
      <c r="AJ131" s="1">
        <f>IFERROR(VLOOKUP(B131,'Regiões Administrativas'!$A$1:$I$646,8,0),"")</f>
        <v>762.74740299999996</v>
      </c>
      <c r="AK131" s="1" t="str">
        <f>IFERROR(VLOOKUP(Form_Responses[[#This Row],[Município]],'Regiões Administrativas'!$A$1:$I$646,9,0),"")</f>
        <v>1J6tjn;.2zU&gt;</v>
      </c>
    </row>
    <row r="132" spans="1:37" ht="22.5" customHeight="1">
      <c r="A132" s="5">
        <v>46010.514440520834</v>
      </c>
      <c r="B132" s="1" t="s">
        <v>819</v>
      </c>
      <c r="C132" s="1" t="s">
        <v>115</v>
      </c>
      <c r="D132" s="1" t="s">
        <v>820</v>
      </c>
      <c r="E132" s="1" t="s">
        <v>821</v>
      </c>
      <c r="F132" s="1"/>
      <c r="G132" s="1" t="s">
        <v>822</v>
      </c>
      <c r="H132" s="1" t="s">
        <v>823</v>
      </c>
      <c r="I132" s="1" t="s">
        <v>128</v>
      </c>
      <c r="J132" s="1"/>
      <c r="K132" s="1"/>
      <c r="L132" s="1"/>
      <c r="M132" s="1"/>
      <c r="N132" s="1" t="s">
        <v>61</v>
      </c>
      <c r="O132" s="1" t="s">
        <v>234</v>
      </c>
      <c r="P132" s="1" t="s">
        <v>46</v>
      </c>
      <c r="Q132" s="1" t="s">
        <v>47</v>
      </c>
      <c r="R132" s="1" t="s">
        <v>48</v>
      </c>
      <c r="S132" s="8">
        <v>20000</v>
      </c>
      <c r="T132" s="8">
        <v>17000</v>
      </c>
      <c r="U132" s="8">
        <v>16000</v>
      </c>
      <c r="V132" s="8"/>
      <c r="W132" s="1" t="s">
        <v>824</v>
      </c>
      <c r="X132" s="1"/>
      <c r="Y132" s="1" t="s">
        <v>825</v>
      </c>
      <c r="Z132" s="1" t="s">
        <v>66</v>
      </c>
      <c r="AA132" s="1" t="s">
        <v>66</v>
      </c>
      <c r="AB132" s="10" t="s">
        <v>66</v>
      </c>
      <c r="AC132" s="10" t="s">
        <v>68</v>
      </c>
      <c r="AD132" s="1" t="str">
        <f>IFERROR(VLOOKUP(B132,'Regiões Administrativas'!$A$1:$B$646,2,0),"")</f>
        <v>Itapeva</v>
      </c>
      <c r="AE132" s="1">
        <f>IFERROR(VLOOKUP(Form_Responses[[#This Row],[Município]],'Regiões Administrativas'!$A$1:$I$646,3,0),"")</f>
        <v>16067</v>
      </c>
      <c r="AF132" s="1">
        <f>IFERROR(VLOOKUP(Form_Responses[[#This Row],[Município]],'Regiões Administrativas'!$A$1:$I$646,4,0),"")</f>
        <v>352180405000001</v>
      </c>
      <c r="AG132" s="1">
        <f>IFERROR(VLOOKUP(Form_Responses[[#This Row],[Município]],'Regiões Administrativas'!$A$1:$I$646,4,0),"")</f>
        <v>352180405000001</v>
      </c>
      <c r="AH132" s="1">
        <f>IFERROR(VLOOKUP(B132,'Regiões Administrativas'!$A$1:$I$646,5,0),"")</f>
        <v>3521804</v>
      </c>
      <c r="AI132" s="1">
        <f>IFERROR(VLOOKUP(B132,'Regiões Administrativas'!$A$1:$I$646,6,0),"")</f>
        <v>-49.081032200000003</v>
      </c>
      <c r="AJ132" s="1">
        <f>IFERROR(VLOOKUP(B132,'Regiões Administrativas'!$A$1:$I$646,8,0),"")</f>
        <v>597.91868599999998</v>
      </c>
      <c r="AK132" s="1" t="str">
        <f>IFERROR(VLOOKUP(Form_Responses[[#This Row],[Município]],'Regiões Administrativas'!$A$1:$I$646,9,0),"")</f>
        <v>1J6RYoOrwwDp</v>
      </c>
    </row>
    <row r="133" spans="1:37" ht="22.5" customHeight="1">
      <c r="A133" s="13">
        <v>46010.533748159723</v>
      </c>
      <c r="B133" s="1" t="s">
        <v>819</v>
      </c>
      <c r="C133" s="1" t="s">
        <v>115</v>
      </c>
      <c r="D133" s="1" t="s">
        <v>826</v>
      </c>
      <c r="E133" s="1" t="s">
        <v>827</v>
      </c>
      <c r="F133" s="1"/>
      <c r="G133" s="1" t="s">
        <v>828</v>
      </c>
      <c r="H133" s="1"/>
      <c r="I133" s="1" t="s">
        <v>72</v>
      </c>
      <c r="J133" s="7">
        <v>46204</v>
      </c>
      <c r="K133" s="7">
        <v>46216</v>
      </c>
      <c r="L133" s="1"/>
      <c r="M133" s="1"/>
      <c r="N133" s="1" t="s">
        <v>44</v>
      </c>
      <c r="O133" s="1" t="s">
        <v>221</v>
      </c>
      <c r="P133" s="1" t="s">
        <v>221</v>
      </c>
      <c r="Q133" s="1" t="s">
        <v>47</v>
      </c>
      <c r="R133" s="1" t="s">
        <v>74</v>
      </c>
      <c r="S133" s="8">
        <v>18000</v>
      </c>
      <c r="T133" s="8">
        <v>16000</v>
      </c>
      <c r="U133" s="8">
        <v>15000</v>
      </c>
      <c r="V133" s="8"/>
      <c r="W133" s="1" t="s">
        <v>829</v>
      </c>
      <c r="X133" s="1"/>
      <c r="Y133" s="6" t="s">
        <v>830</v>
      </c>
      <c r="Z133" s="1" t="s">
        <v>66</v>
      </c>
      <c r="AA133" s="1" t="s">
        <v>66</v>
      </c>
      <c r="AB133" s="10" t="s">
        <v>66</v>
      </c>
      <c r="AC133" s="10" t="s">
        <v>68</v>
      </c>
      <c r="AD133" s="1" t="str">
        <f>IFERROR(VLOOKUP(B133,'Regiões Administrativas'!$A$1:$B$646,2,0),"")</f>
        <v>Itapeva</v>
      </c>
      <c r="AE133" s="1">
        <f>IFERROR(VLOOKUP(Form_Responses[[#This Row],[Município]],'Regiões Administrativas'!$A$1:$I$646,3,0),"")</f>
        <v>16067</v>
      </c>
      <c r="AF133" s="1">
        <f>IFERROR(VLOOKUP(Form_Responses[[#This Row],[Município]],'Regiões Administrativas'!$A$1:$I$646,4,0),"")</f>
        <v>352180405000001</v>
      </c>
      <c r="AG133" s="1">
        <f>IFERROR(VLOOKUP(Form_Responses[[#This Row],[Município]],'Regiões Administrativas'!$A$1:$I$646,4,0),"")</f>
        <v>352180405000001</v>
      </c>
      <c r="AH133" s="1">
        <f>IFERROR(VLOOKUP(B133,'Regiões Administrativas'!$A$1:$I$646,5,0),"")</f>
        <v>3521804</v>
      </c>
      <c r="AI133" s="1">
        <f>IFERROR(VLOOKUP(B133,'Regiões Administrativas'!$A$1:$I$646,6,0),"")</f>
        <v>-49.081032200000003</v>
      </c>
      <c r="AJ133" s="1">
        <f>IFERROR(VLOOKUP(B133,'Regiões Administrativas'!$A$1:$I$646,8,0),"")</f>
        <v>597.91868599999998</v>
      </c>
      <c r="AK133" s="1" t="str">
        <f>IFERROR(VLOOKUP(Form_Responses[[#This Row],[Município]],'Regiões Administrativas'!$A$1:$I$646,9,0),"")</f>
        <v>1J6RYoOrwwDp</v>
      </c>
    </row>
    <row r="134" spans="1:37" ht="22.5" customHeight="1">
      <c r="A134" s="13">
        <v>46010.547308553243</v>
      </c>
      <c r="B134" s="1" t="s">
        <v>819</v>
      </c>
      <c r="C134" s="1" t="s">
        <v>115</v>
      </c>
      <c r="D134" s="1" t="s">
        <v>831</v>
      </c>
      <c r="E134" s="1" t="s">
        <v>832</v>
      </c>
      <c r="F134" s="1"/>
      <c r="G134" s="1" t="s">
        <v>833</v>
      </c>
      <c r="H134" s="1" t="s">
        <v>834</v>
      </c>
      <c r="I134" s="1" t="s">
        <v>43</v>
      </c>
      <c r="J134" s="1"/>
      <c r="K134" s="1"/>
      <c r="L134" s="1"/>
      <c r="M134" s="1"/>
      <c r="N134" s="1" t="s">
        <v>73</v>
      </c>
      <c r="O134" s="1" t="s">
        <v>234</v>
      </c>
      <c r="P134" s="1" t="s">
        <v>46</v>
      </c>
      <c r="Q134" s="1" t="s">
        <v>47</v>
      </c>
      <c r="R134" s="1" t="s">
        <v>74</v>
      </c>
      <c r="S134" s="8">
        <v>60000</v>
      </c>
      <c r="T134" s="8">
        <v>50000</v>
      </c>
      <c r="U134" s="8">
        <v>48000</v>
      </c>
      <c r="V134" s="8">
        <v>45000</v>
      </c>
      <c r="W134" s="1" t="s">
        <v>835</v>
      </c>
      <c r="X134" s="1"/>
      <c r="Y134" s="1" t="s">
        <v>825</v>
      </c>
      <c r="Z134" s="1" t="s">
        <v>66</v>
      </c>
      <c r="AA134" s="1" t="s">
        <v>66</v>
      </c>
      <c r="AB134" s="10" t="s">
        <v>66</v>
      </c>
      <c r="AC134" s="10" t="s">
        <v>68</v>
      </c>
      <c r="AD134" s="1" t="str">
        <f>IFERROR(VLOOKUP(B134,'Regiões Administrativas'!$A$1:$B$646,2,0),"")</f>
        <v>Itapeva</v>
      </c>
      <c r="AE134" s="1">
        <f>IFERROR(VLOOKUP(Form_Responses[[#This Row],[Município]],'Regiões Administrativas'!$A$1:$I$646,3,0),"")</f>
        <v>16067</v>
      </c>
      <c r="AF134" s="1">
        <f>IFERROR(VLOOKUP(Form_Responses[[#This Row],[Município]],'Regiões Administrativas'!$A$1:$I$646,4,0),"")</f>
        <v>352180405000001</v>
      </c>
      <c r="AG134" s="1">
        <f>IFERROR(VLOOKUP(Form_Responses[[#This Row],[Município]],'Regiões Administrativas'!$A$1:$I$646,4,0),"")</f>
        <v>352180405000001</v>
      </c>
      <c r="AH134" s="1">
        <f>IFERROR(VLOOKUP(B134,'Regiões Administrativas'!$A$1:$I$646,5,0),"")</f>
        <v>3521804</v>
      </c>
      <c r="AI134" s="1">
        <f>IFERROR(VLOOKUP(B134,'Regiões Administrativas'!$A$1:$I$646,6,0),"")</f>
        <v>-49.081032200000003</v>
      </c>
      <c r="AJ134" s="1">
        <f>IFERROR(VLOOKUP(B134,'Regiões Administrativas'!$A$1:$I$646,8,0),"")</f>
        <v>597.91868599999998</v>
      </c>
      <c r="AK134" s="1" t="str">
        <f>IFERROR(VLOOKUP(Form_Responses[[#This Row],[Município]],'Regiões Administrativas'!$A$1:$I$646,9,0),"")</f>
        <v>1J6RYoOrwwDp</v>
      </c>
    </row>
    <row r="135" spans="1:37" ht="22.5" customHeight="1">
      <c r="A135" s="13">
        <v>46010.569969907403</v>
      </c>
      <c r="B135" s="1" t="s">
        <v>810</v>
      </c>
      <c r="C135" s="1" t="s">
        <v>811</v>
      </c>
      <c r="D135" s="1" t="s">
        <v>836</v>
      </c>
      <c r="E135" s="1" t="s">
        <v>837</v>
      </c>
      <c r="F135" s="1"/>
      <c r="G135" s="1" t="s">
        <v>814</v>
      </c>
      <c r="H135" s="1"/>
      <c r="I135" s="1" t="s">
        <v>43</v>
      </c>
      <c r="J135" s="7">
        <v>46256</v>
      </c>
      <c r="K135" s="7">
        <v>46272</v>
      </c>
      <c r="L135" s="11">
        <v>0.41666666666424135</v>
      </c>
      <c r="M135" s="11">
        <v>0.91666666666424135</v>
      </c>
      <c r="N135" s="1" t="s">
        <v>44</v>
      </c>
      <c r="O135" s="1" t="s">
        <v>190</v>
      </c>
      <c r="P135" s="1" t="s">
        <v>99</v>
      </c>
      <c r="Q135" s="1" t="s">
        <v>365</v>
      </c>
      <c r="R135" s="1" t="s">
        <v>74</v>
      </c>
      <c r="S135" s="8">
        <v>50000</v>
      </c>
      <c r="T135" s="8">
        <v>60000</v>
      </c>
      <c r="U135" s="8">
        <v>75000</v>
      </c>
      <c r="V135" s="8">
        <v>45000</v>
      </c>
      <c r="W135" s="1" t="s">
        <v>815</v>
      </c>
      <c r="X135" s="1" t="s">
        <v>683</v>
      </c>
      <c r="Y135" s="1" t="s">
        <v>816</v>
      </c>
      <c r="Z135" s="1" t="s">
        <v>76</v>
      </c>
      <c r="AA135" s="1" t="s">
        <v>67</v>
      </c>
      <c r="AB135" s="1" t="s">
        <v>66</v>
      </c>
      <c r="AC135" s="1" t="s">
        <v>68</v>
      </c>
      <c r="AD135" s="1" t="str">
        <f>IFERROR(VLOOKUP(B135,'Regiões Administrativas'!$A$1:$B$646,2,0),"")</f>
        <v>Campinas</v>
      </c>
      <c r="AE135" s="1">
        <f>IFERROR(VLOOKUP(Form_Responses[[#This Row],[Município]],'Regiões Administrativas'!$A$1:$I$646,3,0),"")</f>
        <v>16577</v>
      </c>
      <c r="AF135" s="1">
        <f>IFERROR(VLOOKUP(Form_Responses[[#This Row],[Município]],'Regiões Administrativas'!$A$1:$I$646,4,0),"")</f>
        <v>353120905000001</v>
      </c>
      <c r="AG135" s="1">
        <f>IFERROR(VLOOKUP(Form_Responses[[#This Row],[Município]],'Regiões Administrativas'!$A$1:$I$646,4,0),"")</f>
        <v>353120905000001</v>
      </c>
      <c r="AH135" s="1">
        <f>IFERROR(VLOOKUP(B135,'Regiões Administrativas'!$A$1:$I$646,5,0),"")</f>
        <v>3531209</v>
      </c>
      <c r="AI135" s="1">
        <f>IFERROR(VLOOKUP(B135,'Regiões Administrativas'!$A$1:$I$646,6,0),"")</f>
        <v>-46.681194300000001</v>
      </c>
      <c r="AJ135" s="1">
        <f>IFERROR(VLOOKUP(B135,'Regiões Administrativas'!$A$1:$I$646,8,0),"")</f>
        <v>762.74740299999996</v>
      </c>
      <c r="AK135" s="1" t="str">
        <f>IFERROR(VLOOKUP(Form_Responses[[#This Row],[Município]],'Regiões Administrativas'!$A$1:$I$646,9,0),"")</f>
        <v>1J6tjn;.2zU&gt;</v>
      </c>
    </row>
    <row r="136" spans="1:37" ht="22.5" customHeight="1">
      <c r="A136" s="5">
        <v>46010.578957129634</v>
      </c>
      <c r="B136" s="1" t="s">
        <v>819</v>
      </c>
      <c r="C136" s="1" t="s">
        <v>115</v>
      </c>
      <c r="D136" s="1" t="s">
        <v>838</v>
      </c>
      <c r="E136" s="1" t="s">
        <v>839</v>
      </c>
      <c r="F136" s="1"/>
      <c r="G136" s="1" t="s">
        <v>840</v>
      </c>
      <c r="H136" s="1"/>
      <c r="I136" s="1" t="s">
        <v>220</v>
      </c>
      <c r="J136" s="1"/>
      <c r="K136" s="1"/>
      <c r="L136" s="1"/>
      <c r="M136" s="1"/>
      <c r="N136" s="1" t="s">
        <v>44</v>
      </c>
      <c r="O136" s="1" t="s">
        <v>99</v>
      </c>
      <c r="P136" s="1" t="s">
        <v>99</v>
      </c>
      <c r="Q136" s="1" t="s">
        <v>47</v>
      </c>
      <c r="R136" s="1" t="s">
        <v>256</v>
      </c>
      <c r="S136" s="8">
        <v>12000</v>
      </c>
      <c r="T136" s="8">
        <v>12000</v>
      </c>
      <c r="U136" s="8">
        <v>10000</v>
      </c>
      <c r="V136" s="8"/>
      <c r="W136" s="1" t="s">
        <v>841</v>
      </c>
      <c r="X136" s="1"/>
      <c r="Y136" s="6" t="s">
        <v>830</v>
      </c>
      <c r="Z136" s="1" t="s">
        <v>66</v>
      </c>
      <c r="AA136" s="1" t="s">
        <v>66</v>
      </c>
      <c r="AB136" s="1" t="s">
        <v>66</v>
      </c>
      <c r="AC136" s="1" t="s">
        <v>68</v>
      </c>
      <c r="AD136" s="1" t="str">
        <f>IFERROR(VLOOKUP(B136,'Regiões Administrativas'!$A$1:$B$646,2,0),"")</f>
        <v>Itapeva</v>
      </c>
      <c r="AE136" s="1">
        <f>IFERROR(VLOOKUP(Form_Responses[[#This Row],[Município]],'Regiões Administrativas'!$A$1:$I$646,3,0),"")</f>
        <v>16067</v>
      </c>
      <c r="AF136" s="1">
        <f>IFERROR(VLOOKUP(Form_Responses[[#This Row],[Município]],'Regiões Administrativas'!$A$1:$I$646,4,0),"")</f>
        <v>352180405000001</v>
      </c>
      <c r="AG136" s="1">
        <f>IFERROR(VLOOKUP(Form_Responses[[#This Row],[Município]],'Regiões Administrativas'!$A$1:$I$646,4,0),"")</f>
        <v>352180405000001</v>
      </c>
      <c r="AH136" s="1">
        <f>IFERROR(VLOOKUP(B136,'Regiões Administrativas'!$A$1:$I$646,5,0),"")</f>
        <v>3521804</v>
      </c>
      <c r="AI136" s="1">
        <f>IFERROR(VLOOKUP(B136,'Regiões Administrativas'!$A$1:$I$646,6,0),"")</f>
        <v>-49.081032200000003</v>
      </c>
      <c r="AJ136" s="1">
        <f>IFERROR(VLOOKUP(B136,'Regiões Administrativas'!$A$1:$I$646,8,0),"")</f>
        <v>597.91868599999998</v>
      </c>
      <c r="AK136" s="1" t="str">
        <f>IFERROR(VLOOKUP(Form_Responses[[#This Row],[Município]],'Regiões Administrativas'!$A$1:$I$646,9,0),"")</f>
        <v>1J6RYoOrwwDp</v>
      </c>
    </row>
    <row r="137" spans="1:37" ht="22.5" customHeight="1">
      <c r="A137" s="13">
        <v>46010.582951631943</v>
      </c>
      <c r="B137" s="1" t="s">
        <v>819</v>
      </c>
      <c r="C137" s="1" t="s">
        <v>811</v>
      </c>
      <c r="D137" s="1" t="s">
        <v>842</v>
      </c>
      <c r="E137" s="1" t="s">
        <v>843</v>
      </c>
      <c r="F137" s="1"/>
      <c r="G137" s="1" t="s">
        <v>844</v>
      </c>
      <c r="H137" s="1"/>
      <c r="I137" s="1" t="s">
        <v>72</v>
      </c>
      <c r="J137" s="1"/>
      <c r="K137" s="1"/>
      <c r="L137" s="1"/>
      <c r="M137" s="1"/>
      <c r="N137" s="1" t="s">
        <v>73</v>
      </c>
      <c r="O137" s="1" t="s">
        <v>45</v>
      </c>
      <c r="P137" s="1" t="s">
        <v>63</v>
      </c>
      <c r="Q137" s="1" t="s">
        <v>47</v>
      </c>
      <c r="R137" s="1" t="s">
        <v>74</v>
      </c>
      <c r="S137" s="8">
        <v>25000</v>
      </c>
      <c r="T137" s="8">
        <v>24000</v>
      </c>
      <c r="U137" s="8">
        <v>20000</v>
      </c>
      <c r="V137" s="8">
        <v>18000</v>
      </c>
      <c r="W137" s="1" t="s">
        <v>845</v>
      </c>
      <c r="X137" s="1"/>
      <c r="Y137" s="1" t="s">
        <v>825</v>
      </c>
      <c r="Z137" s="1" t="s">
        <v>76</v>
      </c>
      <c r="AA137" s="1" t="s">
        <v>67</v>
      </c>
      <c r="AB137" s="1" t="s">
        <v>66</v>
      </c>
      <c r="AC137" s="1" t="s">
        <v>68</v>
      </c>
      <c r="AD137" s="1" t="str">
        <f>IFERROR(VLOOKUP(B137,'Regiões Administrativas'!$A$1:$B$646,2,0),"")</f>
        <v>Itapeva</v>
      </c>
      <c r="AE137" s="1">
        <f>IFERROR(VLOOKUP(Form_Responses[[#This Row],[Município]],'Regiões Administrativas'!$A$1:$I$646,3,0),"")</f>
        <v>16067</v>
      </c>
      <c r="AF137" s="1">
        <f>IFERROR(VLOOKUP(Form_Responses[[#This Row],[Município]],'Regiões Administrativas'!$A$1:$I$646,4,0),"")</f>
        <v>352180405000001</v>
      </c>
      <c r="AG137" s="1">
        <f>IFERROR(VLOOKUP(Form_Responses[[#This Row],[Município]],'Regiões Administrativas'!$A$1:$I$646,4,0),"")</f>
        <v>352180405000001</v>
      </c>
      <c r="AH137" s="1">
        <f>IFERROR(VLOOKUP(B137,'Regiões Administrativas'!$A$1:$I$646,5,0),"")</f>
        <v>3521804</v>
      </c>
      <c r="AI137" s="1">
        <f>IFERROR(VLOOKUP(B137,'Regiões Administrativas'!$A$1:$I$646,6,0),"")</f>
        <v>-49.081032200000003</v>
      </c>
      <c r="AJ137" s="1">
        <f>IFERROR(VLOOKUP(B137,'Regiões Administrativas'!$A$1:$I$646,8,0),"")</f>
        <v>597.91868599999998</v>
      </c>
      <c r="AK137" s="1" t="str">
        <f>IFERROR(VLOOKUP(Form_Responses[[#This Row],[Município]],'Regiões Administrativas'!$A$1:$I$646,9,0),"")</f>
        <v>1J6RYoOrwwDp</v>
      </c>
    </row>
    <row r="138" spans="1:37" ht="22.5" customHeight="1">
      <c r="A138" s="5">
        <v>46010.591193993052</v>
      </c>
      <c r="B138" s="1" t="s">
        <v>846</v>
      </c>
      <c r="C138" s="1" t="s">
        <v>166</v>
      </c>
      <c r="D138" s="1" t="s">
        <v>847</v>
      </c>
      <c r="E138" s="1" t="s">
        <v>848</v>
      </c>
      <c r="F138" s="1"/>
      <c r="G138" s="1" t="s">
        <v>849</v>
      </c>
      <c r="H138" s="1"/>
      <c r="I138" s="1" t="s">
        <v>89</v>
      </c>
      <c r="J138" s="7">
        <v>46065</v>
      </c>
      <c r="K138" s="7">
        <v>46070</v>
      </c>
      <c r="L138" s="11">
        <v>0.79166666666424135</v>
      </c>
      <c r="M138" s="11">
        <v>8.3333333335758653E-2</v>
      </c>
      <c r="N138" s="1" t="s">
        <v>44</v>
      </c>
      <c r="O138" s="1" t="s">
        <v>45</v>
      </c>
      <c r="P138" s="1" t="s">
        <v>90</v>
      </c>
      <c r="Q138" s="1" t="s">
        <v>47</v>
      </c>
      <c r="R138" s="1" t="s">
        <v>48</v>
      </c>
      <c r="S138" s="8">
        <v>30000</v>
      </c>
      <c r="T138" s="8">
        <v>24500</v>
      </c>
      <c r="U138" s="8">
        <v>28000</v>
      </c>
      <c r="V138" s="8">
        <v>30000</v>
      </c>
      <c r="W138" s="1" t="s">
        <v>850</v>
      </c>
      <c r="X138" s="1"/>
      <c r="Y138" s="1">
        <v>1145971526</v>
      </c>
      <c r="Z138" s="1" t="s">
        <v>76</v>
      </c>
      <c r="AA138" s="1" t="s">
        <v>113</v>
      </c>
      <c r="AB138" s="1" t="s">
        <v>66</v>
      </c>
      <c r="AC138" s="1" t="s">
        <v>68</v>
      </c>
      <c r="AD138" s="1" t="str">
        <f>IFERROR(VLOOKUP(B138,'Regiões Administrativas'!$A$1:$B$646,2,0),"")</f>
        <v>Campinas</v>
      </c>
      <c r="AE138" s="1">
        <f>IFERROR(VLOOKUP(Form_Responses[[#This Row],[Município]],'Regiões Administrativas'!$A$1:$I$646,3,0),"")</f>
        <v>16617</v>
      </c>
      <c r="AF138" s="1">
        <f>IFERROR(VLOOKUP(Form_Responses[[#This Row],[Município]],'Regiões Administrativas'!$A$1:$I$646,4,0),"")</f>
        <v>353240505000001</v>
      </c>
      <c r="AG138" s="1">
        <f>IFERROR(VLOOKUP(Form_Responses[[#This Row],[Município]],'Regiões Administrativas'!$A$1:$I$646,4,0),"")</f>
        <v>353240505000001</v>
      </c>
      <c r="AH138" s="1">
        <f>IFERROR(VLOOKUP(B138,'Regiões Administrativas'!$A$1:$I$646,5,0),"")</f>
        <v>3532405</v>
      </c>
      <c r="AI138" s="1">
        <f>IFERROR(VLOOKUP(B138,'Regiões Administrativas'!$A$1:$I$646,6,0),"")</f>
        <v>-46.402590199999999</v>
      </c>
      <c r="AJ138" s="1">
        <f>IFERROR(VLOOKUP(B138,'Regiões Administrativas'!$A$1:$I$646,8,0),"")</f>
        <v>787.67400299999997</v>
      </c>
      <c r="AK138" s="1" t="str">
        <f>IFERROR(VLOOKUP(Form_Responses[[#This Row],[Município]],'Regiões Administrativas'!$A$1:$I$646,9,0),"")</f>
        <v>1J6tntH9.@jf</v>
      </c>
    </row>
    <row r="139" spans="1:37" ht="22.5" customHeight="1">
      <c r="A139" s="13">
        <v>46010.598835879631</v>
      </c>
      <c r="B139" s="1" t="s">
        <v>819</v>
      </c>
      <c r="C139" s="1" t="s">
        <v>115</v>
      </c>
      <c r="D139" s="1" t="s">
        <v>851</v>
      </c>
      <c r="E139" s="1" t="s">
        <v>852</v>
      </c>
      <c r="F139" s="1"/>
      <c r="G139" s="1" t="s">
        <v>853</v>
      </c>
      <c r="H139" s="1"/>
      <c r="I139" s="1" t="s">
        <v>162</v>
      </c>
      <c r="J139" s="7">
        <v>46360</v>
      </c>
      <c r="K139" s="1"/>
      <c r="L139" s="1"/>
      <c r="M139" s="1"/>
      <c r="N139" s="1" t="s">
        <v>73</v>
      </c>
      <c r="O139" s="1" t="s">
        <v>45</v>
      </c>
      <c r="P139" s="1" t="s">
        <v>251</v>
      </c>
      <c r="Q139" s="1" t="s">
        <v>47</v>
      </c>
      <c r="R139" s="1" t="s">
        <v>74</v>
      </c>
      <c r="S139" s="8">
        <v>30000</v>
      </c>
      <c r="T139" s="8">
        <v>30000</v>
      </c>
      <c r="U139" s="8">
        <v>25000</v>
      </c>
      <c r="V139" s="8">
        <v>22000</v>
      </c>
      <c r="W139" s="1" t="s">
        <v>854</v>
      </c>
      <c r="X139" s="1"/>
      <c r="Y139" s="1" t="s">
        <v>825</v>
      </c>
      <c r="Z139" s="1" t="s">
        <v>66</v>
      </c>
      <c r="AA139" s="1" t="s">
        <v>66</v>
      </c>
      <c r="AB139" s="1" t="s">
        <v>66</v>
      </c>
      <c r="AC139" s="1" t="s">
        <v>68</v>
      </c>
      <c r="AD139" s="1" t="str">
        <f>IFERROR(VLOOKUP(B139,'Regiões Administrativas'!$A$1:$B$646,2,0),"")</f>
        <v>Itapeva</v>
      </c>
      <c r="AE139" s="1">
        <f>IFERROR(VLOOKUP(Form_Responses[[#This Row],[Município]],'Regiões Administrativas'!$A$1:$I$646,3,0),"")</f>
        <v>16067</v>
      </c>
      <c r="AF139" s="1">
        <f>IFERROR(VLOOKUP(Form_Responses[[#This Row],[Município]],'Regiões Administrativas'!$A$1:$I$646,4,0),"")</f>
        <v>352180405000001</v>
      </c>
      <c r="AG139" s="1">
        <f>IFERROR(VLOOKUP(Form_Responses[[#This Row],[Município]],'Regiões Administrativas'!$A$1:$I$646,4,0),"")</f>
        <v>352180405000001</v>
      </c>
      <c r="AH139" s="1">
        <f>IFERROR(VLOOKUP(B139,'Regiões Administrativas'!$A$1:$I$646,5,0),"")</f>
        <v>3521804</v>
      </c>
      <c r="AI139" s="1">
        <f>IFERROR(VLOOKUP(B139,'Regiões Administrativas'!$A$1:$I$646,6,0),"")</f>
        <v>-49.081032200000003</v>
      </c>
      <c r="AJ139" s="1">
        <f>IFERROR(VLOOKUP(B139,'Regiões Administrativas'!$A$1:$I$646,8,0),"")</f>
        <v>597.91868599999998</v>
      </c>
      <c r="AK139" s="1" t="str">
        <f>IFERROR(VLOOKUP(Form_Responses[[#This Row],[Município]],'Regiões Administrativas'!$A$1:$I$646,9,0),"")</f>
        <v>1J6RYoOrwwDp</v>
      </c>
    </row>
    <row r="140" spans="1:37" ht="22.5" customHeight="1">
      <c r="A140" s="13">
        <v>46010.613197164348</v>
      </c>
      <c r="B140" s="1" t="s">
        <v>846</v>
      </c>
      <c r="C140" s="1" t="s">
        <v>166</v>
      </c>
      <c r="D140" s="1" t="s">
        <v>855</v>
      </c>
      <c r="E140" s="1" t="s">
        <v>856</v>
      </c>
      <c r="F140" s="1"/>
      <c r="G140" s="1" t="s">
        <v>857</v>
      </c>
      <c r="H140" s="1"/>
      <c r="I140" s="1" t="s">
        <v>60</v>
      </c>
      <c r="J140" s="7">
        <v>46187</v>
      </c>
      <c r="K140" s="7">
        <v>46202</v>
      </c>
      <c r="L140" s="1"/>
      <c r="M140" s="1"/>
      <c r="N140" s="1" t="s">
        <v>44</v>
      </c>
      <c r="O140" s="1" t="s">
        <v>221</v>
      </c>
      <c r="P140" s="1" t="s">
        <v>221</v>
      </c>
      <c r="Q140" s="1" t="s">
        <v>47</v>
      </c>
      <c r="R140" s="1" t="s">
        <v>74</v>
      </c>
      <c r="S140" s="8">
        <v>20000</v>
      </c>
      <c r="T140" s="8">
        <v>18000</v>
      </c>
      <c r="U140" s="8">
        <v>20000</v>
      </c>
      <c r="V140" s="8">
        <v>18000</v>
      </c>
      <c r="W140" s="1" t="s">
        <v>858</v>
      </c>
      <c r="X140" s="1"/>
      <c r="Y140" s="1" t="s">
        <v>859</v>
      </c>
      <c r="Z140" s="1" t="s">
        <v>76</v>
      </c>
      <c r="AA140" s="1" t="s">
        <v>113</v>
      </c>
      <c r="AB140" s="1" t="s">
        <v>66</v>
      </c>
      <c r="AC140" s="1" t="s">
        <v>68</v>
      </c>
      <c r="AD140" s="1" t="str">
        <f>IFERROR(VLOOKUP(B140,'Regiões Administrativas'!$A$1:$B$646,2,0),"")</f>
        <v>Campinas</v>
      </c>
      <c r="AE140" s="1">
        <f>IFERROR(VLOOKUP(Form_Responses[[#This Row],[Município]],'Regiões Administrativas'!$A$1:$I$646,3,0),"")</f>
        <v>16617</v>
      </c>
      <c r="AF140" s="1">
        <f>IFERROR(VLOOKUP(Form_Responses[[#This Row],[Município]],'Regiões Administrativas'!$A$1:$I$646,4,0),"")</f>
        <v>353240505000001</v>
      </c>
      <c r="AG140" s="1">
        <f>IFERROR(VLOOKUP(Form_Responses[[#This Row],[Município]],'Regiões Administrativas'!$A$1:$I$646,4,0),"")</f>
        <v>353240505000001</v>
      </c>
      <c r="AH140" s="1">
        <f>IFERROR(VLOOKUP(B140,'Regiões Administrativas'!$A$1:$I$646,5,0),"")</f>
        <v>3532405</v>
      </c>
      <c r="AI140" s="1">
        <f>IFERROR(VLOOKUP(B140,'Regiões Administrativas'!$A$1:$I$646,6,0),"")</f>
        <v>-46.402590199999999</v>
      </c>
      <c r="AJ140" s="1">
        <f>IFERROR(VLOOKUP(B140,'Regiões Administrativas'!$A$1:$I$646,8,0),"")</f>
        <v>787.67400299999997</v>
      </c>
      <c r="AK140" s="1" t="str">
        <f>IFERROR(VLOOKUP(Form_Responses[[#This Row],[Município]],'Regiões Administrativas'!$A$1:$I$646,9,0),"")</f>
        <v>1J6tntH9.@jf</v>
      </c>
    </row>
    <row r="141" spans="1:37" ht="22.5" customHeight="1">
      <c r="A141" s="5">
        <v>46010.617159479167</v>
      </c>
      <c r="B141" s="1" t="s">
        <v>790</v>
      </c>
      <c r="C141" s="1" t="s">
        <v>791</v>
      </c>
      <c r="D141" s="1" t="s">
        <v>860</v>
      </c>
      <c r="E141" s="1" t="s">
        <v>861</v>
      </c>
      <c r="F141" s="1"/>
      <c r="G141" s="1" t="s">
        <v>862</v>
      </c>
      <c r="H141" s="1"/>
      <c r="I141" s="1" t="s">
        <v>109</v>
      </c>
      <c r="J141" s="7">
        <v>46094</v>
      </c>
      <c r="K141" s="7">
        <v>46096</v>
      </c>
      <c r="L141" s="11">
        <v>0.75</v>
      </c>
      <c r="M141" s="11">
        <v>0.875</v>
      </c>
      <c r="N141" s="1" t="s">
        <v>44</v>
      </c>
      <c r="O141" s="1" t="s">
        <v>190</v>
      </c>
      <c r="P141" s="1" t="s">
        <v>63</v>
      </c>
      <c r="Q141" s="1" t="s">
        <v>47</v>
      </c>
      <c r="R141" s="1" t="s">
        <v>74</v>
      </c>
      <c r="S141" s="8">
        <v>5000</v>
      </c>
      <c r="T141" s="8">
        <v>2500</v>
      </c>
      <c r="U141" s="8"/>
      <c r="V141" s="8"/>
      <c r="W141" s="1" t="s">
        <v>863</v>
      </c>
      <c r="X141" s="1"/>
      <c r="Y141" s="1" t="s">
        <v>864</v>
      </c>
      <c r="Z141" s="1" t="s">
        <v>361</v>
      </c>
      <c r="AA141" s="1" t="s">
        <v>865</v>
      </c>
      <c r="AB141" s="1" t="s">
        <v>66</v>
      </c>
      <c r="AC141" s="1" t="s">
        <v>68</v>
      </c>
      <c r="AD141" s="1" t="str">
        <f>IFERROR(VLOOKUP(B141,'Regiões Administrativas'!$A$1:$B$646,2,0),"")</f>
        <v>Campinas</v>
      </c>
      <c r="AE141" s="1">
        <f>IFERROR(VLOOKUP(Form_Responses[[#This Row],[Município]],'Regiões Administrativas'!$A$1:$I$646,3,0),"")</f>
        <v>15710</v>
      </c>
      <c r="AF141" s="1">
        <f>IFERROR(VLOOKUP(Form_Responses[[#This Row],[Município]],'Regiões Administrativas'!$A$1:$I$646,4,0),"")</f>
        <v>350950205000001</v>
      </c>
      <c r="AG141" s="1">
        <f>IFERROR(VLOOKUP(Form_Responses[[#This Row],[Município]],'Regiões Administrativas'!$A$1:$I$646,4,0),"")</f>
        <v>350950205000001</v>
      </c>
      <c r="AH141" s="1">
        <f>IFERROR(VLOOKUP(B141,'Regiões Administrativas'!$A$1:$I$646,5,0),"")</f>
        <v>3509502</v>
      </c>
      <c r="AI141" s="1">
        <f>IFERROR(VLOOKUP(B141,'Regiões Administrativas'!$A$1:$I$646,6,0),"")</f>
        <v>-47.060156300000003</v>
      </c>
      <c r="AJ141" s="1">
        <f>IFERROR(VLOOKUP(B141,'Regiões Administrativas'!$A$1:$I$646,8,0),"")</f>
        <v>688.98713699999996</v>
      </c>
      <c r="AK141" s="1" t="str">
        <f>IFERROR(VLOOKUP(Form_Responses[[#This Row],[Município]],'Regiões Administrativas'!$A$1:$I$646,9,0),"")</f>
        <v>1J6tL4:8Z?Sf</v>
      </c>
    </row>
    <row r="142" spans="1:37" ht="22.5" customHeight="1">
      <c r="A142" s="13">
        <v>46010.628761851855</v>
      </c>
      <c r="B142" s="1" t="s">
        <v>846</v>
      </c>
      <c r="C142" s="1" t="s">
        <v>166</v>
      </c>
      <c r="D142" s="1" t="s">
        <v>866</v>
      </c>
      <c r="E142" s="1" t="s">
        <v>867</v>
      </c>
      <c r="F142" s="1"/>
      <c r="G142" s="1" t="s">
        <v>868</v>
      </c>
      <c r="H142" s="6" t="s">
        <v>869</v>
      </c>
      <c r="I142" s="1" t="s">
        <v>43</v>
      </c>
      <c r="J142" s="7">
        <v>46254</v>
      </c>
      <c r="K142" s="7">
        <v>46257</v>
      </c>
      <c r="L142" s="1"/>
      <c r="M142" s="1"/>
      <c r="N142" s="1" t="s">
        <v>44</v>
      </c>
      <c r="O142" s="1" t="s">
        <v>45</v>
      </c>
      <c r="P142" s="1" t="s">
        <v>46</v>
      </c>
      <c r="Q142" s="1" t="s">
        <v>47</v>
      </c>
      <c r="R142" s="1" t="s">
        <v>48</v>
      </c>
      <c r="S142" s="8">
        <v>30000</v>
      </c>
      <c r="T142" s="8">
        <v>25000</v>
      </c>
      <c r="U142" s="8">
        <v>30000</v>
      </c>
      <c r="V142" s="8">
        <v>28000</v>
      </c>
      <c r="W142" s="1" t="s">
        <v>850</v>
      </c>
      <c r="X142" s="1"/>
      <c r="Y142" s="1" t="s">
        <v>870</v>
      </c>
      <c r="Z142" s="1" t="s">
        <v>76</v>
      </c>
      <c r="AA142" s="1" t="s">
        <v>156</v>
      </c>
      <c r="AB142" s="1" t="s">
        <v>66</v>
      </c>
      <c r="AC142" s="1" t="s">
        <v>68</v>
      </c>
      <c r="AD142" s="1" t="str">
        <f>IFERROR(VLOOKUP(B142,'Regiões Administrativas'!$A$1:$B$646,2,0),"")</f>
        <v>Campinas</v>
      </c>
      <c r="AE142" s="1">
        <f>IFERROR(VLOOKUP(Form_Responses[[#This Row],[Município]],'Regiões Administrativas'!$A$1:$I$646,3,0),"")</f>
        <v>16617</v>
      </c>
      <c r="AF142" s="1">
        <f>IFERROR(VLOOKUP(Form_Responses[[#This Row],[Município]],'Regiões Administrativas'!$A$1:$I$646,4,0),"")</f>
        <v>353240505000001</v>
      </c>
      <c r="AG142" s="1">
        <f>IFERROR(VLOOKUP(Form_Responses[[#This Row],[Município]],'Regiões Administrativas'!$A$1:$I$646,4,0),"")</f>
        <v>353240505000001</v>
      </c>
      <c r="AH142" s="1">
        <f>IFERROR(VLOOKUP(B142,'Regiões Administrativas'!$A$1:$I$646,5,0),"")</f>
        <v>3532405</v>
      </c>
      <c r="AI142" s="1">
        <f>IFERROR(VLOOKUP(B142,'Regiões Administrativas'!$A$1:$I$646,6,0),"")</f>
        <v>-46.402590199999999</v>
      </c>
      <c r="AJ142" s="1">
        <f>IFERROR(VLOOKUP(B142,'Regiões Administrativas'!$A$1:$I$646,8,0),"")</f>
        <v>787.67400299999997</v>
      </c>
      <c r="AK142" s="1" t="str">
        <f>IFERROR(VLOOKUP(Form_Responses[[#This Row],[Município]],'Regiões Administrativas'!$A$1:$I$646,9,0),"")</f>
        <v>1J6tntH9.@jf</v>
      </c>
    </row>
    <row r="143" spans="1:37" ht="22.5" customHeight="1">
      <c r="A143" s="13">
        <v>46010.639901435185</v>
      </c>
      <c r="B143" s="1" t="s">
        <v>846</v>
      </c>
      <c r="C143" s="1" t="s">
        <v>166</v>
      </c>
      <c r="D143" s="1" t="s">
        <v>871</v>
      </c>
      <c r="E143" s="1" t="s">
        <v>872</v>
      </c>
      <c r="F143" s="1"/>
      <c r="G143" s="1" t="s">
        <v>873</v>
      </c>
      <c r="H143" s="1"/>
      <c r="I143" s="1" t="s">
        <v>197</v>
      </c>
      <c r="J143" s="7">
        <v>46335</v>
      </c>
      <c r="K143" s="7">
        <v>46348</v>
      </c>
      <c r="L143" s="1"/>
      <c r="M143" s="1"/>
      <c r="N143" s="1" t="s">
        <v>44</v>
      </c>
      <c r="O143" s="1" t="s">
        <v>99</v>
      </c>
      <c r="P143" s="1" t="s">
        <v>221</v>
      </c>
      <c r="Q143" s="1" t="s">
        <v>47</v>
      </c>
      <c r="R143" s="1" t="s">
        <v>74</v>
      </c>
      <c r="S143" s="8">
        <v>20000</v>
      </c>
      <c r="T143" s="8">
        <v>15000</v>
      </c>
      <c r="U143" s="8">
        <v>18000</v>
      </c>
      <c r="V143" s="8">
        <v>15000</v>
      </c>
      <c r="W143" s="1" t="s">
        <v>874</v>
      </c>
      <c r="X143" s="1"/>
      <c r="Y143" s="1" t="s">
        <v>875</v>
      </c>
      <c r="Z143" s="1" t="s">
        <v>76</v>
      </c>
      <c r="AA143" s="1" t="s">
        <v>113</v>
      </c>
      <c r="AB143" s="1" t="s">
        <v>66</v>
      </c>
      <c r="AC143" s="1" t="s">
        <v>68</v>
      </c>
      <c r="AD143" s="1" t="str">
        <f>IFERROR(VLOOKUP(B143,'Regiões Administrativas'!$A$1:$B$646,2,0),"")</f>
        <v>Campinas</v>
      </c>
      <c r="AE143" s="1">
        <f>IFERROR(VLOOKUP(Form_Responses[[#This Row],[Município]],'Regiões Administrativas'!$A$1:$I$646,3,0),"")</f>
        <v>16617</v>
      </c>
      <c r="AF143" s="1">
        <f>IFERROR(VLOOKUP(Form_Responses[[#This Row],[Município]],'Regiões Administrativas'!$A$1:$I$646,4,0),"")</f>
        <v>353240505000001</v>
      </c>
      <c r="AG143" s="1">
        <f>IFERROR(VLOOKUP(Form_Responses[[#This Row],[Município]],'Regiões Administrativas'!$A$1:$I$646,4,0),"")</f>
        <v>353240505000001</v>
      </c>
      <c r="AH143" s="1">
        <f>IFERROR(VLOOKUP(B143,'Regiões Administrativas'!$A$1:$I$646,5,0),"")</f>
        <v>3532405</v>
      </c>
      <c r="AI143" s="1">
        <f>IFERROR(VLOOKUP(B143,'Regiões Administrativas'!$A$1:$I$646,6,0),"")</f>
        <v>-46.402590199999999</v>
      </c>
      <c r="AJ143" s="1">
        <f>IFERROR(VLOOKUP(B143,'Regiões Administrativas'!$A$1:$I$646,8,0),"")</f>
        <v>787.67400299999997</v>
      </c>
      <c r="AK143" s="1" t="str">
        <f>IFERROR(VLOOKUP(Form_Responses[[#This Row],[Município]],'Regiões Administrativas'!$A$1:$I$646,9,0),"")</f>
        <v>1J6tntH9.@jf</v>
      </c>
    </row>
    <row r="144" spans="1:37" ht="22.5" customHeight="1">
      <c r="A144" s="13">
        <v>46010.689940879631</v>
      </c>
      <c r="B144" s="1" t="s">
        <v>781</v>
      </c>
      <c r="C144" s="1" t="s">
        <v>38</v>
      </c>
      <c r="D144" s="1" t="s">
        <v>876</v>
      </c>
      <c r="E144" s="1" t="s">
        <v>877</v>
      </c>
      <c r="F144" s="1"/>
      <c r="G144" s="1" t="s">
        <v>878</v>
      </c>
      <c r="H144" s="1"/>
      <c r="I144" s="1" t="s">
        <v>43</v>
      </c>
      <c r="J144" s="1"/>
      <c r="K144" s="1"/>
      <c r="L144" s="1"/>
      <c r="M144" s="1"/>
      <c r="N144" s="1" t="s">
        <v>268</v>
      </c>
      <c r="O144" s="1" t="s">
        <v>45</v>
      </c>
      <c r="P144" s="1" t="s">
        <v>63</v>
      </c>
      <c r="Q144" s="1" t="s">
        <v>47</v>
      </c>
      <c r="R144" s="1" t="s">
        <v>74</v>
      </c>
      <c r="S144" s="8">
        <v>5000</v>
      </c>
      <c r="T144" s="8">
        <v>5000</v>
      </c>
      <c r="U144" s="8">
        <v>5000</v>
      </c>
      <c r="V144" s="8"/>
      <c r="W144" s="1" t="s">
        <v>879</v>
      </c>
      <c r="X144" s="1"/>
      <c r="Y144" s="1" t="s">
        <v>786</v>
      </c>
      <c r="Z144" s="1" t="s">
        <v>76</v>
      </c>
      <c r="AA144" s="1" t="s">
        <v>244</v>
      </c>
      <c r="AB144" s="1" t="s">
        <v>66</v>
      </c>
      <c r="AC144" s="1" t="s">
        <v>68</v>
      </c>
      <c r="AD144" s="1" t="str">
        <f>IFERROR(VLOOKUP(B144,'Regiões Administrativas'!$A$1:$B$646,2,0),"")</f>
        <v>Barretos</v>
      </c>
      <c r="AE144" s="1">
        <f>IFERROR(VLOOKUP(Form_Responses[[#This Row],[Município]],'Regiões Administrativas'!$A$1:$I$646,3,0),"")</f>
        <v>15945</v>
      </c>
      <c r="AF144" s="1">
        <f>IFERROR(VLOOKUP(Form_Responses[[#This Row],[Município]],'Regiões Administrativas'!$A$1:$I$646,4,0),"")</f>
        <v>351740605000001</v>
      </c>
      <c r="AG144" s="1">
        <f>IFERROR(VLOOKUP(Form_Responses[[#This Row],[Município]],'Regiões Administrativas'!$A$1:$I$646,4,0),"")</f>
        <v>351740605000001</v>
      </c>
      <c r="AH144" s="1">
        <f>IFERROR(VLOOKUP(B144,'Regiões Administrativas'!$A$1:$I$646,5,0),"")</f>
        <v>3517406</v>
      </c>
      <c r="AI144" s="1">
        <f>IFERROR(VLOOKUP(B144,'Regiões Administrativas'!$A$1:$I$646,6,0),"")</f>
        <v>-48.314470499999999</v>
      </c>
      <c r="AJ144" s="1">
        <f>IFERROR(VLOOKUP(B144,'Regiões Administrativas'!$A$1:$I$646,8,0),"")</f>
        <v>517.52504299999998</v>
      </c>
      <c r="AK144" s="1" t="str">
        <f>IFERROR(VLOOKUP(Form_Responses[[#This Row],[Município]],'Regiões Administrativas'!$A$1:$I$646,9,0),"")</f>
        <v>1J6R9vRh6ePf</v>
      </c>
    </row>
    <row r="145" spans="1:37" ht="22.5" customHeight="1">
      <c r="A145" s="13">
        <v>46010.698285798615</v>
      </c>
      <c r="B145" s="1" t="s">
        <v>781</v>
      </c>
      <c r="C145" s="1" t="s">
        <v>38</v>
      </c>
      <c r="D145" s="1" t="s">
        <v>880</v>
      </c>
      <c r="E145" s="1" t="s">
        <v>881</v>
      </c>
      <c r="F145" s="1"/>
      <c r="G145" s="1" t="s">
        <v>882</v>
      </c>
      <c r="H145" s="1"/>
      <c r="I145" s="1" t="s">
        <v>72</v>
      </c>
      <c r="J145" s="1"/>
      <c r="K145" s="1"/>
      <c r="L145" s="1"/>
      <c r="M145" s="1"/>
      <c r="N145" s="1" t="s">
        <v>44</v>
      </c>
      <c r="O145" s="1" t="s">
        <v>45</v>
      </c>
      <c r="P145" s="1" t="s">
        <v>99</v>
      </c>
      <c r="Q145" s="1" t="s">
        <v>47</v>
      </c>
      <c r="R145" s="1" t="s">
        <v>74</v>
      </c>
      <c r="S145" s="8">
        <v>1000</v>
      </c>
      <c r="T145" s="8">
        <v>1000</v>
      </c>
      <c r="U145" s="8">
        <v>1000</v>
      </c>
      <c r="V145" s="8"/>
      <c r="W145" s="1" t="s">
        <v>883</v>
      </c>
      <c r="X145" s="1"/>
      <c r="Y145" s="1" t="s">
        <v>786</v>
      </c>
      <c r="Z145" s="1" t="s">
        <v>76</v>
      </c>
      <c r="AA145" s="1" t="s">
        <v>113</v>
      </c>
      <c r="AB145" s="1" t="s">
        <v>66</v>
      </c>
      <c r="AC145" s="1" t="s">
        <v>68</v>
      </c>
      <c r="AD145" s="1" t="str">
        <f>IFERROR(VLOOKUP(B145,'Regiões Administrativas'!$A$1:$B$646,2,0),"")</f>
        <v>Barretos</v>
      </c>
      <c r="AE145" s="1">
        <f>IFERROR(VLOOKUP(Form_Responses[[#This Row],[Município]],'Regiões Administrativas'!$A$1:$I$646,3,0),"")</f>
        <v>15945</v>
      </c>
      <c r="AF145" s="1">
        <f>IFERROR(VLOOKUP(Form_Responses[[#This Row],[Município]],'Regiões Administrativas'!$A$1:$I$646,4,0),"")</f>
        <v>351740605000001</v>
      </c>
      <c r="AG145" s="1">
        <f>IFERROR(VLOOKUP(Form_Responses[[#This Row],[Município]],'Regiões Administrativas'!$A$1:$I$646,4,0),"")</f>
        <v>351740605000001</v>
      </c>
      <c r="AH145" s="1">
        <f>IFERROR(VLOOKUP(B145,'Regiões Administrativas'!$A$1:$I$646,5,0),"")</f>
        <v>3517406</v>
      </c>
      <c r="AI145" s="1">
        <f>IFERROR(VLOOKUP(B145,'Regiões Administrativas'!$A$1:$I$646,6,0),"")</f>
        <v>-48.314470499999999</v>
      </c>
      <c r="AJ145" s="1">
        <f>IFERROR(VLOOKUP(B145,'Regiões Administrativas'!$A$1:$I$646,8,0),"")</f>
        <v>517.52504299999998</v>
      </c>
      <c r="AK145" s="1" t="str">
        <f>IFERROR(VLOOKUP(Form_Responses[[#This Row],[Município]],'Regiões Administrativas'!$A$1:$I$646,9,0),"")</f>
        <v>1J6R9vRh6ePf</v>
      </c>
    </row>
    <row r="146" spans="1:37" ht="22.5" customHeight="1">
      <c r="A146" s="5">
        <v>46010.740407534722</v>
      </c>
      <c r="B146" s="1" t="s">
        <v>884</v>
      </c>
      <c r="C146" s="1" t="s">
        <v>885</v>
      </c>
      <c r="D146" s="1" t="s">
        <v>886</v>
      </c>
      <c r="E146" s="1" t="s">
        <v>887</v>
      </c>
      <c r="F146" s="1"/>
      <c r="G146" s="1" t="s">
        <v>888</v>
      </c>
      <c r="H146" s="1" t="s">
        <v>886</v>
      </c>
      <c r="I146" s="1" t="s">
        <v>89</v>
      </c>
      <c r="J146" s="7">
        <v>46067</v>
      </c>
      <c r="K146" s="7">
        <v>46069</v>
      </c>
      <c r="L146" s="11">
        <v>0.79166666666424135</v>
      </c>
      <c r="M146" s="11">
        <v>0.125</v>
      </c>
      <c r="N146" s="1" t="s">
        <v>44</v>
      </c>
      <c r="O146" s="1" t="s">
        <v>45</v>
      </c>
      <c r="P146" s="1" t="s">
        <v>90</v>
      </c>
      <c r="Q146" s="1" t="s">
        <v>47</v>
      </c>
      <c r="R146" s="1" t="s">
        <v>48</v>
      </c>
      <c r="S146" s="8">
        <v>10000</v>
      </c>
      <c r="T146" s="8">
        <v>8000</v>
      </c>
      <c r="U146" s="8">
        <v>6800</v>
      </c>
      <c r="V146" s="8">
        <v>7200</v>
      </c>
      <c r="W146" s="1" t="s">
        <v>889</v>
      </c>
      <c r="X146" s="1"/>
      <c r="Y146" s="1" t="s">
        <v>890</v>
      </c>
      <c r="Z146" s="1" t="s">
        <v>76</v>
      </c>
      <c r="AA146" s="1" t="s">
        <v>475</v>
      </c>
      <c r="AB146" s="1" t="s">
        <v>66</v>
      </c>
      <c r="AC146" s="1" t="s">
        <v>94</v>
      </c>
      <c r="AD146" s="1" t="str">
        <f>IFERROR(VLOOKUP(B146,'Regiões Administrativas'!$A$1:$B$646,2,0),"")</f>
        <v>Franca</v>
      </c>
      <c r="AE146" s="1">
        <f>IFERROR(VLOOKUP(Form_Responses[[#This Row],[Município]],'Regiões Administrativas'!$A$1:$I$646,3,0),"")</f>
        <v>16680</v>
      </c>
      <c r="AF146" s="1">
        <f>IFERROR(VLOOKUP(Form_Responses[[#This Row],[Município]],'Regiões Administrativas'!$A$1:$I$646,4,0),"")</f>
        <v>353430205000001</v>
      </c>
      <c r="AG146" s="1">
        <f>IFERROR(VLOOKUP(Form_Responses[[#This Row],[Município]],'Regiões Administrativas'!$A$1:$I$646,4,0),"")</f>
        <v>353430205000001</v>
      </c>
      <c r="AH146" s="1">
        <f>IFERROR(VLOOKUP(B146,'Regiões Administrativas'!$A$1:$I$646,5,0),"")</f>
        <v>3534302</v>
      </c>
      <c r="AI146" s="1">
        <f>IFERROR(VLOOKUP(B146,'Regiões Administrativas'!$A$1:$I$646,6,0),"")</f>
        <v>-47.886383799999997</v>
      </c>
      <c r="AJ146" s="1">
        <f>IFERROR(VLOOKUP(B146,'Regiões Administrativas'!$A$1:$I$646,8,0),"")</f>
        <v>696.79220299999997</v>
      </c>
      <c r="AK146" s="1" t="str">
        <f>IFERROR(VLOOKUP(Form_Responses[[#This Row],[Município]],'Regiões Administrativas'!$A$1:$I$646,9,0),"")</f>
        <v>1J6t\&lt;od4&lt;u-</v>
      </c>
    </row>
    <row r="147" spans="1:37" ht="22.5" customHeight="1">
      <c r="A147" s="5">
        <v>46010.743582962961</v>
      </c>
      <c r="B147" s="1" t="s">
        <v>884</v>
      </c>
      <c r="C147" s="1" t="s">
        <v>885</v>
      </c>
      <c r="D147" s="1" t="s">
        <v>891</v>
      </c>
      <c r="E147" s="1" t="s">
        <v>892</v>
      </c>
      <c r="F147" s="1"/>
      <c r="G147" s="1" t="s">
        <v>888</v>
      </c>
      <c r="H147" s="1" t="s">
        <v>893</v>
      </c>
      <c r="I147" s="1" t="s">
        <v>220</v>
      </c>
      <c r="J147" s="7">
        <v>46150</v>
      </c>
      <c r="K147" s="7">
        <v>46151</v>
      </c>
      <c r="L147" s="11">
        <v>0.83333333333575865</v>
      </c>
      <c r="M147" s="11">
        <v>0</v>
      </c>
      <c r="N147" s="1" t="s">
        <v>44</v>
      </c>
      <c r="O147" s="1" t="s">
        <v>45</v>
      </c>
      <c r="P147" s="1" t="s">
        <v>221</v>
      </c>
      <c r="Q147" s="1" t="s">
        <v>47</v>
      </c>
      <c r="R147" s="1" t="s">
        <v>48</v>
      </c>
      <c r="S147" s="8">
        <v>5000</v>
      </c>
      <c r="T147" s="8">
        <v>4300</v>
      </c>
      <c r="U147" s="8">
        <v>3800</v>
      </c>
      <c r="V147" s="8">
        <v>3000</v>
      </c>
      <c r="W147" s="1" t="s">
        <v>894</v>
      </c>
      <c r="X147" s="1" t="s">
        <v>895</v>
      </c>
      <c r="Y147" s="1" t="s">
        <v>890</v>
      </c>
      <c r="Z147" s="1" t="s">
        <v>76</v>
      </c>
      <c r="AA147" s="1" t="s">
        <v>475</v>
      </c>
      <c r="AB147" s="1" t="s">
        <v>66</v>
      </c>
      <c r="AC147" s="1" t="s">
        <v>68</v>
      </c>
      <c r="AD147" s="1" t="str">
        <f>IFERROR(VLOOKUP(B147,'Regiões Administrativas'!$A$1:$B$646,2,0),"")</f>
        <v>Franca</v>
      </c>
      <c r="AE147" s="1">
        <f>IFERROR(VLOOKUP(Form_Responses[[#This Row],[Município]],'Regiões Administrativas'!$A$1:$I$646,3,0),"")</f>
        <v>16680</v>
      </c>
      <c r="AF147" s="1">
        <f>IFERROR(VLOOKUP(Form_Responses[[#This Row],[Município]],'Regiões Administrativas'!$A$1:$I$646,4,0),"")</f>
        <v>353430205000001</v>
      </c>
      <c r="AG147" s="1">
        <f>IFERROR(VLOOKUP(Form_Responses[[#This Row],[Município]],'Regiões Administrativas'!$A$1:$I$646,4,0),"")</f>
        <v>353430205000001</v>
      </c>
      <c r="AH147" s="1">
        <f>IFERROR(VLOOKUP(B147,'Regiões Administrativas'!$A$1:$I$646,5,0),"")</f>
        <v>3534302</v>
      </c>
      <c r="AI147" s="1">
        <f>IFERROR(VLOOKUP(B147,'Regiões Administrativas'!$A$1:$I$646,6,0),"")</f>
        <v>-47.886383799999997</v>
      </c>
      <c r="AJ147" s="1">
        <f>IFERROR(VLOOKUP(B147,'Regiões Administrativas'!$A$1:$I$646,8,0),"")</f>
        <v>696.79220299999997</v>
      </c>
      <c r="AK147" s="1" t="str">
        <f>IFERROR(VLOOKUP(Form_Responses[[#This Row],[Município]],'Regiões Administrativas'!$A$1:$I$646,9,0),"")</f>
        <v>1J6t\&lt;od4&lt;u-</v>
      </c>
    </row>
    <row r="148" spans="1:37" ht="22.5" customHeight="1">
      <c r="A148" s="13">
        <v>46010.747183078704</v>
      </c>
      <c r="B148" s="1" t="s">
        <v>884</v>
      </c>
      <c r="C148" s="1" t="s">
        <v>885</v>
      </c>
      <c r="D148" s="1" t="s">
        <v>896</v>
      </c>
      <c r="E148" s="1" t="s">
        <v>897</v>
      </c>
      <c r="F148" s="1"/>
      <c r="G148" s="1" t="s">
        <v>888</v>
      </c>
      <c r="H148" s="1" t="s">
        <v>898</v>
      </c>
      <c r="I148" s="1" t="s">
        <v>43</v>
      </c>
      <c r="J148" s="7">
        <v>46239</v>
      </c>
      <c r="K148" s="7">
        <v>46242</v>
      </c>
      <c r="L148" s="11">
        <v>0.66666666666424135</v>
      </c>
      <c r="M148" s="11">
        <v>0</v>
      </c>
      <c r="N148" s="1" t="s">
        <v>44</v>
      </c>
      <c r="O148" s="1" t="s">
        <v>45</v>
      </c>
      <c r="P148" s="1" t="s">
        <v>63</v>
      </c>
      <c r="Q148" s="1" t="s">
        <v>47</v>
      </c>
      <c r="R148" s="1" t="s">
        <v>48</v>
      </c>
      <c r="S148" s="8">
        <v>3500</v>
      </c>
      <c r="T148" s="8">
        <v>2800</v>
      </c>
      <c r="U148" s="8">
        <v>2600</v>
      </c>
      <c r="V148" s="8">
        <v>2000</v>
      </c>
      <c r="W148" s="1" t="s">
        <v>894</v>
      </c>
      <c r="X148" s="1" t="s">
        <v>896</v>
      </c>
      <c r="Y148" s="1" t="s">
        <v>890</v>
      </c>
      <c r="Z148" s="1" t="s">
        <v>76</v>
      </c>
      <c r="AA148" s="1" t="s">
        <v>899</v>
      </c>
      <c r="AB148" s="1" t="s">
        <v>66</v>
      </c>
      <c r="AC148" s="1" t="s">
        <v>68</v>
      </c>
      <c r="AD148" s="1" t="str">
        <f>IFERROR(VLOOKUP(B148,'Regiões Administrativas'!$A$1:$B$646,2,0),"")</f>
        <v>Franca</v>
      </c>
      <c r="AE148" s="1">
        <f>IFERROR(VLOOKUP(Form_Responses[[#This Row],[Município]],'Regiões Administrativas'!$A$1:$I$646,3,0),"")</f>
        <v>16680</v>
      </c>
      <c r="AF148" s="1">
        <f>IFERROR(VLOOKUP(Form_Responses[[#This Row],[Município]],'Regiões Administrativas'!$A$1:$I$646,4,0),"")</f>
        <v>353430205000001</v>
      </c>
      <c r="AG148" s="1">
        <f>IFERROR(VLOOKUP(Form_Responses[[#This Row],[Município]],'Regiões Administrativas'!$A$1:$I$646,4,0),"")</f>
        <v>353430205000001</v>
      </c>
      <c r="AH148" s="1">
        <f>IFERROR(VLOOKUP(B148,'Regiões Administrativas'!$A$1:$I$646,5,0),"")</f>
        <v>3534302</v>
      </c>
      <c r="AI148" s="1">
        <f>IFERROR(VLOOKUP(B148,'Regiões Administrativas'!$A$1:$I$646,6,0),"")</f>
        <v>-47.886383799999997</v>
      </c>
      <c r="AJ148" s="1">
        <f>IFERROR(VLOOKUP(B148,'Regiões Administrativas'!$A$1:$I$646,8,0),"")</f>
        <v>696.79220299999997</v>
      </c>
      <c r="AK148" s="1" t="str">
        <f>IFERROR(VLOOKUP(Form_Responses[[#This Row],[Município]],'Regiões Administrativas'!$A$1:$I$646,9,0),"")</f>
        <v>1J6t\&lt;od4&lt;u-</v>
      </c>
    </row>
    <row r="149" spans="1:37" ht="22.5" customHeight="1">
      <c r="A149" s="13">
        <v>46010.750768923608</v>
      </c>
      <c r="B149" s="1" t="s">
        <v>884</v>
      </c>
      <c r="C149" s="1" t="s">
        <v>885</v>
      </c>
      <c r="D149" s="1" t="s">
        <v>900</v>
      </c>
      <c r="E149" s="1" t="s">
        <v>901</v>
      </c>
      <c r="F149" s="1"/>
      <c r="G149" s="1" t="s">
        <v>888</v>
      </c>
      <c r="H149" s="1" t="s">
        <v>902</v>
      </c>
      <c r="I149" s="1" t="s">
        <v>255</v>
      </c>
      <c r="J149" s="7">
        <v>46304</v>
      </c>
      <c r="K149" s="7">
        <v>46306</v>
      </c>
      <c r="L149" s="11">
        <v>0.83333333333575865</v>
      </c>
      <c r="M149" s="11">
        <v>8.3333333335758653E-2</v>
      </c>
      <c r="N149" s="1" t="s">
        <v>268</v>
      </c>
      <c r="O149" s="1" t="s">
        <v>142</v>
      </c>
      <c r="P149" s="1" t="s">
        <v>63</v>
      </c>
      <c r="Q149" s="1" t="s">
        <v>47</v>
      </c>
      <c r="R149" s="1" t="s">
        <v>48</v>
      </c>
      <c r="S149" s="8">
        <v>3800</v>
      </c>
      <c r="T149" s="8">
        <v>2800</v>
      </c>
      <c r="U149" s="8">
        <v>2500</v>
      </c>
      <c r="V149" s="8">
        <v>2000</v>
      </c>
      <c r="W149" s="1" t="s">
        <v>889</v>
      </c>
      <c r="X149" s="1" t="s">
        <v>902</v>
      </c>
      <c r="Y149" s="1" t="s">
        <v>890</v>
      </c>
      <c r="Z149" s="1" t="s">
        <v>76</v>
      </c>
      <c r="AA149" s="1" t="s">
        <v>899</v>
      </c>
      <c r="AB149" s="1" t="s">
        <v>66</v>
      </c>
      <c r="AC149" s="1" t="s">
        <v>68</v>
      </c>
      <c r="AD149" s="1" t="str">
        <f>IFERROR(VLOOKUP(B149,'Regiões Administrativas'!$A$1:$B$646,2,0),"")</f>
        <v>Franca</v>
      </c>
      <c r="AE149" s="1">
        <f>IFERROR(VLOOKUP(Form_Responses[[#This Row],[Município]],'Regiões Administrativas'!$A$1:$I$646,3,0),"")</f>
        <v>16680</v>
      </c>
      <c r="AF149" s="1">
        <f>IFERROR(VLOOKUP(Form_Responses[[#This Row],[Município]],'Regiões Administrativas'!$A$1:$I$646,4,0),"")</f>
        <v>353430205000001</v>
      </c>
      <c r="AG149" s="1">
        <f>IFERROR(VLOOKUP(Form_Responses[[#This Row],[Município]],'Regiões Administrativas'!$A$1:$I$646,4,0),"")</f>
        <v>353430205000001</v>
      </c>
      <c r="AH149" s="1">
        <f>IFERROR(VLOOKUP(B149,'Regiões Administrativas'!$A$1:$I$646,5,0),"")</f>
        <v>3534302</v>
      </c>
      <c r="AI149" s="1">
        <f>IFERROR(VLOOKUP(B149,'Regiões Administrativas'!$A$1:$I$646,6,0),"")</f>
        <v>-47.886383799999997</v>
      </c>
      <c r="AJ149" s="1">
        <f>IFERROR(VLOOKUP(B149,'Regiões Administrativas'!$A$1:$I$646,8,0),"")</f>
        <v>696.79220299999997</v>
      </c>
      <c r="AK149" s="1" t="str">
        <f>IFERROR(VLOOKUP(Form_Responses[[#This Row],[Município]],'Regiões Administrativas'!$A$1:$I$646,9,0),"")</f>
        <v>1J6t\&lt;od4&lt;u-</v>
      </c>
    </row>
    <row r="150" spans="1:37" ht="22.5" customHeight="1">
      <c r="A150" s="13">
        <v>46013.65496576389</v>
      </c>
      <c r="B150" s="1" t="s">
        <v>781</v>
      </c>
      <c r="C150" s="1" t="s">
        <v>38</v>
      </c>
      <c r="D150" s="1" t="s">
        <v>903</v>
      </c>
      <c r="E150" s="1" t="s">
        <v>904</v>
      </c>
      <c r="F150" s="1"/>
      <c r="G150" s="1" t="s">
        <v>905</v>
      </c>
      <c r="H150" s="1"/>
      <c r="I150" s="1" t="s">
        <v>60</v>
      </c>
      <c r="J150" s="1"/>
      <c r="K150" s="1"/>
      <c r="L150" s="1"/>
      <c r="M150" s="1"/>
      <c r="N150" s="1" t="s">
        <v>61</v>
      </c>
      <c r="O150" s="1" t="s">
        <v>62</v>
      </c>
      <c r="P150" s="1" t="s">
        <v>63</v>
      </c>
      <c r="Q150" s="1" t="s">
        <v>47</v>
      </c>
      <c r="R150" s="1" t="s">
        <v>74</v>
      </c>
      <c r="S150" s="1">
        <v>3000</v>
      </c>
      <c r="T150" s="1">
        <v>3000</v>
      </c>
      <c r="U150" s="1">
        <v>3000</v>
      </c>
      <c r="V150" s="1"/>
      <c r="W150" s="1" t="s">
        <v>879</v>
      </c>
      <c r="X150" s="1"/>
      <c r="Y150" s="1" t="s">
        <v>786</v>
      </c>
      <c r="Z150" s="1" t="s">
        <v>76</v>
      </c>
      <c r="AA150" s="1" t="s">
        <v>113</v>
      </c>
      <c r="AB150" s="10" t="s">
        <v>66</v>
      </c>
      <c r="AC150" s="10" t="s">
        <v>68</v>
      </c>
      <c r="AD150" s="10" t="str">
        <f>IFERROR(VLOOKUP(B150,'Regiões Administrativas'!$A$1:$B$646,2,0),"")</f>
        <v>Barretos</v>
      </c>
      <c r="AE150" s="10">
        <f>IFERROR(VLOOKUP(Form_Responses[[#This Row],[Município]],'Regiões Administrativas'!$A$1:$I$646,3,0),"")</f>
        <v>15945</v>
      </c>
      <c r="AF150" s="10">
        <f>IFERROR(VLOOKUP(Form_Responses[[#This Row],[Município]],'Regiões Administrativas'!$A$1:$I$646,4,0),"")</f>
        <v>351740605000001</v>
      </c>
      <c r="AG150" s="10">
        <f>IFERROR(VLOOKUP(Form_Responses[[#This Row],[Município]],'Regiões Administrativas'!$A$1:$I$646,4,0),"")</f>
        <v>351740605000001</v>
      </c>
      <c r="AH150" s="10">
        <f>IFERROR(VLOOKUP(B150,'Regiões Administrativas'!$A$1:$I$646,5,0),"")</f>
        <v>3517406</v>
      </c>
      <c r="AI150" s="10">
        <f>IFERROR(VLOOKUP(B150,'Regiões Administrativas'!$A$1:$I$646,6,0),"")</f>
        <v>-48.314470499999999</v>
      </c>
      <c r="AJ150" s="10">
        <f>IFERROR(VLOOKUP(B150,'Regiões Administrativas'!$A$1:$I$646,8,0),"")</f>
        <v>517.52504299999998</v>
      </c>
      <c r="AK150" s="10" t="str">
        <f>IFERROR(VLOOKUP(Form_Responses[[#This Row],[Município]],'Regiões Administrativas'!$A$1:$I$646,9,0),"")</f>
        <v>1J6R9vRh6ePf</v>
      </c>
    </row>
    <row r="151" spans="1:37" ht="22.5" customHeight="1">
      <c r="A151" s="5">
        <v>46013.662291655091</v>
      </c>
      <c r="B151" s="1" t="s">
        <v>781</v>
      </c>
      <c r="C151" s="1" t="s">
        <v>38</v>
      </c>
      <c r="D151" s="1" t="s">
        <v>906</v>
      </c>
      <c r="E151" s="1" t="s">
        <v>907</v>
      </c>
      <c r="F151" s="1"/>
      <c r="G151" s="1" t="s">
        <v>908</v>
      </c>
      <c r="H151" s="1"/>
      <c r="I151" s="1" t="s">
        <v>89</v>
      </c>
      <c r="J151" s="1"/>
      <c r="K151" s="1"/>
      <c r="L151" s="1"/>
      <c r="M151" s="1"/>
      <c r="N151" s="1" t="s">
        <v>44</v>
      </c>
      <c r="O151" s="1" t="s">
        <v>45</v>
      </c>
      <c r="P151" s="1" t="s">
        <v>90</v>
      </c>
      <c r="Q151" s="1" t="s">
        <v>47</v>
      </c>
      <c r="R151" s="1" t="s">
        <v>74</v>
      </c>
      <c r="S151" s="8">
        <v>15000</v>
      </c>
      <c r="T151" s="8">
        <v>25000</v>
      </c>
      <c r="U151" s="8">
        <v>25000</v>
      </c>
      <c r="V151" s="1"/>
      <c r="W151" s="1" t="s">
        <v>879</v>
      </c>
      <c r="X151" s="1"/>
      <c r="Y151" s="1" t="s">
        <v>786</v>
      </c>
      <c r="Z151" s="1" t="s">
        <v>76</v>
      </c>
      <c r="AA151" s="1" t="s">
        <v>113</v>
      </c>
      <c r="AB151" s="10" t="s">
        <v>66</v>
      </c>
      <c r="AC151" s="10" t="s">
        <v>68</v>
      </c>
      <c r="AD151" s="10" t="str">
        <f>IFERROR(VLOOKUP(B151,'Regiões Administrativas'!$A$1:$B$646,2,0),"")</f>
        <v>Barretos</v>
      </c>
      <c r="AE151" s="10">
        <f>IFERROR(VLOOKUP(Form_Responses[[#This Row],[Município]],'Regiões Administrativas'!$A$1:$I$646,3,0),"")</f>
        <v>15945</v>
      </c>
      <c r="AF151" s="10">
        <f>IFERROR(VLOOKUP(Form_Responses[[#This Row],[Município]],'Regiões Administrativas'!$A$1:$I$646,4,0),"")</f>
        <v>351740605000001</v>
      </c>
      <c r="AG151" s="10">
        <f>IFERROR(VLOOKUP(Form_Responses[[#This Row],[Município]],'Regiões Administrativas'!$A$1:$I$646,4,0),"")</f>
        <v>351740605000001</v>
      </c>
      <c r="AH151" s="10">
        <f>IFERROR(VLOOKUP(B151,'Regiões Administrativas'!$A$1:$I$646,5,0),"")</f>
        <v>3517406</v>
      </c>
      <c r="AI151" s="10">
        <f>IFERROR(VLOOKUP(B151,'Regiões Administrativas'!$A$1:$I$646,6,0),"")</f>
        <v>-48.314470499999999</v>
      </c>
      <c r="AJ151" s="10">
        <f>IFERROR(VLOOKUP(B151,'Regiões Administrativas'!$A$1:$I$646,8,0),"")</f>
        <v>517.52504299999998</v>
      </c>
      <c r="AK151" s="10" t="str">
        <f>IFERROR(VLOOKUP(Form_Responses[[#This Row],[Município]],'Regiões Administrativas'!$A$1:$I$646,9,0),"")</f>
        <v>1J6R9vRh6ePf</v>
      </c>
    </row>
    <row r="152" spans="1:37" ht="22.5" customHeight="1">
      <c r="A152" s="5">
        <v>46013.672696423615</v>
      </c>
      <c r="B152" s="1" t="s">
        <v>781</v>
      </c>
      <c r="C152" s="1" t="s">
        <v>38</v>
      </c>
      <c r="D152" s="1" t="s">
        <v>909</v>
      </c>
      <c r="E152" s="1" t="s">
        <v>910</v>
      </c>
      <c r="F152" s="1"/>
      <c r="G152" s="1" t="s">
        <v>911</v>
      </c>
      <c r="H152" s="1"/>
      <c r="I152" s="1" t="s">
        <v>220</v>
      </c>
      <c r="J152" s="1"/>
      <c r="K152" s="1"/>
      <c r="L152" s="1"/>
      <c r="M152" s="1"/>
      <c r="N152" s="1" t="s">
        <v>110</v>
      </c>
      <c r="O152" s="1" t="s">
        <v>45</v>
      </c>
      <c r="P152" s="1" t="s">
        <v>46</v>
      </c>
      <c r="Q152" s="1" t="s">
        <v>47</v>
      </c>
      <c r="R152" s="1" t="s">
        <v>74</v>
      </c>
      <c r="S152" s="1">
        <v>50000</v>
      </c>
      <c r="T152" s="1">
        <v>50000</v>
      </c>
      <c r="U152" s="1">
        <v>50000</v>
      </c>
      <c r="V152" s="1"/>
      <c r="W152" s="1" t="s">
        <v>912</v>
      </c>
      <c r="X152" s="1"/>
      <c r="Y152" s="1" t="s">
        <v>786</v>
      </c>
      <c r="Z152" s="1" t="s">
        <v>76</v>
      </c>
      <c r="AA152" s="1" t="s">
        <v>113</v>
      </c>
      <c r="AB152" s="10" t="s">
        <v>66</v>
      </c>
      <c r="AC152" s="10" t="s">
        <v>68</v>
      </c>
      <c r="AD152" s="10" t="str">
        <f>IFERROR(VLOOKUP(B152,'Regiões Administrativas'!$A$1:$B$646,2,0),"")</f>
        <v>Barretos</v>
      </c>
      <c r="AE152" s="10">
        <f>IFERROR(VLOOKUP(Form_Responses[[#This Row],[Município]],'Regiões Administrativas'!$A$1:$I$646,3,0),"")</f>
        <v>15945</v>
      </c>
      <c r="AF152" s="10">
        <f>IFERROR(VLOOKUP(Form_Responses[[#This Row],[Município]],'Regiões Administrativas'!$A$1:$I$646,4,0),"")</f>
        <v>351740605000001</v>
      </c>
      <c r="AG152" s="10">
        <f>IFERROR(VLOOKUP(Form_Responses[[#This Row],[Município]],'Regiões Administrativas'!$A$1:$I$646,4,0),"")</f>
        <v>351740605000001</v>
      </c>
      <c r="AH152" s="10">
        <f>IFERROR(VLOOKUP(B152,'Regiões Administrativas'!$A$1:$I$646,5,0),"")</f>
        <v>3517406</v>
      </c>
      <c r="AI152" s="10">
        <f>IFERROR(VLOOKUP(B152,'Regiões Administrativas'!$A$1:$I$646,6,0),"")</f>
        <v>-48.314470499999999</v>
      </c>
      <c r="AJ152" s="10">
        <f>IFERROR(VLOOKUP(B152,'Regiões Administrativas'!$A$1:$I$646,8,0),"")</f>
        <v>517.52504299999998</v>
      </c>
      <c r="AK152" s="10" t="str">
        <f>IFERROR(VLOOKUP(Form_Responses[[#This Row],[Município]],'Regiões Administrativas'!$A$1:$I$646,9,0),"")</f>
        <v>1J6R9vRh6ePf</v>
      </c>
    </row>
    <row r="153" spans="1:37" ht="22.5" customHeight="1">
      <c r="A153" s="13">
        <v>46014.357055115739</v>
      </c>
      <c r="B153" s="1" t="s">
        <v>913</v>
      </c>
      <c r="C153" s="1" t="s">
        <v>103</v>
      </c>
      <c r="D153" s="1" t="s">
        <v>914</v>
      </c>
      <c r="E153" s="1" t="s">
        <v>915</v>
      </c>
      <c r="F153" s="1"/>
      <c r="G153" s="1" t="s">
        <v>916</v>
      </c>
      <c r="H153" s="1"/>
      <c r="I153" s="1" t="s">
        <v>72</v>
      </c>
      <c r="J153" s="7">
        <v>46214</v>
      </c>
      <c r="K153" s="7">
        <v>46215</v>
      </c>
      <c r="L153" s="11">
        <v>0.79166666666424135</v>
      </c>
      <c r="M153" s="11">
        <v>0.125</v>
      </c>
      <c r="N153" s="1" t="s">
        <v>44</v>
      </c>
      <c r="O153" s="1" t="s">
        <v>45</v>
      </c>
      <c r="P153" s="1" t="s">
        <v>135</v>
      </c>
      <c r="Q153" s="1" t="s">
        <v>47</v>
      </c>
      <c r="R153" s="1" t="s">
        <v>74</v>
      </c>
      <c r="S153" s="1">
        <v>5000</v>
      </c>
      <c r="T153" s="1">
        <v>4500</v>
      </c>
      <c r="U153" s="1">
        <v>4200</v>
      </c>
      <c r="V153" s="1">
        <v>3500</v>
      </c>
      <c r="W153" s="1" t="s">
        <v>917</v>
      </c>
      <c r="X153" s="1"/>
      <c r="Y153" s="1" t="s">
        <v>918</v>
      </c>
      <c r="Z153" s="1" t="s">
        <v>76</v>
      </c>
      <c r="AA153" s="1" t="s">
        <v>156</v>
      </c>
      <c r="AB153" s="10" t="s">
        <v>66</v>
      </c>
      <c r="AC153" s="10" t="s">
        <v>68</v>
      </c>
      <c r="AD153" s="10" t="str">
        <f>IFERROR(VLOOKUP(B153,'Regiões Administrativas'!$A$1:$B$646,2,0),"")</f>
        <v>São José do Rio Preto</v>
      </c>
      <c r="AE153" s="10">
        <f>IFERROR(VLOOKUP(Form_Responses[[#This Row],[Município]],'Regiões Administrativas'!$A$1:$I$646,3,0),"")</f>
        <v>17056</v>
      </c>
      <c r="AF153" s="10">
        <f>IFERROR(VLOOKUP(Form_Responses[[#This Row],[Município]],'Regiões Administrativas'!$A$1:$I$646,4,0),"")</f>
        <v>354610805000001</v>
      </c>
      <c r="AG153" s="10">
        <f>IFERROR(VLOOKUP(Form_Responses[[#This Row],[Município]],'Regiões Administrativas'!$A$1:$I$646,4,0),"")</f>
        <v>354610805000001</v>
      </c>
      <c r="AH153" s="10">
        <f>IFERROR(VLOOKUP(B153,'Regiões Administrativas'!$A$1:$I$646,5,0),"")</f>
        <v>3546108</v>
      </c>
      <c r="AI153" s="10">
        <f>IFERROR(VLOOKUP(B153,'Regiões Administrativas'!$A$1:$I$646,6,0),"")</f>
        <v>-50.930221199999998</v>
      </c>
      <c r="AJ153" s="10">
        <f>IFERROR(VLOOKUP(B153,'Regiões Administrativas'!$A$1:$I$646,8,0),"")</f>
        <v>387.21857399999999</v>
      </c>
      <c r="AK153" s="10" t="str">
        <f>IFERROR(VLOOKUP(Form_Responses[[#This Row],[Município]],'Regiões Administrativas'!$A$1:$I$646,9,0),"")</f>
        <v>1J6R@_tA2P&lt;p</v>
      </c>
    </row>
    <row r="154" spans="1:37" ht="22.5" customHeight="1">
      <c r="A154" s="5">
        <v>46014.367185509254</v>
      </c>
      <c r="B154" s="1" t="s">
        <v>919</v>
      </c>
      <c r="C154" s="1" t="s">
        <v>417</v>
      </c>
      <c r="D154" s="1" t="s">
        <v>920</v>
      </c>
      <c r="E154" s="1" t="s">
        <v>921</v>
      </c>
      <c r="F154" s="1"/>
      <c r="G154" s="1" t="s">
        <v>922</v>
      </c>
      <c r="H154" s="6" t="s">
        <v>923</v>
      </c>
      <c r="I154" s="1" t="s">
        <v>267</v>
      </c>
      <c r="J154" s="7">
        <v>46037</v>
      </c>
      <c r="K154" s="7">
        <v>46040</v>
      </c>
      <c r="L154" s="11">
        <v>0.41666666666424135</v>
      </c>
      <c r="M154" s="11">
        <v>0.91666666666424135</v>
      </c>
      <c r="N154" s="1" t="s">
        <v>44</v>
      </c>
      <c r="O154" s="1" t="s">
        <v>45</v>
      </c>
      <c r="P154" s="1" t="s">
        <v>221</v>
      </c>
      <c r="Q154" s="1" t="s">
        <v>47</v>
      </c>
      <c r="R154" s="1" t="s">
        <v>48</v>
      </c>
      <c r="S154" s="8">
        <v>150000</v>
      </c>
      <c r="T154" s="1"/>
      <c r="U154" s="1"/>
      <c r="V154" s="1"/>
      <c r="W154" s="1" t="s">
        <v>181</v>
      </c>
      <c r="X154" s="1"/>
      <c r="Y154" s="1" t="s">
        <v>924</v>
      </c>
      <c r="Z154" s="1" t="s">
        <v>66</v>
      </c>
      <c r="AA154" s="1" t="s">
        <v>225</v>
      </c>
      <c r="AB154" s="10" t="s">
        <v>66</v>
      </c>
      <c r="AC154" s="10" t="s">
        <v>68</v>
      </c>
      <c r="AD154" s="10" t="str">
        <f>IFERROR(VLOOKUP(B154,'Regiões Administrativas'!$A$1:$B$646,2,0),"")</f>
        <v>São José dos Campos</v>
      </c>
      <c r="AE154" s="10">
        <f>IFERROR(VLOOKUP(Form_Responses[[#This Row],[Município]],'Regiões Administrativas'!$A$1:$I$646,3,0),"")</f>
        <v>15403</v>
      </c>
      <c r="AF154" s="10">
        <f>IFERROR(VLOOKUP(Form_Responses[[#This Row],[Município]],'Regiões Administrativas'!$A$1:$I$646,4,0),"")</f>
        <v>350250705000001</v>
      </c>
      <c r="AG154" s="10">
        <f>IFERROR(VLOOKUP(Form_Responses[[#This Row],[Município]],'Regiões Administrativas'!$A$1:$I$646,4,0),"")</f>
        <v>350250705000001</v>
      </c>
      <c r="AH154" s="10">
        <f>IFERROR(VLOOKUP(B154,'Regiões Administrativas'!$A$1:$I$646,5,0),"")</f>
        <v>3502507</v>
      </c>
      <c r="AI154" s="10">
        <f>IFERROR(VLOOKUP(B154,'Regiões Administrativas'!$A$1:$I$646,6,0),"")</f>
        <v>-45.2294293</v>
      </c>
      <c r="AJ154" s="10">
        <f>IFERROR(VLOOKUP(B154,'Regiões Administrativas'!$A$1:$I$646,8,0),"")</f>
        <v>582.26043400000003</v>
      </c>
      <c r="AK154" s="10" t="str">
        <f>IFERROR(VLOOKUP(Form_Responses[[#This Row],[Município]],'Regiões Administrativas'!$A$1:$I$646,9,0),"")</f>
        <v>1J6tv24ZES&lt;f</v>
      </c>
    </row>
    <row r="155" spans="1:37" ht="22.5" customHeight="1">
      <c r="A155" s="13">
        <v>46014.368952094912</v>
      </c>
      <c r="B155" s="1" t="s">
        <v>913</v>
      </c>
      <c r="C155" s="1" t="s">
        <v>103</v>
      </c>
      <c r="D155" s="1" t="s">
        <v>925</v>
      </c>
      <c r="E155" s="1" t="s">
        <v>926</v>
      </c>
      <c r="F155" s="1"/>
      <c r="G155" s="1" t="s">
        <v>927</v>
      </c>
      <c r="H155" s="1"/>
      <c r="I155" s="1" t="s">
        <v>43</v>
      </c>
      <c r="J155" s="7">
        <v>46236</v>
      </c>
      <c r="K155" s="7">
        <v>46236</v>
      </c>
      <c r="L155" s="11">
        <v>0.41666666666424135</v>
      </c>
      <c r="M155" s="11">
        <v>0.70833333333575865</v>
      </c>
      <c r="N155" s="1" t="s">
        <v>44</v>
      </c>
      <c r="O155" s="1" t="s">
        <v>45</v>
      </c>
      <c r="P155" s="1" t="s">
        <v>221</v>
      </c>
      <c r="Q155" s="1" t="s">
        <v>47</v>
      </c>
      <c r="R155" s="1" t="s">
        <v>74</v>
      </c>
      <c r="S155" s="1">
        <v>4000</v>
      </c>
      <c r="T155" s="1">
        <v>3500</v>
      </c>
      <c r="U155" s="1">
        <v>3000</v>
      </c>
      <c r="V155" s="1">
        <v>3000</v>
      </c>
      <c r="W155" s="1" t="s">
        <v>917</v>
      </c>
      <c r="X155" s="1"/>
      <c r="Y155" s="1" t="s">
        <v>928</v>
      </c>
      <c r="Z155" s="1" t="s">
        <v>76</v>
      </c>
      <c r="AA155" s="1" t="s">
        <v>225</v>
      </c>
      <c r="AB155" s="10" t="s">
        <v>66</v>
      </c>
      <c r="AC155" s="10" t="s">
        <v>68</v>
      </c>
      <c r="AD155" s="10" t="str">
        <f>IFERROR(VLOOKUP(B155,'Regiões Administrativas'!$A$1:$B$646,2,0),"")</f>
        <v>São José do Rio Preto</v>
      </c>
      <c r="AE155" s="10">
        <f>IFERROR(VLOOKUP(Form_Responses[[#This Row],[Município]],'Regiões Administrativas'!$A$1:$I$646,3,0),"")</f>
        <v>17056</v>
      </c>
      <c r="AF155" s="10">
        <f>IFERROR(VLOOKUP(Form_Responses[[#This Row],[Município]],'Regiões Administrativas'!$A$1:$I$646,4,0),"")</f>
        <v>354610805000001</v>
      </c>
      <c r="AG155" s="10">
        <f>IFERROR(VLOOKUP(Form_Responses[[#This Row],[Município]],'Regiões Administrativas'!$A$1:$I$646,4,0),"")</f>
        <v>354610805000001</v>
      </c>
      <c r="AH155" s="10">
        <f>IFERROR(VLOOKUP(B155,'Regiões Administrativas'!$A$1:$I$646,5,0),"")</f>
        <v>3546108</v>
      </c>
      <c r="AI155" s="10">
        <f>IFERROR(VLOOKUP(B155,'Regiões Administrativas'!$A$1:$I$646,6,0),"")</f>
        <v>-50.930221199999998</v>
      </c>
      <c r="AJ155" s="10">
        <f>IFERROR(VLOOKUP(B155,'Regiões Administrativas'!$A$1:$I$646,8,0),"")</f>
        <v>387.21857399999999</v>
      </c>
      <c r="AK155" s="10" t="str">
        <f>IFERROR(VLOOKUP(Form_Responses[[#This Row],[Município]],'Regiões Administrativas'!$A$1:$I$646,9,0),"")</f>
        <v>1J6R@_tA2P&lt;p</v>
      </c>
    </row>
    <row r="156" spans="1:37" ht="22.5" customHeight="1">
      <c r="A156" s="13">
        <v>46014.371254456019</v>
      </c>
      <c r="B156" s="1" t="s">
        <v>913</v>
      </c>
      <c r="C156" s="1" t="s">
        <v>103</v>
      </c>
      <c r="D156" s="1" t="s">
        <v>929</v>
      </c>
      <c r="E156" s="1" t="s">
        <v>930</v>
      </c>
      <c r="F156" s="1"/>
      <c r="G156" s="1" t="s">
        <v>916</v>
      </c>
      <c r="H156" s="1"/>
      <c r="I156" s="1" t="s">
        <v>162</v>
      </c>
      <c r="J156" s="7">
        <v>46387</v>
      </c>
      <c r="K156" s="7">
        <v>46388</v>
      </c>
      <c r="L156" s="11">
        <v>0.91666666666424135</v>
      </c>
      <c r="M156" s="11">
        <v>0.125</v>
      </c>
      <c r="N156" s="1" t="s">
        <v>44</v>
      </c>
      <c r="O156" s="1" t="s">
        <v>45</v>
      </c>
      <c r="P156" s="1" t="s">
        <v>180</v>
      </c>
      <c r="Q156" s="1" t="s">
        <v>47</v>
      </c>
      <c r="R156" s="1" t="s">
        <v>74</v>
      </c>
      <c r="S156" s="1">
        <v>4000</v>
      </c>
      <c r="T156" s="1">
        <v>4000</v>
      </c>
      <c r="U156" s="1">
        <v>3500</v>
      </c>
      <c r="V156" s="1">
        <v>3000</v>
      </c>
      <c r="W156" s="1" t="s">
        <v>917</v>
      </c>
      <c r="X156" s="1"/>
      <c r="Y156" s="1" t="s">
        <v>928</v>
      </c>
      <c r="Z156" s="1" t="s">
        <v>76</v>
      </c>
      <c r="AA156" s="1" t="s">
        <v>156</v>
      </c>
      <c r="AB156" s="10" t="s">
        <v>66</v>
      </c>
      <c r="AC156" s="10" t="s">
        <v>68</v>
      </c>
      <c r="AD156" s="10" t="str">
        <f>IFERROR(VLOOKUP(B156,'Regiões Administrativas'!$A$1:$B$646,2,0),"")</f>
        <v>São José do Rio Preto</v>
      </c>
      <c r="AE156" s="10">
        <f>IFERROR(VLOOKUP(Form_Responses[[#This Row],[Município]],'Regiões Administrativas'!$A$1:$I$646,3,0),"")</f>
        <v>17056</v>
      </c>
      <c r="AF156" s="10">
        <f>IFERROR(VLOOKUP(Form_Responses[[#This Row],[Município]],'Regiões Administrativas'!$A$1:$I$646,4,0),"")</f>
        <v>354610805000001</v>
      </c>
      <c r="AG156" s="10">
        <f>IFERROR(VLOOKUP(Form_Responses[[#This Row],[Município]],'Regiões Administrativas'!$A$1:$I$646,4,0),"")</f>
        <v>354610805000001</v>
      </c>
      <c r="AH156" s="10">
        <f>IFERROR(VLOOKUP(B156,'Regiões Administrativas'!$A$1:$I$646,5,0),"")</f>
        <v>3546108</v>
      </c>
      <c r="AI156" s="10">
        <f>IFERROR(VLOOKUP(B156,'Regiões Administrativas'!$A$1:$I$646,6,0),"")</f>
        <v>-50.930221199999998</v>
      </c>
      <c r="AJ156" s="10">
        <f>IFERROR(VLOOKUP(B156,'Regiões Administrativas'!$A$1:$I$646,8,0),"")</f>
        <v>387.21857399999999</v>
      </c>
      <c r="AK156" s="10" t="str">
        <f>IFERROR(VLOOKUP(Form_Responses[[#This Row],[Município]],'Regiões Administrativas'!$A$1:$I$646,9,0),"")</f>
        <v>1J6R@_tA2P&lt;p</v>
      </c>
    </row>
    <row r="157" spans="1:37" ht="22.5" customHeight="1">
      <c r="A157" s="5">
        <v>46014.424508379627</v>
      </c>
      <c r="B157" s="1" t="s">
        <v>931</v>
      </c>
      <c r="C157" s="1" t="s">
        <v>85</v>
      </c>
      <c r="D157" s="1" t="s">
        <v>932</v>
      </c>
      <c r="E157" s="1" t="s">
        <v>933</v>
      </c>
      <c r="F157" s="1"/>
      <c r="G157" s="1" t="s">
        <v>934</v>
      </c>
      <c r="H157" s="1"/>
      <c r="I157" s="1" t="s">
        <v>267</v>
      </c>
      <c r="J157" s="7">
        <v>46031</v>
      </c>
      <c r="K157" s="7">
        <v>46059</v>
      </c>
      <c r="L157" s="11">
        <v>0.8125</v>
      </c>
      <c r="M157" s="11">
        <v>0.97916666666424135</v>
      </c>
      <c r="N157" s="1" t="s">
        <v>44</v>
      </c>
      <c r="O157" s="1" t="s">
        <v>221</v>
      </c>
      <c r="P157" s="1" t="s">
        <v>221</v>
      </c>
      <c r="Q157" s="1" t="s">
        <v>47</v>
      </c>
      <c r="R157" s="1" t="s">
        <v>74</v>
      </c>
      <c r="S157" s="1">
        <v>4000</v>
      </c>
      <c r="T157" s="1">
        <v>3500</v>
      </c>
      <c r="U157" s="1">
        <v>3000</v>
      </c>
      <c r="V157" s="1">
        <v>3000</v>
      </c>
      <c r="W157" s="1" t="s">
        <v>935</v>
      </c>
      <c r="X157" s="1"/>
      <c r="Y157" s="1" t="s">
        <v>936</v>
      </c>
      <c r="Z157" s="1" t="s">
        <v>76</v>
      </c>
      <c r="AA157" s="1" t="s">
        <v>937</v>
      </c>
      <c r="AB157" s="10" t="s">
        <v>66</v>
      </c>
      <c r="AC157" s="10" t="s">
        <v>68</v>
      </c>
      <c r="AD157" s="10" t="str">
        <f>IFERROR(VLOOKUP(B157,'Regiões Administrativas'!$A$1:$B$646,2,0),"")</f>
        <v>Campinas</v>
      </c>
      <c r="AE157" s="10">
        <f>IFERROR(VLOOKUP(Form_Responses[[#This Row],[Município]],'Regiões Administrativas'!$A$1:$I$646,3,0),"")</f>
        <v>17290</v>
      </c>
      <c r="AF157" s="10">
        <f>IFERROR(VLOOKUP(Form_Responses[[#This Row],[Município]],'Regiões Administrativas'!$A$1:$I$646,4,0),"")</f>
        <v>355080305000001</v>
      </c>
      <c r="AG157" s="10">
        <f>IFERROR(VLOOKUP(Form_Responses[[#This Row],[Município]],'Regiões Administrativas'!$A$1:$I$646,4,0),"")</f>
        <v>355080305000001</v>
      </c>
      <c r="AH157" s="10">
        <f>IFERROR(VLOOKUP(B157,'Regiões Administrativas'!$A$1:$I$646,5,0),"")</f>
        <v>3550803</v>
      </c>
      <c r="AI157" s="10">
        <f>IFERROR(VLOOKUP(B157,'Regiões Administrativas'!$A$1:$I$646,6,0),"")</f>
        <v>-46.824127599999997</v>
      </c>
      <c r="AJ157" s="10">
        <f>IFERROR(VLOOKUP(B157,'Regiões Administrativas'!$A$1:$I$646,8,0),"")</f>
        <v>929.72258999999997</v>
      </c>
      <c r="AK157" s="10" t="str">
        <f>IFERROR(VLOOKUP(Form_Responses[[#This Row],[Município]],'Regiões Administrativas'!$A$1:$I$646,9,0),"")</f>
        <v>1J6ti,;T9AH-</v>
      </c>
    </row>
    <row r="158" spans="1:37" ht="22.5" customHeight="1">
      <c r="A158" s="13">
        <v>46020.514552303241</v>
      </c>
      <c r="B158" s="1" t="s">
        <v>271</v>
      </c>
      <c r="C158" s="1" t="s">
        <v>272</v>
      </c>
      <c r="D158" s="1" t="s">
        <v>938</v>
      </c>
      <c r="E158" s="1" t="s">
        <v>939</v>
      </c>
      <c r="F158" s="1"/>
      <c r="G158" s="1" t="s">
        <v>940</v>
      </c>
      <c r="H158" s="1"/>
      <c r="I158" s="1" t="s">
        <v>72</v>
      </c>
      <c r="J158" s="7">
        <v>46230</v>
      </c>
      <c r="K158" s="7">
        <v>46230</v>
      </c>
      <c r="L158" s="1"/>
      <c r="M158" s="1"/>
      <c r="N158" s="1" t="s">
        <v>44</v>
      </c>
      <c r="O158" s="1" t="s">
        <v>221</v>
      </c>
      <c r="P158" s="1" t="s">
        <v>221</v>
      </c>
      <c r="Q158" s="1" t="s">
        <v>47</v>
      </c>
      <c r="R158" s="1" t="s">
        <v>74</v>
      </c>
      <c r="S158" s="1">
        <v>7000</v>
      </c>
      <c r="T158" s="1">
        <v>5000</v>
      </c>
      <c r="U158" s="1">
        <v>4500</v>
      </c>
      <c r="V158" s="1"/>
      <c r="W158" s="1" t="s">
        <v>941</v>
      </c>
      <c r="X158" s="1"/>
      <c r="Y158" s="1" t="s">
        <v>942</v>
      </c>
      <c r="Z158" s="1" t="s">
        <v>66</v>
      </c>
      <c r="AA158" s="1" t="s">
        <v>66</v>
      </c>
      <c r="AB158" s="10" t="s">
        <v>66</v>
      </c>
      <c r="AC158" s="10" t="s">
        <v>68</v>
      </c>
      <c r="AD158" s="10" t="str">
        <f>IFERROR(VLOOKUP(B158,'Regiões Administrativas'!$A$1:$B$646,2,0),"")</f>
        <v>RMSP</v>
      </c>
      <c r="AE158" s="10">
        <f>IFERROR(VLOOKUP(Form_Responses[[#This Row],[Município]],'Regiões Administrativas'!$A$1:$I$646,3,0),"")</f>
        <v>16095</v>
      </c>
      <c r="AF158" s="10">
        <f>IFERROR(VLOOKUP(Form_Responses[[#This Row],[Município]],'Regiões Administrativas'!$A$1:$I$646,4,0),"")</f>
        <v>352220805000001</v>
      </c>
      <c r="AG158" s="10">
        <f>IFERROR(VLOOKUP(Form_Responses[[#This Row],[Município]],'Regiões Administrativas'!$A$1:$I$646,4,0),"")</f>
        <v>352220805000001</v>
      </c>
      <c r="AH158" s="10">
        <f>IFERROR(VLOOKUP(B158,'Regiões Administrativas'!$A$1:$I$646,5,0),"")</f>
        <v>3522208</v>
      </c>
      <c r="AI158" s="10">
        <f>IFERROR(VLOOKUP(B158,'Regiões Administrativas'!$A$1:$I$646,6,0),"")</f>
        <v>-46.850552</v>
      </c>
      <c r="AJ158" s="10">
        <f>IFERROR(VLOOKUP(B158,'Regiões Administrativas'!$A$1:$I$646,8,0),"")</f>
        <v>905.95026900000005</v>
      </c>
      <c r="AK158" s="10" t="str">
        <f>IFERROR(VLOOKUP(Form_Responses[[#This Row],[Município]],'Regiões Administrativas'!$A$1:$I$646,9,0),"")</f>
        <v>1J6to^L]J:6f</v>
      </c>
    </row>
    <row r="159" spans="1:37" ht="22.5" customHeight="1">
      <c r="A159" s="5">
        <v>46020.638805428243</v>
      </c>
      <c r="B159" s="1" t="s">
        <v>84</v>
      </c>
      <c r="C159" s="1" t="s">
        <v>85</v>
      </c>
      <c r="D159" s="1" t="s">
        <v>943</v>
      </c>
      <c r="E159" s="1" t="s">
        <v>944</v>
      </c>
      <c r="F159" s="1"/>
      <c r="G159" s="1" t="s">
        <v>945</v>
      </c>
      <c r="H159" s="6" t="s">
        <v>946</v>
      </c>
      <c r="I159" s="1" t="s">
        <v>128</v>
      </c>
      <c r="J159" s="7">
        <v>46115</v>
      </c>
      <c r="K159" s="7">
        <v>46115</v>
      </c>
      <c r="L159" s="11">
        <v>0.79166666666424135</v>
      </c>
      <c r="M159" s="11">
        <v>0.91666666666424135</v>
      </c>
      <c r="N159" s="1" t="s">
        <v>44</v>
      </c>
      <c r="O159" s="1" t="s">
        <v>221</v>
      </c>
      <c r="P159" s="1" t="s">
        <v>302</v>
      </c>
      <c r="Q159" s="1" t="s">
        <v>47</v>
      </c>
      <c r="R159" s="1" t="s">
        <v>74</v>
      </c>
      <c r="S159" s="1">
        <v>2000</v>
      </c>
      <c r="T159" s="1">
        <v>1500</v>
      </c>
      <c r="U159" s="1">
        <v>1500</v>
      </c>
      <c r="V159" s="1">
        <v>1000</v>
      </c>
      <c r="W159" s="1" t="s">
        <v>947</v>
      </c>
      <c r="X159" s="1" t="s">
        <v>683</v>
      </c>
      <c r="Y159" s="1" t="s">
        <v>948</v>
      </c>
      <c r="Z159" s="1" t="s">
        <v>76</v>
      </c>
      <c r="AA159" s="1" t="s">
        <v>113</v>
      </c>
      <c r="AB159" s="10" t="s">
        <v>344</v>
      </c>
      <c r="AC159" s="10" t="s">
        <v>68</v>
      </c>
      <c r="AD159" s="10" t="str">
        <f>IFERROR(VLOOKUP(B159,'Regiões Administrativas'!$A$1:$B$646,2,0),"")</f>
        <v>Campinas</v>
      </c>
      <c r="AE159" s="10">
        <f>IFERROR(VLOOKUP(Form_Responses[[#This Row],[Município]],'Regiões Administrativas'!$A$1:$I$646,3,0),"")</f>
        <v>17171</v>
      </c>
      <c r="AF159" s="10">
        <f>IFERROR(VLOOKUP(Form_Responses[[#This Row],[Município]],'Regiões Administrativas'!$A$1:$I$646,4,0),"")</f>
        <v>354970605000001</v>
      </c>
      <c r="AG159" s="10">
        <f>IFERROR(VLOOKUP(Form_Responses[[#This Row],[Município]],'Regiões Administrativas'!$A$1:$I$646,4,0),"")</f>
        <v>354970605000001</v>
      </c>
      <c r="AH159" s="10">
        <f>IFERROR(VLOOKUP(B159,'Regiões Administrativas'!$A$1:$I$646,5,0),"")</f>
        <v>3549706</v>
      </c>
      <c r="AI159" s="10">
        <f>IFERROR(VLOOKUP(B159,'Regiões Administrativas'!$A$1:$I$646,6,0),"")</f>
        <v>-46.8882659</v>
      </c>
      <c r="AJ159" s="10">
        <f>IFERROR(VLOOKUP(B159,'Regiões Administrativas'!$A$1:$I$646,8,0),"")</f>
        <v>718.57108200000005</v>
      </c>
      <c r="AK159" s="10" t="str">
        <f>IFERROR(VLOOKUP(Form_Responses[[#This Row],[Município]],'Regiões Administrativas'!$A$1:$I$646,9,0),"")</f>
        <v>1J6t_zRG&lt;GU-</v>
      </c>
    </row>
    <row r="160" spans="1:37" ht="22.5" customHeight="1">
      <c r="A160" s="13">
        <v>46020.646151712965</v>
      </c>
      <c r="B160" s="1" t="s">
        <v>84</v>
      </c>
      <c r="C160" s="1" t="s">
        <v>85</v>
      </c>
      <c r="D160" s="1" t="s">
        <v>949</v>
      </c>
      <c r="E160" s="1" t="s">
        <v>950</v>
      </c>
      <c r="F160" s="1"/>
      <c r="G160" s="1" t="s">
        <v>951</v>
      </c>
      <c r="H160" s="6" t="s">
        <v>952</v>
      </c>
      <c r="I160" s="1" t="s">
        <v>72</v>
      </c>
      <c r="J160" s="7">
        <v>46226</v>
      </c>
      <c r="K160" s="7">
        <v>46229</v>
      </c>
      <c r="L160" s="11">
        <v>0.33333333333575865</v>
      </c>
      <c r="M160" s="11">
        <v>0.875</v>
      </c>
      <c r="N160" s="1" t="s">
        <v>268</v>
      </c>
      <c r="O160" s="1" t="s">
        <v>142</v>
      </c>
      <c r="P160" s="1" t="s">
        <v>235</v>
      </c>
      <c r="Q160" s="1" t="s">
        <v>47</v>
      </c>
      <c r="R160" s="1" t="s">
        <v>48</v>
      </c>
      <c r="S160" s="1">
        <v>20000</v>
      </c>
      <c r="T160" s="1">
        <v>15000</v>
      </c>
      <c r="U160" s="1">
        <v>0</v>
      </c>
      <c r="V160" s="1">
        <v>0</v>
      </c>
      <c r="W160" s="1" t="s">
        <v>953</v>
      </c>
      <c r="X160" s="1"/>
      <c r="Y160" s="1" t="s">
        <v>954</v>
      </c>
      <c r="Z160" s="1" t="s">
        <v>632</v>
      </c>
      <c r="AA160" s="1" t="s">
        <v>93</v>
      </c>
      <c r="AB160" s="10" t="s">
        <v>344</v>
      </c>
      <c r="AC160" s="10" t="s">
        <v>68</v>
      </c>
      <c r="AD160" s="10" t="str">
        <f>IFERROR(VLOOKUP(B160,'Regiões Administrativas'!$A$1:$B$646,2,0),"")</f>
        <v>Campinas</v>
      </c>
      <c r="AE160" s="10">
        <f>IFERROR(VLOOKUP(Form_Responses[[#This Row],[Município]],'Regiões Administrativas'!$A$1:$I$646,3,0),"")</f>
        <v>17171</v>
      </c>
      <c r="AF160" s="10">
        <f>IFERROR(VLOOKUP(Form_Responses[[#This Row],[Município]],'Regiões Administrativas'!$A$1:$I$646,4,0),"")</f>
        <v>354970605000001</v>
      </c>
      <c r="AG160" s="10">
        <f>IFERROR(VLOOKUP(Form_Responses[[#This Row],[Município]],'Regiões Administrativas'!$A$1:$I$646,4,0),"")</f>
        <v>354970605000001</v>
      </c>
      <c r="AH160" s="10">
        <f>IFERROR(VLOOKUP(B160,'Regiões Administrativas'!$A$1:$I$646,5,0),"")</f>
        <v>3549706</v>
      </c>
      <c r="AI160" s="10">
        <f>IFERROR(VLOOKUP(B160,'Regiões Administrativas'!$A$1:$I$646,6,0),"")</f>
        <v>-46.8882659</v>
      </c>
      <c r="AJ160" s="10">
        <f>IFERROR(VLOOKUP(B160,'Regiões Administrativas'!$A$1:$I$646,8,0),"")</f>
        <v>718.57108200000005</v>
      </c>
      <c r="AK160" s="10" t="str">
        <f>IFERROR(VLOOKUP(Form_Responses[[#This Row],[Município]],'Regiões Administrativas'!$A$1:$I$646,9,0),"")</f>
        <v>1J6t_zRG&lt;GU-</v>
      </c>
    </row>
    <row r="161" spans="1:37" ht="22.5" customHeight="1">
      <c r="A161" s="13">
        <v>46020.653711168983</v>
      </c>
      <c r="B161" s="1" t="s">
        <v>84</v>
      </c>
      <c r="C161" s="1" t="s">
        <v>85</v>
      </c>
      <c r="D161" s="1" t="s">
        <v>955</v>
      </c>
      <c r="E161" s="1" t="s">
        <v>956</v>
      </c>
      <c r="F161" s="1"/>
      <c r="G161" s="1" t="s">
        <v>957</v>
      </c>
      <c r="H161" s="1" t="s">
        <v>958</v>
      </c>
      <c r="I161" s="1" t="s">
        <v>72</v>
      </c>
      <c r="J161" s="7">
        <v>46212</v>
      </c>
      <c r="K161" s="7">
        <v>46215</v>
      </c>
      <c r="L161" s="11">
        <v>0.58333333333575865</v>
      </c>
      <c r="M161" s="11">
        <v>0.66666666666424135</v>
      </c>
      <c r="N161" s="1" t="s">
        <v>268</v>
      </c>
      <c r="O161" s="1" t="s">
        <v>45</v>
      </c>
      <c r="P161" s="1" t="s">
        <v>99</v>
      </c>
      <c r="Q161" s="1" t="s">
        <v>47</v>
      </c>
      <c r="R161" s="1" t="s">
        <v>74</v>
      </c>
      <c r="S161" s="1">
        <v>5000</v>
      </c>
      <c r="T161" s="1">
        <v>4000</v>
      </c>
      <c r="U161" s="1">
        <v>4000</v>
      </c>
      <c r="V161" s="1">
        <v>3000</v>
      </c>
      <c r="W161" s="1" t="s">
        <v>959</v>
      </c>
      <c r="X161" s="1" t="s">
        <v>683</v>
      </c>
      <c r="Y161" s="1" t="s">
        <v>948</v>
      </c>
      <c r="Z161" s="1" t="s">
        <v>76</v>
      </c>
      <c r="AA161" s="1" t="s">
        <v>113</v>
      </c>
      <c r="AB161" s="10" t="s">
        <v>66</v>
      </c>
      <c r="AC161" s="10" t="s">
        <v>68</v>
      </c>
      <c r="AD161" s="10" t="str">
        <f>IFERROR(VLOOKUP(B161,'Regiões Administrativas'!$A$1:$B$646,2,0),"")</f>
        <v>Campinas</v>
      </c>
      <c r="AE161" s="10">
        <f>IFERROR(VLOOKUP(Form_Responses[[#This Row],[Município]],'Regiões Administrativas'!$A$1:$I$646,3,0),"")</f>
        <v>17171</v>
      </c>
      <c r="AF161" s="10">
        <f>IFERROR(VLOOKUP(Form_Responses[[#This Row],[Município]],'Regiões Administrativas'!$A$1:$I$646,4,0),"")</f>
        <v>354970605000001</v>
      </c>
      <c r="AG161" s="10">
        <f>IFERROR(VLOOKUP(Form_Responses[[#This Row],[Município]],'Regiões Administrativas'!$A$1:$I$646,4,0),"")</f>
        <v>354970605000001</v>
      </c>
      <c r="AH161" s="10">
        <f>IFERROR(VLOOKUP(B161,'Regiões Administrativas'!$A$1:$I$646,5,0),"")</f>
        <v>3549706</v>
      </c>
      <c r="AI161" s="10">
        <f>IFERROR(VLOOKUP(B161,'Regiões Administrativas'!$A$1:$I$646,6,0),"")</f>
        <v>-46.8882659</v>
      </c>
      <c r="AJ161" s="10">
        <f>IFERROR(VLOOKUP(B161,'Regiões Administrativas'!$A$1:$I$646,8,0),"")</f>
        <v>718.57108200000005</v>
      </c>
      <c r="AK161" s="10" t="str">
        <f>IFERROR(VLOOKUP(Form_Responses[[#This Row],[Município]],'Regiões Administrativas'!$A$1:$I$646,9,0),"")</f>
        <v>1J6t_zRG&lt;GU-</v>
      </c>
    </row>
    <row r="162" spans="1:37" ht="22.5" customHeight="1">
      <c r="A162" s="5">
        <v>46021.42567060185</v>
      </c>
      <c r="B162" s="1" t="s">
        <v>919</v>
      </c>
      <c r="C162" s="1" t="s">
        <v>417</v>
      </c>
      <c r="D162" s="1" t="s">
        <v>960</v>
      </c>
      <c r="E162" s="1" t="s">
        <v>961</v>
      </c>
      <c r="F162" s="1"/>
      <c r="G162" s="1" t="s">
        <v>962</v>
      </c>
      <c r="H162" s="6" t="s">
        <v>963</v>
      </c>
      <c r="I162" s="1" t="s">
        <v>128</v>
      </c>
      <c r="J162" s="7">
        <v>46117</v>
      </c>
      <c r="K162" s="7">
        <v>46125</v>
      </c>
      <c r="L162" s="11">
        <v>0.41666666666424135</v>
      </c>
      <c r="M162" s="11">
        <v>0.95833333333575865</v>
      </c>
      <c r="N162" s="1" t="s">
        <v>44</v>
      </c>
      <c r="O162" s="1" t="s">
        <v>221</v>
      </c>
      <c r="P162" s="1" t="s">
        <v>221</v>
      </c>
      <c r="Q162" s="1" t="s">
        <v>47</v>
      </c>
      <c r="R162" s="1" t="s">
        <v>48</v>
      </c>
      <c r="S162" s="8">
        <v>300000</v>
      </c>
      <c r="T162" s="1"/>
      <c r="U162" s="1"/>
      <c r="V162" s="1"/>
      <c r="W162" s="1" t="s">
        <v>964</v>
      </c>
      <c r="X162" s="1"/>
      <c r="Y162" s="1" t="s">
        <v>965</v>
      </c>
      <c r="Z162" s="1" t="s">
        <v>76</v>
      </c>
      <c r="AA162" s="1" t="s">
        <v>225</v>
      </c>
      <c r="AB162" s="10" t="s">
        <v>207</v>
      </c>
      <c r="AC162" s="10" t="s">
        <v>68</v>
      </c>
      <c r="AD162" s="10" t="str">
        <f>IFERROR(VLOOKUP(B162,'Regiões Administrativas'!$A$1:$B$646,2,0),"")</f>
        <v>São José dos Campos</v>
      </c>
      <c r="AE162" s="10">
        <f>IFERROR(VLOOKUP(Form_Responses[[#This Row],[Município]],'Regiões Administrativas'!$A$1:$I$646,3,0),"")</f>
        <v>15403</v>
      </c>
      <c r="AF162" s="10">
        <f>IFERROR(VLOOKUP(Form_Responses[[#This Row],[Município]],'Regiões Administrativas'!$A$1:$I$646,4,0),"")</f>
        <v>350250705000001</v>
      </c>
      <c r="AG162" s="10">
        <f>IFERROR(VLOOKUP(Form_Responses[[#This Row],[Município]],'Regiões Administrativas'!$A$1:$I$646,4,0),"")</f>
        <v>350250705000001</v>
      </c>
      <c r="AH162" s="10">
        <f>IFERROR(VLOOKUP(B162,'Regiões Administrativas'!$A$1:$I$646,5,0),"")</f>
        <v>3502507</v>
      </c>
      <c r="AI162" s="10">
        <f>IFERROR(VLOOKUP(B162,'Regiões Administrativas'!$A$1:$I$646,6,0),"")</f>
        <v>-45.2294293</v>
      </c>
      <c r="AJ162" s="10">
        <f>IFERROR(VLOOKUP(B162,'Regiões Administrativas'!$A$1:$I$646,8,0),"")</f>
        <v>582.26043400000003</v>
      </c>
      <c r="AK162" s="10" t="str">
        <f>IFERROR(VLOOKUP(Form_Responses[[#This Row],[Município]],'Regiões Administrativas'!$A$1:$I$646,9,0),"")</f>
        <v>1J6tv24ZES&lt;f</v>
      </c>
    </row>
    <row r="163" spans="1:37" ht="22.5" customHeight="1">
      <c r="A163" s="13">
        <v>46021.434507939819</v>
      </c>
      <c r="B163" s="1" t="s">
        <v>919</v>
      </c>
      <c r="C163" s="1" t="s">
        <v>417</v>
      </c>
      <c r="D163" s="1" t="s">
        <v>966</v>
      </c>
      <c r="E163" s="1" t="s">
        <v>967</v>
      </c>
      <c r="F163" s="1" t="s">
        <v>968</v>
      </c>
      <c r="G163" s="1" t="s">
        <v>969</v>
      </c>
      <c r="H163" s="1"/>
      <c r="I163" s="1" t="s">
        <v>60</v>
      </c>
      <c r="J163" s="7">
        <v>46177</v>
      </c>
      <c r="K163" s="7">
        <v>46177</v>
      </c>
      <c r="L163" s="11">
        <v>0.70833333333575865</v>
      </c>
      <c r="M163" s="11">
        <v>0.875</v>
      </c>
      <c r="N163" s="1" t="s">
        <v>44</v>
      </c>
      <c r="O163" s="1" t="s">
        <v>221</v>
      </c>
      <c r="P163" s="1" t="s">
        <v>302</v>
      </c>
      <c r="Q163" s="1" t="s">
        <v>47</v>
      </c>
      <c r="R163" s="1" t="s">
        <v>48</v>
      </c>
      <c r="S163" s="8">
        <v>170000</v>
      </c>
      <c r="T163" s="1"/>
      <c r="U163" s="1"/>
      <c r="V163" s="1"/>
      <c r="W163" s="1" t="s">
        <v>970</v>
      </c>
      <c r="X163" s="1"/>
      <c r="Y163" s="1" t="s">
        <v>965</v>
      </c>
      <c r="Z163" s="1" t="s">
        <v>66</v>
      </c>
      <c r="AA163" s="1" t="s">
        <v>225</v>
      </c>
      <c r="AB163" s="10" t="s">
        <v>66</v>
      </c>
      <c r="AC163" s="10" t="s">
        <v>68</v>
      </c>
      <c r="AD163" s="10" t="str">
        <f>IFERROR(VLOOKUP(B163,'Regiões Administrativas'!$A$1:$B$646,2,0),"")</f>
        <v>São José dos Campos</v>
      </c>
      <c r="AE163" s="10">
        <f>IFERROR(VLOOKUP(Form_Responses[[#This Row],[Município]],'Regiões Administrativas'!$A$1:$I$646,3,0),"")</f>
        <v>15403</v>
      </c>
      <c r="AF163" s="10">
        <f>IFERROR(VLOOKUP(Form_Responses[[#This Row],[Município]],'Regiões Administrativas'!$A$1:$I$646,4,0),"")</f>
        <v>350250705000001</v>
      </c>
      <c r="AG163" s="10">
        <f>IFERROR(VLOOKUP(Form_Responses[[#This Row],[Município]],'Regiões Administrativas'!$A$1:$I$646,4,0),"")</f>
        <v>350250705000001</v>
      </c>
      <c r="AH163" s="10">
        <f>IFERROR(VLOOKUP(B163,'Regiões Administrativas'!$A$1:$I$646,5,0),"")</f>
        <v>3502507</v>
      </c>
      <c r="AI163" s="10">
        <f>IFERROR(VLOOKUP(B163,'Regiões Administrativas'!$A$1:$I$646,6,0),"")</f>
        <v>-45.2294293</v>
      </c>
      <c r="AJ163" s="10">
        <f>IFERROR(VLOOKUP(B163,'Regiões Administrativas'!$A$1:$I$646,8,0),"")</f>
        <v>582.26043400000003</v>
      </c>
      <c r="AK163" s="10" t="str">
        <f>IFERROR(VLOOKUP(Form_Responses[[#This Row],[Município]],'Regiões Administrativas'!$A$1:$I$646,9,0),"")</f>
        <v>1J6tv24ZES&lt;f</v>
      </c>
    </row>
    <row r="164" spans="1:37" ht="22.5" customHeight="1">
      <c r="A164" s="13">
        <v>46021.456540960644</v>
      </c>
      <c r="B164" s="1" t="s">
        <v>919</v>
      </c>
      <c r="C164" s="1" t="s">
        <v>417</v>
      </c>
      <c r="D164" s="1" t="s">
        <v>971</v>
      </c>
      <c r="E164" s="1" t="s">
        <v>972</v>
      </c>
      <c r="F164" s="1" t="s">
        <v>973</v>
      </c>
      <c r="G164" s="1" t="s">
        <v>974</v>
      </c>
      <c r="H164" s="6" t="s">
        <v>975</v>
      </c>
      <c r="I164" s="1" t="s">
        <v>255</v>
      </c>
      <c r="J164" s="7">
        <v>46298</v>
      </c>
      <c r="K164" s="7">
        <v>46307</v>
      </c>
      <c r="L164" s="11">
        <v>0.625</v>
      </c>
      <c r="M164" s="11">
        <v>0.95833333333575865</v>
      </c>
      <c r="N164" s="1" t="s">
        <v>44</v>
      </c>
      <c r="O164" s="1" t="s">
        <v>221</v>
      </c>
      <c r="P164" s="1" t="s">
        <v>221</v>
      </c>
      <c r="Q164" s="1" t="s">
        <v>47</v>
      </c>
      <c r="R164" s="1" t="s">
        <v>230</v>
      </c>
      <c r="S164" s="8">
        <v>500000</v>
      </c>
      <c r="T164" s="1"/>
      <c r="U164" s="1"/>
      <c r="V164" s="1"/>
      <c r="W164" s="1" t="s">
        <v>976</v>
      </c>
      <c r="X164" s="1"/>
      <c r="Y164" s="1" t="s">
        <v>977</v>
      </c>
      <c r="Z164" s="1" t="s">
        <v>52</v>
      </c>
      <c r="AA164" s="1" t="s">
        <v>978</v>
      </c>
      <c r="AB164" s="10" t="s">
        <v>344</v>
      </c>
      <c r="AC164" s="10" t="s">
        <v>68</v>
      </c>
      <c r="AD164" s="10" t="str">
        <f>IFERROR(VLOOKUP(B164,'Regiões Administrativas'!$A$1:$B$646,2,0),"")</f>
        <v>São José dos Campos</v>
      </c>
      <c r="AE164" s="10">
        <f>IFERROR(VLOOKUP(Form_Responses[[#This Row],[Município]],'Regiões Administrativas'!$A$1:$I$646,3,0),"")</f>
        <v>15403</v>
      </c>
      <c r="AF164" s="10">
        <f>IFERROR(VLOOKUP(Form_Responses[[#This Row],[Município]],'Regiões Administrativas'!$A$1:$I$646,4,0),"")</f>
        <v>350250705000001</v>
      </c>
      <c r="AG164" s="10">
        <f>IFERROR(VLOOKUP(Form_Responses[[#This Row],[Município]],'Regiões Administrativas'!$A$1:$I$646,4,0),"")</f>
        <v>350250705000001</v>
      </c>
      <c r="AH164" s="10">
        <f>IFERROR(VLOOKUP(B164,'Regiões Administrativas'!$A$1:$I$646,5,0),"")</f>
        <v>3502507</v>
      </c>
      <c r="AI164" s="10">
        <f>IFERROR(VLOOKUP(B164,'Regiões Administrativas'!$A$1:$I$646,6,0),"")</f>
        <v>-45.2294293</v>
      </c>
      <c r="AJ164" s="10">
        <f>IFERROR(VLOOKUP(B164,'Regiões Administrativas'!$A$1:$I$646,8,0),"")</f>
        <v>582.26043400000003</v>
      </c>
      <c r="AK164" s="10" t="str">
        <f>IFERROR(VLOOKUP(Form_Responses[[#This Row],[Município]],'Regiões Administrativas'!$A$1:$I$646,9,0),"")</f>
        <v>1J6tv24ZES&lt;f</v>
      </c>
    </row>
    <row r="165" spans="1:37" ht="22.5" customHeight="1">
      <c r="A165" s="5">
        <v>46027.412393333332</v>
      </c>
      <c r="B165" s="1" t="s">
        <v>979</v>
      </c>
      <c r="C165" s="1" t="s">
        <v>175</v>
      </c>
      <c r="D165" s="1" t="s">
        <v>980</v>
      </c>
      <c r="E165" s="1" t="s">
        <v>981</v>
      </c>
      <c r="F165" s="1"/>
      <c r="G165" s="1" t="s">
        <v>982</v>
      </c>
      <c r="H165" s="1"/>
      <c r="I165" s="1" t="s">
        <v>267</v>
      </c>
      <c r="J165" s="7">
        <v>46045</v>
      </c>
      <c r="K165" s="7">
        <v>46047</v>
      </c>
      <c r="L165" s="11">
        <v>0.70833333333575865</v>
      </c>
      <c r="M165" s="11">
        <v>0.95833333333575865</v>
      </c>
      <c r="N165" s="1" t="s">
        <v>44</v>
      </c>
      <c r="O165" s="1" t="s">
        <v>190</v>
      </c>
      <c r="P165" s="1" t="s">
        <v>235</v>
      </c>
      <c r="Q165" s="1" t="s">
        <v>47</v>
      </c>
      <c r="R165" s="1" t="s">
        <v>256</v>
      </c>
      <c r="S165" s="1">
        <v>1000</v>
      </c>
      <c r="T165" s="1">
        <v>500</v>
      </c>
      <c r="U165" s="1">
        <v>500</v>
      </c>
      <c r="V165" s="1">
        <v>500</v>
      </c>
      <c r="W165" s="1" t="s">
        <v>983</v>
      </c>
      <c r="X165" s="1" t="s">
        <v>984</v>
      </c>
      <c r="Y165" s="1" t="s">
        <v>985</v>
      </c>
      <c r="Z165" s="1" t="s">
        <v>66</v>
      </c>
      <c r="AA165" s="1" t="s">
        <v>225</v>
      </c>
      <c r="AB165" s="10" t="s">
        <v>66</v>
      </c>
      <c r="AC165" s="10" t="s">
        <v>68</v>
      </c>
      <c r="AD165" s="10" t="str">
        <f>IFERROR(VLOOKUP(B165,'Regiões Administrativas'!$A$1:$B$646,2,0),"")</f>
        <v>Registro</v>
      </c>
      <c r="AE165" s="10">
        <f>IFERROR(VLOOKUP(Form_Responses[[#This Row],[Município]],'Regiões Administrativas'!$A$1:$I$646,3,0),"")</f>
        <v>15544</v>
      </c>
      <c r="AF165" s="10">
        <f>IFERROR(VLOOKUP(Form_Responses[[#This Row],[Município]],'Regiões Administrativas'!$A$1:$I$646,4,0),"")</f>
        <v>350540105000001</v>
      </c>
      <c r="AG165" s="10">
        <f>IFERROR(VLOOKUP(Form_Responses[[#This Row],[Município]],'Regiões Administrativas'!$A$1:$I$646,4,0),"")</f>
        <v>350540105000001</v>
      </c>
      <c r="AH165" s="10">
        <f>IFERROR(VLOOKUP(B165,'Regiões Administrativas'!$A$1:$I$646,5,0),"")</f>
        <v>3505401</v>
      </c>
      <c r="AI165" s="10">
        <f>IFERROR(VLOOKUP(B165,'Regiões Administrativas'!$A$1:$I$646,6,0),"")</f>
        <v>-48.502343500000002</v>
      </c>
      <c r="AJ165" s="10">
        <f>IFERROR(VLOOKUP(B165,'Regiões Administrativas'!$A$1:$I$646,8,0),"")</f>
        <v>153.957954</v>
      </c>
      <c r="AK165" s="10" t="str">
        <f>IFERROR(VLOOKUP(Form_Responses[[#This Row],[Município]],'Regiões Administrativas'!$A$1:$I$646,9,0),"")</f>
        <v>1J6S9?hG4z1-</v>
      </c>
    </row>
    <row r="166" spans="1:37" ht="22.5" customHeight="1">
      <c r="A166" s="5">
        <v>46027.422038101853</v>
      </c>
      <c r="B166" s="1" t="s">
        <v>979</v>
      </c>
      <c r="C166" s="1" t="s">
        <v>175</v>
      </c>
      <c r="D166" s="1" t="s">
        <v>986</v>
      </c>
      <c r="E166" s="1" t="s">
        <v>987</v>
      </c>
      <c r="F166" s="1"/>
      <c r="G166" s="1" t="s">
        <v>988</v>
      </c>
      <c r="H166" s="6" t="s">
        <v>989</v>
      </c>
      <c r="I166" s="1" t="s">
        <v>109</v>
      </c>
      <c r="J166" s="7">
        <v>46102</v>
      </c>
      <c r="K166" s="7">
        <v>46103</v>
      </c>
      <c r="L166" s="11">
        <v>0.375</v>
      </c>
      <c r="M166" s="11">
        <v>0</v>
      </c>
      <c r="N166" s="1" t="s">
        <v>110</v>
      </c>
      <c r="O166" s="1" t="s">
        <v>99</v>
      </c>
      <c r="P166" s="1" t="s">
        <v>99</v>
      </c>
      <c r="Q166" s="1" t="s">
        <v>47</v>
      </c>
      <c r="R166" s="1" t="s">
        <v>256</v>
      </c>
      <c r="S166" s="1">
        <v>600</v>
      </c>
      <c r="T166" s="1">
        <v>500</v>
      </c>
      <c r="U166" s="1">
        <v>500</v>
      </c>
      <c r="V166" s="1">
        <v>500</v>
      </c>
      <c r="W166" s="1" t="s">
        <v>990</v>
      </c>
      <c r="X166" s="6" t="s">
        <v>989</v>
      </c>
      <c r="Y166" s="1" t="s">
        <v>991</v>
      </c>
      <c r="Z166" s="1" t="s">
        <v>992</v>
      </c>
      <c r="AA166" s="1" t="s">
        <v>993</v>
      </c>
      <c r="AB166" s="10" t="s">
        <v>66</v>
      </c>
      <c r="AC166" s="10" t="s">
        <v>68</v>
      </c>
      <c r="AD166" s="10" t="str">
        <f>IFERROR(VLOOKUP(B166,'Regiões Administrativas'!$A$1:$B$646,2,0),"")</f>
        <v>Registro</v>
      </c>
      <c r="AE166" s="10">
        <f>IFERROR(VLOOKUP(Form_Responses[[#This Row],[Município]],'Regiões Administrativas'!$A$1:$I$646,3,0),"")</f>
        <v>15544</v>
      </c>
      <c r="AF166" s="10">
        <f>IFERROR(VLOOKUP(Form_Responses[[#This Row],[Município]],'Regiões Administrativas'!$A$1:$I$646,4,0),"")</f>
        <v>350540105000001</v>
      </c>
      <c r="AG166" s="10">
        <f>IFERROR(VLOOKUP(Form_Responses[[#This Row],[Município]],'Regiões Administrativas'!$A$1:$I$646,4,0),"")</f>
        <v>350540105000001</v>
      </c>
      <c r="AH166" s="10">
        <f>IFERROR(VLOOKUP(B166,'Regiões Administrativas'!$A$1:$I$646,5,0),"")</f>
        <v>3505401</v>
      </c>
      <c r="AI166" s="10">
        <f>IFERROR(VLOOKUP(B166,'Regiões Administrativas'!$A$1:$I$646,6,0),"")</f>
        <v>-48.502343500000002</v>
      </c>
      <c r="AJ166" s="10">
        <f>IFERROR(VLOOKUP(B166,'Regiões Administrativas'!$A$1:$I$646,8,0),"")</f>
        <v>153.957954</v>
      </c>
      <c r="AK166" s="10" t="str">
        <f>IFERROR(VLOOKUP(Form_Responses[[#This Row],[Município]],'Regiões Administrativas'!$A$1:$I$646,9,0),"")</f>
        <v>1J6S9?hG4z1-</v>
      </c>
    </row>
    <row r="167" spans="1:37" ht="22.5" customHeight="1">
      <c r="A167" s="5">
        <v>46027.429036574074</v>
      </c>
      <c r="B167" s="1" t="s">
        <v>979</v>
      </c>
      <c r="C167" s="1" t="s">
        <v>175</v>
      </c>
      <c r="D167" s="1" t="s">
        <v>994</v>
      </c>
      <c r="E167" s="1" t="s">
        <v>995</v>
      </c>
      <c r="F167" s="1"/>
      <c r="G167" s="1" t="s">
        <v>996</v>
      </c>
      <c r="H167" s="6" t="s">
        <v>989</v>
      </c>
      <c r="I167" s="1" t="s">
        <v>128</v>
      </c>
      <c r="J167" s="1"/>
      <c r="K167" s="1"/>
      <c r="L167" s="11">
        <v>0.375</v>
      </c>
      <c r="M167" s="11">
        <v>0</v>
      </c>
      <c r="N167" s="1" t="s">
        <v>73</v>
      </c>
      <c r="O167" s="1" t="s">
        <v>62</v>
      </c>
      <c r="P167" s="1" t="s">
        <v>63</v>
      </c>
      <c r="Q167" s="1" t="s">
        <v>47</v>
      </c>
      <c r="R167" s="1" t="s">
        <v>74</v>
      </c>
      <c r="S167" s="1">
        <v>1000</v>
      </c>
      <c r="T167" s="1">
        <v>1000</v>
      </c>
      <c r="U167" s="1">
        <v>1000</v>
      </c>
      <c r="V167" s="1">
        <v>1000</v>
      </c>
      <c r="W167" s="1" t="s">
        <v>997</v>
      </c>
      <c r="X167" s="6" t="s">
        <v>989</v>
      </c>
      <c r="Y167" s="1" t="s">
        <v>998</v>
      </c>
      <c r="Z167" s="1" t="s">
        <v>66</v>
      </c>
      <c r="AA167" s="1" t="s">
        <v>66</v>
      </c>
      <c r="AB167" s="10" t="s">
        <v>66</v>
      </c>
      <c r="AC167" s="10" t="s">
        <v>55</v>
      </c>
      <c r="AD167" s="10" t="str">
        <f>IFERROR(VLOOKUP(B167,'Regiões Administrativas'!$A$1:$B$646,2,0),"")</f>
        <v>Registro</v>
      </c>
      <c r="AE167" s="10">
        <f>IFERROR(VLOOKUP(Form_Responses[[#This Row],[Município]],'Regiões Administrativas'!$A$1:$I$646,3,0),"")</f>
        <v>15544</v>
      </c>
      <c r="AF167" s="10">
        <f>IFERROR(VLOOKUP(Form_Responses[[#This Row],[Município]],'Regiões Administrativas'!$A$1:$I$646,4,0),"")</f>
        <v>350540105000001</v>
      </c>
      <c r="AG167" s="10">
        <f>IFERROR(VLOOKUP(Form_Responses[[#This Row],[Município]],'Regiões Administrativas'!$A$1:$I$646,4,0),"")</f>
        <v>350540105000001</v>
      </c>
      <c r="AH167" s="10">
        <f>IFERROR(VLOOKUP(B167,'Regiões Administrativas'!$A$1:$I$646,5,0),"")</f>
        <v>3505401</v>
      </c>
      <c r="AI167" s="10">
        <f>IFERROR(VLOOKUP(B167,'Regiões Administrativas'!$A$1:$I$646,6,0),"")</f>
        <v>-48.502343500000002</v>
      </c>
      <c r="AJ167" s="10">
        <f>IFERROR(VLOOKUP(B167,'Regiões Administrativas'!$A$1:$I$646,8,0),"")</f>
        <v>153.957954</v>
      </c>
      <c r="AK167" s="10" t="str">
        <f>IFERROR(VLOOKUP(Form_Responses[[#This Row],[Município]],'Regiões Administrativas'!$A$1:$I$646,9,0),"")</f>
        <v>1J6S9?hG4z1-</v>
      </c>
    </row>
    <row r="168" spans="1:37" ht="22.5" customHeight="1">
      <c r="A168" s="13">
        <v>46027.45422673611</v>
      </c>
      <c r="B168" s="1" t="s">
        <v>979</v>
      </c>
      <c r="C168" s="1" t="s">
        <v>175</v>
      </c>
      <c r="D168" s="1" t="s">
        <v>999</v>
      </c>
      <c r="E168" s="1" t="s">
        <v>1000</v>
      </c>
      <c r="F168" s="1"/>
      <c r="G168" s="1" t="s">
        <v>1001</v>
      </c>
      <c r="H168" s="1"/>
      <c r="I168" s="1" t="s">
        <v>60</v>
      </c>
      <c r="J168" s="7">
        <v>46186</v>
      </c>
      <c r="K168" s="7">
        <v>46187</v>
      </c>
      <c r="L168" s="11">
        <v>0.41666666666424135</v>
      </c>
      <c r="M168" s="11">
        <v>0</v>
      </c>
      <c r="N168" s="1" t="s">
        <v>44</v>
      </c>
      <c r="O168" s="1" t="s">
        <v>221</v>
      </c>
      <c r="P168" s="1" t="s">
        <v>221</v>
      </c>
      <c r="Q168" s="1" t="s">
        <v>47</v>
      </c>
      <c r="R168" s="1" t="s">
        <v>1002</v>
      </c>
      <c r="S168" s="1">
        <v>1000</v>
      </c>
      <c r="T168" s="1">
        <v>1000</v>
      </c>
      <c r="U168" s="1"/>
      <c r="V168" s="1">
        <v>1000</v>
      </c>
      <c r="W168" s="1">
        <v>1000</v>
      </c>
      <c r="X168" s="1"/>
      <c r="Y168" s="1" t="s">
        <v>1003</v>
      </c>
      <c r="Z168" s="1" t="s">
        <v>76</v>
      </c>
      <c r="AA168" s="1" t="s">
        <v>225</v>
      </c>
      <c r="AB168" s="10" t="s">
        <v>66</v>
      </c>
      <c r="AC168" s="10" t="s">
        <v>68</v>
      </c>
      <c r="AD168" s="10" t="str">
        <f>IFERROR(VLOOKUP(B168,'Regiões Administrativas'!$A$1:$B$646,2,0),"")</f>
        <v>Registro</v>
      </c>
      <c r="AE168" s="10">
        <f>IFERROR(VLOOKUP(Form_Responses[[#This Row],[Município]],'Regiões Administrativas'!$A$1:$I$646,3,0),"")</f>
        <v>15544</v>
      </c>
      <c r="AF168" s="10">
        <f>IFERROR(VLOOKUP(Form_Responses[[#This Row],[Município]],'Regiões Administrativas'!$A$1:$I$646,4,0),"")</f>
        <v>350540105000001</v>
      </c>
      <c r="AG168" s="10">
        <f>IFERROR(VLOOKUP(Form_Responses[[#This Row],[Município]],'Regiões Administrativas'!$A$1:$I$646,4,0),"")</f>
        <v>350540105000001</v>
      </c>
      <c r="AH168" s="10">
        <f>IFERROR(VLOOKUP(B168,'Regiões Administrativas'!$A$1:$I$646,5,0),"")</f>
        <v>3505401</v>
      </c>
      <c r="AI168" s="10">
        <f>IFERROR(VLOOKUP(B168,'Regiões Administrativas'!$A$1:$I$646,6,0),"")</f>
        <v>-48.502343500000002</v>
      </c>
      <c r="AJ168" s="10">
        <f>IFERROR(VLOOKUP(B168,'Regiões Administrativas'!$A$1:$I$646,8,0),"")</f>
        <v>153.957954</v>
      </c>
      <c r="AK168" s="10" t="str">
        <f>IFERROR(VLOOKUP(Form_Responses[[#This Row],[Município]],'Regiões Administrativas'!$A$1:$I$646,9,0),"")</f>
        <v>1J6S9?hG4z1-</v>
      </c>
    </row>
    <row r="169" spans="1:37" ht="22.5" customHeight="1">
      <c r="A169" s="5">
        <v>46027.459525428239</v>
      </c>
      <c r="B169" s="1" t="s">
        <v>1004</v>
      </c>
      <c r="C169" s="1" t="s">
        <v>1005</v>
      </c>
      <c r="D169" s="1" t="s">
        <v>1006</v>
      </c>
      <c r="E169" s="1" t="s">
        <v>1007</v>
      </c>
      <c r="F169" s="1" t="s">
        <v>1008</v>
      </c>
      <c r="G169" s="1" t="s">
        <v>1009</v>
      </c>
      <c r="H169" s="6" t="s">
        <v>1010</v>
      </c>
      <c r="I169" s="1" t="s">
        <v>267</v>
      </c>
      <c r="J169" s="7">
        <v>46039</v>
      </c>
      <c r="K169" s="7">
        <v>46039</v>
      </c>
      <c r="L169" s="11">
        <v>0.3125</v>
      </c>
      <c r="M169" s="11">
        <v>0.77083333333575865</v>
      </c>
      <c r="N169" s="1" t="s">
        <v>61</v>
      </c>
      <c r="O169" s="1" t="s">
        <v>436</v>
      </c>
      <c r="P169" s="1" t="s">
        <v>63</v>
      </c>
      <c r="Q169" s="1" t="s">
        <v>47</v>
      </c>
      <c r="R169" s="1" t="s">
        <v>230</v>
      </c>
      <c r="S169" s="1">
        <v>150</v>
      </c>
      <c r="T169" s="1">
        <v>110</v>
      </c>
      <c r="U169" s="1">
        <v>90</v>
      </c>
      <c r="V169" s="14" t="s">
        <v>1011</v>
      </c>
      <c r="W169" s="1" t="s">
        <v>1012</v>
      </c>
      <c r="X169" s="6" t="s">
        <v>1010</v>
      </c>
      <c r="Y169" s="1" t="s">
        <v>1013</v>
      </c>
      <c r="Z169" s="1" t="s">
        <v>66</v>
      </c>
      <c r="AA169" s="1" t="s">
        <v>113</v>
      </c>
      <c r="AB169" s="10" t="s">
        <v>66</v>
      </c>
      <c r="AC169" s="10" t="s">
        <v>55</v>
      </c>
      <c r="AD169" s="10" t="str">
        <f>IFERROR(VLOOKUP(B169,'Regiões Administrativas'!$A$1:$B$646,2,0),"")</f>
        <v>São José dos Campos</v>
      </c>
      <c r="AE169" s="10">
        <f>IFERROR(VLOOKUP(Form_Responses[[#This Row],[Município]],'Regiões Administrativas'!$A$1:$I$646,3,0),"")</f>
        <v>16711</v>
      </c>
      <c r="AF169" s="10">
        <f>IFERROR(VLOOKUP(Form_Responses[[#This Row],[Município]],'Regiões Administrativas'!$A$1:$I$646,4,0),"")</f>
        <v>353560605000001</v>
      </c>
      <c r="AG169" s="10">
        <f>IFERROR(VLOOKUP(Form_Responses[[#This Row],[Município]],'Regiões Administrativas'!$A$1:$I$646,4,0),"")</f>
        <v>353560605000001</v>
      </c>
      <c r="AH169" s="10">
        <f>IFERROR(VLOOKUP(B169,'Regiões Administrativas'!$A$1:$I$646,5,0),"")</f>
        <v>3535606</v>
      </c>
      <c r="AI169" s="10">
        <f>IFERROR(VLOOKUP(B169,'Regiões Administrativas'!$A$1:$I$646,6,0),"")</f>
        <v>-45.6628641</v>
      </c>
      <c r="AJ169" s="10">
        <f>IFERROR(VLOOKUP(B169,'Regiões Administrativas'!$A$1:$I$646,8,0),"")</f>
        <v>636.606582</v>
      </c>
      <c r="AK169" s="10" t="str">
        <f>IFERROR(VLOOKUP(Form_Responses[[#This Row],[Município]],'Regiões Administrativas'!$A$1:$I$646,9,0),"")</f>
        <v>1J6tOzEB1BHp</v>
      </c>
    </row>
    <row r="170" spans="1:37" ht="22.5" customHeight="1">
      <c r="A170" s="13">
        <v>46027.46819782407</v>
      </c>
      <c r="B170" s="1" t="s">
        <v>979</v>
      </c>
      <c r="C170" s="1" t="s">
        <v>175</v>
      </c>
      <c r="D170" s="1" t="s">
        <v>1014</v>
      </c>
      <c r="E170" s="1" t="s">
        <v>1015</v>
      </c>
      <c r="F170" s="1"/>
      <c r="G170" s="1" t="s">
        <v>1016</v>
      </c>
      <c r="H170" s="6" t="s">
        <v>989</v>
      </c>
      <c r="I170" s="1" t="s">
        <v>72</v>
      </c>
      <c r="J170" s="7">
        <v>46228</v>
      </c>
      <c r="K170" s="7">
        <v>46229</v>
      </c>
      <c r="L170" s="11">
        <v>0.375</v>
      </c>
      <c r="M170" s="11">
        <v>0</v>
      </c>
      <c r="N170" s="1" t="s">
        <v>61</v>
      </c>
      <c r="O170" s="1" t="s">
        <v>62</v>
      </c>
      <c r="P170" s="1" t="s">
        <v>63</v>
      </c>
      <c r="Q170" s="1" t="s">
        <v>47</v>
      </c>
      <c r="R170" s="1" t="s">
        <v>74</v>
      </c>
      <c r="S170" s="1">
        <v>500</v>
      </c>
      <c r="T170" s="1">
        <v>500</v>
      </c>
      <c r="U170" s="1">
        <v>500</v>
      </c>
      <c r="V170" s="1">
        <v>500</v>
      </c>
      <c r="W170" s="1" t="s">
        <v>997</v>
      </c>
      <c r="X170" s="6" t="s">
        <v>989</v>
      </c>
      <c r="Y170" s="1" t="s">
        <v>998</v>
      </c>
      <c r="Z170" s="1" t="s">
        <v>66</v>
      </c>
      <c r="AA170" s="1" t="s">
        <v>66</v>
      </c>
      <c r="AB170" s="10" t="s">
        <v>66</v>
      </c>
      <c r="AC170" s="10" t="s">
        <v>68</v>
      </c>
      <c r="AD170" s="10" t="str">
        <f>IFERROR(VLOOKUP(B170,'Regiões Administrativas'!$A$1:$B$646,2,0),"")</f>
        <v>Registro</v>
      </c>
      <c r="AE170" s="10">
        <f>IFERROR(VLOOKUP(Form_Responses[[#This Row],[Município]],'Regiões Administrativas'!$A$1:$I$646,3,0),"")</f>
        <v>15544</v>
      </c>
      <c r="AF170" s="10">
        <f>IFERROR(VLOOKUP(Form_Responses[[#This Row],[Município]],'Regiões Administrativas'!$A$1:$I$646,4,0),"")</f>
        <v>350540105000001</v>
      </c>
      <c r="AG170" s="10">
        <f>IFERROR(VLOOKUP(Form_Responses[[#This Row],[Município]],'Regiões Administrativas'!$A$1:$I$646,4,0),"")</f>
        <v>350540105000001</v>
      </c>
      <c r="AH170" s="10">
        <f>IFERROR(VLOOKUP(B170,'Regiões Administrativas'!$A$1:$I$646,5,0),"")</f>
        <v>3505401</v>
      </c>
      <c r="AI170" s="10">
        <f>IFERROR(VLOOKUP(B170,'Regiões Administrativas'!$A$1:$I$646,6,0),"")</f>
        <v>-48.502343500000002</v>
      </c>
      <c r="AJ170" s="10">
        <f>IFERROR(VLOOKUP(B170,'Regiões Administrativas'!$A$1:$I$646,8,0),"")</f>
        <v>153.957954</v>
      </c>
      <c r="AK170" s="10" t="str">
        <f>IFERROR(VLOOKUP(Form_Responses[[#This Row],[Município]],'Regiões Administrativas'!$A$1:$I$646,9,0),"")</f>
        <v>1J6S9?hG4z1-</v>
      </c>
    </row>
    <row r="171" spans="1:37" ht="22.5" customHeight="1">
      <c r="A171" s="5">
        <v>46027.472999421298</v>
      </c>
      <c r="B171" s="1" t="s">
        <v>1004</v>
      </c>
      <c r="C171" s="1" t="s">
        <v>1005</v>
      </c>
      <c r="D171" s="1" t="s">
        <v>1017</v>
      </c>
      <c r="E171" s="1" t="s">
        <v>1018</v>
      </c>
      <c r="F171" s="1" t="s">
        <v>1008</v>
      </c>
      <c r="G171" s="1" t="s">
        <v>1019</v>
      </c>
      <c r="H171" s="6" t="s">
        <v>1020</v>
      </c>
      <c r="I171" s="1" t="s">
        <v>267</v>
      </c>
      <c r="J171" s="7">
        <v>46039</v>
      </c>
      <c r="K171" s="7">
        <v>46039</v>
      </c>
      <c r="L171" s="11">
        <v>0.33333333333575865</v>
      </c>
      <c r="M171" s="11">
        <v>0.66666666666424135</v>
      </c>
      <c r="N171" s="1" t="s">
        <v>421</v>
      </c>
      <c r="O171" s="1" t="s">
        <v>221</v>
      </c>
      <c r="P171" s="1" t="s">
        <v>221</v>
      </c>
      <c r="Q171" s="1" t="s">
        <v>47</v>
      </c>
      <c r="R171" s="1" t="s">
        <v>74</v>
      </c>
      <c r="S171" s="1">
        <v>500</v>
      </c>
      <c r="T171" s="1">
        <v>450</v>
      </c>
      <c r="U171" s="1">
        <v>400</v>
      </c>
      <c r="V171" s="1">
        <v>300</v>
      </c>
      <c r="W171" s="1" t="s">
        <v>1021</v>
      </c>
      <c r="X171" s="1" t="s">
        <v>1022</v>
      </c>
      <c r="Y171" s="1" t="s">
        <v>1013</v>
      </c>
      <c r="Z171" s="1" t="s">
        <v>66</v>
      </c>
      <c r="AA171" s="1" t="s">
        <v>67</v>
      </c>
      <c r="AB171" s="10" t="s">
        <v>66</v>
      </c>
      <c r="AC171" s="10" t="s">
        <v>68</v>
      </c>
      <c r="AD171" s="10" t="str">
        <f>IFERROR(VLOOKUP(B171,'Regiões Administrativas'!$A$1:$B$646,2,0),"")</f>
        <v>São José dos Campos</v>
      </c>
      <c r="AE171" s="10">
        <f>IFERROR(VLOOKUP(Form_Responses[[#This Row],[Município]],'Regiões Administrativas'!$A$1:$I$646,3,0),"")</f>
        <v>16711</v>
      </c>
      <c r="AF171" s="10">
        <f>IFERROR(VLOOKUP(Form_Responses[[#This Row],[Município]],'Regiões Administrativas'!$A$1:$I$646,4,0),"")</f>
        <v>353560605000001</v>
      </c>
      <c r="AG171" s="10">
        <f>IFERROR(VLOOKUP(Form_Responses[[#This Row],[Município]],'Regiões Administrativas'!$A$1:$I$646,4,0),"")</f>
        <v>353560605000001</v>
      </c>
      <c r="AH171" s="10">
        <f>IFERROR(VLOOKUP(B171,'Regiões Administrativas'!$A$1:$I$646,5,0),"")</f>
        <v>3535606</v>
      </c>
      <c r="AI171" s="10">
        <f>IFERROR(VLOOKUP(B171,'Regiões Administrativas'!$A$1:$I$646,6,0),"")</f>
        <v>-45.6628641</v>
      </c>
      <c r="AJ171" s="10">
        <f>IFERROR(VLOOKUP(B171,'Regiões Administrativas'!$A$1:$I$646,8,0),"")</f>
        <v>636.606582</v>
      </c>
      <c r="AK171" s="10" t="str">
        <f>IFERROR(VLOOKUP(Form_Responses[[#This Row],[Município]],'Regiões Administrativas'!$A$1:$I$646,9,0),"")</f>
        <v>1J6tOzEB1BHp</v>
      </c>
    </row>
    <row r="172" spans="1:37" ht="22.5" customHeight="1">
      <c r="A172" s="5">
        <v>46027.486596481482</v>
      </c>
      <c r="B172" s="1" t="s">
        <v>1004</v>
      </c>
      <c r="C172" s="1" t="s">
        <v>1005</v>
      </c>
      <c r="D172" s="1" t="s">
        <v>1023</v>
      </c>
      <c r="E172" s="1" t="s">
        <v>1024</v>
      </c>
      <c r="F172" s="1" t="s">
        <v>1008</v>
      </c>
      <c r="G172" s="1" t="s">
        <v>1025</v>
      </c>
      <c r="H172" s="6" t="s">
        <v>1020</v>
      </c>
      <c r="I172" s="1" t="s">
        <v>89</v>
      </c>
      <c r="J172" s="7">
        <v>46066</v>
      </c>
      <c r="K172" s="7">
        <v>46070</v>
      </c>
      <c r="L172" s="11">
        <v>0.375</v>
      </c>
      <c r="M172" s="11">
        <v>4.1666666664241347E-2</v>
      </c>
      <c r="N172" s="1" t="s">
        <v>44</v>
      </c>
      <c r="O172" s="1" t="s">
        <v>45</v>
      </c>
      <c r="P172" s="1" t="s">
        <v>90</v>
      </c>
      <c r="Q172" s="1" t="s">
        <v>47</v>
      </c>
      <c r="R172" s="1" t="s">
        <v>74</v>
      </c>
      <c r="S172" s="1">
        <v>30000</v>
      </c>
      <c r="T172" s="1">
        <v>25000</v>
      </c>
      <c r="U172" s="1">
        <v>21000</v>
      </c>
      <c r="V172" s="1">
        <v>20000</v>
      </c>
      <c r="W172" s="1" t="s">
        <v>1026</v>
      </c>
      <c r="X172" s="6" t="s">
        <v>1027</v>
      </c>
      <c r="Y172" s="1" t="s">
        <v>1013</v>
      </c>
      <c r="Z172" s="1" t="s">
        <v>76</v>
      </c>
      <c r="AA172" s="1" t="s">
        <v>113</v>
      </c>
      <c r="AB172" s="10" t="s">
        <v>66</v>
      </c>
      <c r="AC172" s="10" t="s">
        <v>68</v>
      </c>
      <c r="AD172" s="10" t="str">
        <f>IFERROR(VLOOKUP(B172,'Regiões Administrativas'!$A$1:$B$646,2,0),"")</f>
        <v>São José dos Campos</v>
      </c>
      <c r="AE172" s="10">
        <f>IFERROR(VLOOKUP(Form_Responses[[#This Row],[Município]],'Regiões Administrativas'!$A$1:$I$646,3,0),"")</f>
        <v>16711</v>
      </c>
      <c r="AF172" s="10">
        <f>IFERROR(VLOOKUP(Form_Responses[[#This Row],[Município]],'Regiões Administrativas'!$A$1:$I$646,4,0),"")</f>
        <v>353560605000001</v>
      </c>
      <c r="AG172" s="10">
        <f>IFERROR(VLOOKUP(Form_Responses[[#This Row],[Município]],'Regiões Administrativas'!$A$1:$I$646,4,0),"")</f>
        <v>353560605000001</v>
      </c>
      <c r="AH172" s="10">
        <f>IFERROR(VLOOKUP(B172,'Regiões Administrativas'!$A$1:$I$646,5,0),"")</f>
        <v>3535606</v>
      </c>
      <c r="AI172" s="10">
        <f>IFERROR(VLOOKUP(B172,'Regiões Administrativas'!$A$1:$I$646,6,0),"")</f>
        <v>-45.6628641</v>
      </c>
      <c r="AJ172" s="10">
        <f>IFERROR(VLOOKUP(B172,'Regiões Administrativas'!$A$1:$I$646,8,0),"")</f>
        <v>636.606582</v>
      </c>
      <c r="AK172" s="10" t="str">
        <f>IFERROR(VLOOKUP(Form_Responses[[#This Row],[Município]],'Regiões Administrativas'!$A$1:$I$646,9,0),"")</f>
        <v>1J6tOzEB1BHp</v>
      </c>
    </row>
    <row r="173" spans="1:37" ht="22.5" customHeight="1">
      <c r="A173" s="5">
        <v>46027.551166331017</v>
      </c>
      <c r="B173" s="1" t="s">
        <v>1004</v>
      </c>
      <c r="C173" s="1" t="s">
        <v>1005</v>
      </c>
      <c r="D173" s="1" t="s">
        <v>1028</v>
      </c>
      <c r="E173" s="1" t="s">
        <v>1029</v>
      </c>
      <c r="F173" s="1" t="s">
        <v>1008</v>
      </c>
      <c r="G173" s="1" t="s">
        <v>1009</v>
      </c>
      <c r="H173" s="6" t="s">
        <v>1030</v>
      </c>
      <c r="I173" s="1" t="s">
        <v>109</v>
      </c>
      <c r="J173" s="7">
        <v>46110</v>
      </c>
      <c r="K173" s="7">
        <v>46110</v>
      </c>
      <c r="L173" s="11">
        <v>0.29166666666424135</v>
      </c>
      <c r="M173" s="11">
        <v>0.625</v>
      </c>
      <c r="N173" s="1" t="s">
        <v>61</v>
      </c>
      <c r="O173" s="1" t="s">
        <v>436</v>
      </c>
      <c r="P173" s="1" t="s">
        <v>63</v>
      </c>
      <c r="Q173" s="1" t="s">
        <v>47</v>
      </c>
      <c r="R173" s="1" t="s">
        <v>230</v>
      </c>
      <c r="S173" s="1">
        <v>500</v>
      </c>
      <c r="T173" s="1">
        <v>450</v>
      </c>
      <c r="U173" s="1">
        <v>430</v>
      </c>
      <c r="V173" s="1">
        <v>430</v>
      </c>
      <c r="W173" s="1" t="s">
        <v>1031</v>
      </c>
      <c r="X173" s="6" t="s">
        <v>1030</v>
      </c>
      <c r="Y173" s="1" t="s">
        <v>1013</v>
      </c>
      <c r="Z173" s="1" t="s">
        <v>66</v>
      </c>
      <c r="AA173" s="1" t="s">
        <v>66</v>
      </c>
      <c r="AB173" s="10" t="s">
        <v>66</v>
      </c>
      <c r="AC173" s="10" t="s">
        <v>55</v>
      </c>
      <c r="AD173" s="10" t="str">
        <f>IFERROR(VLOOKUP(B173,'Regiões Administrativas'!$A$1:$B$646,2,0),"")</f>
        <v>São José dos Campos</v>
      </c>
      <c r="AE173" s="10">
        <f>IFERROR(VLOOKUP(Form_Responses[[#This Row],[Município]],'Regiões Administrativas'!$A$1:$I$646,3,0),"")</f>
        <v>16711</v>
      </c>
      <c r="AF173" s="10">
        <f>IFERROR(VLOOKUP(Form_Responses[[#This Row],[Município]],'Regiões Administrativas'!$A$1:$I$646,4,0),"")</f>
        <v>353560605000001</v>
      </c>
      <c r="AG173" s="10">
        <f>IFERROR(VLOOKUP(Form_Responses[[#This Row],[Município]],'Regiões Administrativas'!$A$1:$I$646,4,0),"")</f>
        <v>353560605000001</v>
      </c>
      <c r="AH173" s="10">
        <f>IFERROR(VLOOKUP(B173,'Regiões Administrativas'!$A$1:$I$646,5,0),"")</f>
        <v>3535606</v>
      </c>
      <c r="AI173" s="10">
        <f>IFERROR(VLOOKUP(B173,'Regiões Administrativas'!$A$1:$I$646,6,0),"")</f>
        <v>-45.6628641</v>
      </c>
      <c r="AJ173" s="10">
        <f>IFERROR(VLOOKUP(B173,'Regiões Administrativas'!$A$1:$I$646,8,0),"")</f>
        <v>636.606582</v>
      </c>
      <c r="AK173" s="10" t="str">
        <f>IFERROR(VLOOKUP(Form_Responses[[#This Row],[Município]],'Regiões Administrativas'!$A$1:$I$646,9,0),"")</f>
        <v>1J6tOzEB1BHp</v>
      </c>
    </row>
    <row r="174" spans="1:37" ht="22.5" customHeight="1">
      <c r="A174" s="13">
        <v>46027.579626874998</v>
      </c>
      <c r="B174" s="1" t="s">
        <v>979</v>
      </c>
      <c r="C174" s="1" t="s">
        <v>175</v>
      </c>
      <c r="D174" s="1" t="s">
        <v>1032</v>
      </c>
      <c r="E174" s="1" t="s">
        <v>1033</v>
      </c>
      <c r="F174" s="1"/>
      <c r="G174" s="1" t="s">
        <v>1034</v>
      </c>
      <c r="H174" s="6" t="s">
        <v>989</v>
      </c>
      <c r="I174" s="1" t="s">
        <v>43</v>
      </c>
      <c r="J174" s="7">
        <v>46254</v>
      </c>
      <c r="K174" s="7">
        <v>46257</v>
      </c>
      <c r="L174" s="11">
        <v>0.375</v>
      </c>
      <c r="M174" s="11">
        <v>0.125</v>
      </c>
      <c r="N174" s="1" t="s">
        <v>44</v>
      </c>
      <c r="O174" s="1" t="s">
        <v>234</v>
      </c>
      <c r="P174" s="1" t="s">
        <v>46</v>
      </c>
      <c r="Q174" s="1" t="s">
        <v>47</v>
      </c>
      <c r="R174" s="1" t="s">
        <v>74</v>
      </c>
      <c r="S174" s="8">
        <v>20000</v>
      </c>
      <c r="T174" s="8">
        <v>15000</v>
      </c>
      <c r="U174" s="8">
        <v>15000</v>
      </c>
      <c r="V174" s="8">
        <v>15000</v>
      </c>
      <c r="W174" s="1" t="s">
        <v>997</v>
      </c>
      <c r="X174" s="6" t="s">
        <v>989</v>
      </c>
      <c r="Y174" s="1" t="s">
        <v>998</v>
      </c>
      <c r="Z174" s="1" t="s">
        <v>76</v>
      </c>
      <c r="AA174" s="1" t="s">
        <v>899</v>
      </c>
      <c r="AB174" s="10" t="s">
        <v>66</v>
      </c>
      <c r="AC174" s="10" t="s">
        <v>68</v>
      </c>
      <c r="AD174" s="10" t="str">
        <f>IFERROR(VLOOKUP(B174,'Regiões Administrativas'!$A$1:$B$646,2,0),"")</f>
        <v>Registro</v>
      </c>
      <c r="AE174" s="10">
        <f>IFERROR(VLOOKUP(Form_Responses[[#This Row],[Município]],'Regiões Administrativas'!$A$1:$I$646,3,0),"")</f>
        <v>15544</v>
      </c>
      <c r="AF174" s="10">
        <f>IFERROR(VLOOKUP(Form_Responses[[#This Row],[Município]],'Regiões Administrativas'!$A$1:$I$646,4,0),"")</f>
        <v>350540105000001</v>
      </c>
      <c r="AG174" s="10">
        <f>IFERROR(VLOOKUP(Form_Responses[[#This Row],[Município]],'Regiões Administrativas'!$A$1:$I$646,4,0),"")</f>
        <v>350540105000001</v>
      </c>
      <c r="AH174" s="10">
        <f>IFERROR(VLOOKUP(B174,'Regiões Administrativas'!$A$1:$I$646,5,0),"")</f>
        <v>3505401</v>
      </c>
      <c r="AI174" s="10">
        <f>IFERROR(VLOOKUP(B174,'Regiões Administrativas'!$A$1:$I$646,6,0),"")</f>
        <v>-48.502343500000002</v>
      </c>
      <c r="AJ174" s="10">
        <f>IFERROR(VLOOKUP(B174,'Regiões Administrativas'!$A$1:$I$646,8,0),"")</f>
        <v>153.957954</v>
      </c>
      <c r="AK174" s="10" t="str">
        <f>IFERROR(VLOOKUP(Form_Responses[[#This Row],[Município]],'Regiões Administrativas'!$A$1:$I$646,9,0),"")</f>
        <v>1J6S9?hG4z1-</v>
      </c>
    </row>
    <row r="175" spans="1:37" ht="22.5" customHeight="1">
      <c r="A175" s="13">
        <v>46027.630696782406</v>
      </c>
      <c r="B175" s="1" t="s">
        <v>979</v>
      </c>
      <c r="C175" s="1" t="s">
        <v>175</v>
      </c>
      <c r="D175" s="1" t="s">
        <v>1035</v>
      </c>
      <c r="E175" s="1" t="s">
        <v>1036</v>
      </c>
      <c r="F175" s="1"/>
      <c r="G175" s="1" t="s">
        <v>1037</v>
      </c>
      <c r="H175" s="6" t="s">
        <v>989</v>
      </c>
      <c r="I175" s="1" t="s">
        <v>81</v>
      </c>
      <c r="J175" s="1"/>
      <c r="K175" s="1"/>
      <c r="L175" s="11">
        <v>0.41666666666424135</v>
      </c>
      <c r="M175" s="11">
        <v>0</v>
      </c>
      <c r="N175" s="1" t="s">
        <v>61</v>
      </c>
      <c r="O175" s="1" t="s">
        <v>62</v>
      </c>
      <c r="P175" s="1" t="s">
        <v>63</v>
      </c>
      <c r="Q175" s="1" t="s">
        <v>47</v>
      </c>
      <c r="R175" s="1" t="s">
        <v>74</v>
      </c>
      <c r="S175" s="1">
        <v>500</v>
      </c>
      <c r="T175" s="1">
        <v>500</v>
      </c>
      <c r="U175" s="1">
        <v>500</v>
      </c>
      <c r="V175" s="1">
        <v>500</v>
      </c>
      <c r="W175" s="1" t="s">
        <v>997</v>
      </c>
      <c r="X175" s="6" t="s">
        <v>989</v>
      </c>
      <c r="Y175" s="1" t="s">
        <v>998</v>
      </c>
      <c r="Z175" s="1" t="s">
        <v>76</v>
      </c>
      <c r="AA175" s="1" t="s">
        <v>66</v>
      </c>
      <c r="AB175" s="10" t="s">
        <v>66</v>
      </c>
      <c r="AC175" s="10" t="s">
        <v>55</v>
      </c>
      <c r="AD175" s="10" t="str">
        <f>IFERROR(VLOOKUP(B175,'Regiões Administrativas'!$A$1:$B$646,2,0),"")</f>
        <v>Registro</v>
      </c>
      <c r="AE175" s="10">
        <f>IFERROR(VLOOKUP(Form_Responses[[#This Row],[Município]],'Regiões Administrativas'!$A$1:$I$646,3,0),"")</f>
        <v>15544</v>
      </c>
      <c r="AF175" s="10">
        <f>IFERROR(VLOOKUP(Form_Responses[[#This Row],[Município]],'Regiões Administrativas'!$A$1:$I$646,4,0),"")</f>
        <v>350540105000001</v>
      </c>
      <c r="AG175" s="10">
        <f>IFERROR(VLOOKUP(Form_Responses[[#This Row],[Município]],'Regiões Administrativas'!$A$1:$I$646,4,0),"")</f>
        <v>350540105000001</v>
      </c>
      <c r="AH175" s="10">
        <f>IFERROR(VLOOKUP(B175,'Regiões Administrativas'!$A$1:$I$646,5,0),"")</f>
        <v>3505401</v>
      </c>
      <c r="AI175" s="10">
        <f>IFERROR(VLOOKUP(B175,'Regiões Administrativas'!$A$1:$I$646,6,0),"")</f>
        <v>-48.502343500000002</v>
      </c>
      <c r="AJ175" s="10">
        <f>IFERROR(VLOOKUP(B175,'Regiões Administrativas'!$A$1:$I$646,8,0),"")</f>
        <v>153.957954</v>
      </c>
      <c r="AK175" s="10" t="str">
        <f>IFERROR(VLOOKUP(Form_Responses[[#This Row],[Município]],'Regiões Administrativas'!$A$1:$I$646,9,0),"")</f>
        <v>1J6S9?hG4z1-</v>
      </c>
    </row>
    <row r="176" spans="1:37" ht="22.5" customHeight="1">
      <c r="A176" s="13">
        <v>46027.63927295139</v>
      </c>
      <c r="B176" s="1" t="s">
        <v>1038</v>
      </c>
      <c r="C176" s="1" t="s">
        <v>336</v>
      </c>
      <c r="D176" s="1" t="s">
        <v>1039</v>
      </c>
      <c r="E176" s="1" t="s">
        <v>1040</v>
      </c>
      <c r="F176" s="1"/>
      <c r="G176" s="1" t="s">
        <v>1041</v>
      </c>
      <c r="H176" s="6" t="s">
        <v>1042</v>
      </c>
      <c r="I176" s="1" t="s">
        <v>81</v>
      </c>
      <c r="J176" s="7">
        <v>46271</v>
      </c>
      <c r="K176" s="7">
        <v>46273</v>
      </c>
      <c r="L176" s="1"/>
      <c r="M176" s="1"/>
      <c r="N176" s="1" t="s">
        <v>44</v>
      </c>
      <c r="O176" s="1" t="s">
        <v>221</v>
      </c>
      <c r="P176" s="1" t="s">
        <v>221</v>
      </c>
      <c r="Q176" s="1" t="s">
        <v>47</v>
      </c>
      <c r="R176" s="1" t="s">
        <v>48</v>
      </c>
      <c r="S176" s="1">
        <v>5000</v>
      </c>
      <c r="T176" s="1">
        <v>5000</v>
      </c>
      <c r="U176" s="1">
        <v>5000</v>
      </c>
      <c r="V176" s="1">
        <v>5000</v>
      </c>
      <c r="W176" s="1" t="s">
        <v>1043</v>
      </c>
      <c r="X176" s="1"/>
      <c r="Y176" s="1" t="s">
        <v>1044</v>
      </c>
      <c r="Z176" s="1" t="s">
        <v>76</v>
      </c>
      <c r="AA176" s="1" t="s">
        <v>297</v>
      </c>
      <c r="AB176" s="10" t="s">
        <v>344</v>
      </c>
      <c r="AC176" s="10" t="s">
        <v>68</v>
      </c>
      <c r="AD176" s="10" t="str">
        <f>IFERROR(VLOOKUP(B176,'Regiões Administrativas'!$A$1:$B$646,2,0),"")</f>
        <v>Ribeirão Preto</v>
      </c>
      <c r="AE176" s="10">
        <f>IFERROR(VLOOKUP(Form_Responses[[#This Row],[Município]],'Regiões Administrativas'!$A$1:$I$646,3,0),"")</f>
        <v>16584</v>
      </c>
      <c r="AF176" s="10">
        <f>IFERROR(VLOOKUP(Form_Responses[[#This Row],[Município]],'Regiões Administrativas'!$A$1:$I$646,4,0),"")</f>
        <v>353130805000001</v>
      </c>
      <c r="AG176" s="10">
        <f>IFERROR(VLOOKUP(Form_Responses[[#This Row],[Município]],'Regiões Administrativas'!$A$1:$I$646,4,0),"")</f>
        <v>353130805000001</v>
      </c>
      <c r="AH176" s="10">
        <f>IFERROR(VLOOKUP(B176,'Regiões Administrativas'!$A$1:$I$646,5,0),"")</f>
        <v>3531308</v>
      </c>
      <c r="AI176" s="10">
        <f>IFERROR(VLOOKUP(B176,'Regiões Administrativas'!$A$1:$I$646,6,0),"")</f>
        <v>-48.496651300000003</v>
      </c>
      <c r="AJ176" s="10">
        <f>IFERROR(VLOOKUP(B176,'Regiões Administrativas'!$A$1:$I$646,8,0),"")</f>
        <v>722.39939100000004</v>
      </c>
      <c r="AK176" s="10" t="str">
        <f>IFERROR(VLOOKUP(Form_Responses[[#This Row],[Município]],'Regiões Administrativas'!$A$1:$I$646,9,0),"")</f>
        <v>1J6RE&lt;.8Acyp</v>
      </c>
    </row>
    <row r="177" spans="1:37" ht="22.5" customHeight="1">
      <c r="A177" s="13">
        <v>46027.657239374996</v>
      </c>
      <c r="B177" s="1" t="s">
        <v>979</v>
      </c>
      <c r="C177" s="1" t="s">
        <v>175</v>
      </c>
      <c r="D177" s="1" t="s">
        <v>1045</v>
      </c>
      <c r="E177" s="1" t="s">
        <v>1046</v>
      </c>
      <c r="F177" s="1"/>
      <c r="G177" s="1" t="s">
        <v>1047</v>
      </c>
      <c r="H177" s="6" t="s">
        <v>989</v>
      </c>
      <c r="I177" s="1" t="s">
        <v>255</v>
      </c>
      <c r="J177" s="1"/>
      <c r="K177" s="1"/>
      <c r="L177" s="11">
        <v>0.375</v>
      </c>
      <c r="M177" s="11">
        <v>0.75</v>
      </c>
      <c r="N177" s="1" t="s">
        <v>73</v>
      </c>
      <c r="O177" s="1" t="s">
        <v>62</v>
      </c>
      <c r="P177" s="1" t="s">
        <v>63</v>
      </c>
      <c r="Q177" s="1" t="s">
        <v>47</v>
      </c>
      <c r="R177" s="1" t="s">
        <v>74</v>
      </c>
      <c r="S177" s="1">
        <v>500</v>
      </c>
      <c r="T177" s="1">
        <v>300</v>
      </c>
      <c r="U177" s="1">
        <v>300</v>
      </c>
      <c r="V177" s="1">
        <v>300</v>
      </c>
      <c r="W177" s="1" t="s">
        <v>997</v>
      </c>
      <c r="X177" s="6" t="s">
        <v>989</v>
      </c>
      <c r="Y177" s="1" t="s">
        <v>1048</v>
      </c>
      <c r="Z177" s="1" t="s">
        <v>76</v>
      </c>
      <c r="AA177" s="1" t="s">
        <v>334</v>
      </c>
      <c r="AB177" s="10" t="s">
        <v>66</v>
      </c>
      <c r="AC177" s="10" t="s">
        <v>68</v>
      </c>
      <c r="AD177" s="10" t="str">
        <f>IFERROR(VLOOKUP(B177,'Regiões Administrativas'!$A$1:$B$646,2,0),"")</f>
        <v>Registro</v>
      </c>
      <c r="AE177" s="10">
        <f>IFERROR(VLOOKUP(Form_Responses[[#This Row],[Município]],'Regiões Administrativas'!$A$1:$I$646,3,0),"")</f>
        <v>15544</v>
      </c>
      <c r="AF177" s="10">
        <f>IFERROR(VLOOKUP(Form_Responses[[#This Row],[Município]],'Regiões Administrativas'!$A$1:$I$646,4,0),"")</f>
        <v>350540105000001</v>
      </c>
      <c r="AG177" s="10">
        <f>IFERROR(VLOOKUP(Form_Responses[[#This Row],[Município]],'Regiões Administrativas'!$A$1:$I$646,4,0),"")</f>
        <v>350540105000001</v>
      </c>
      <c r="AH177" s="10">
        <f>IFERROR(VLOOKUP(B177,'Regiões Administrativas'!$A$1:$I$646,5,0),"")</f>
        <v>3505401</v>
      </c>
      <c r="AI177" s="10">
        <f>IFERROR(VLOOKUP(B177,'Regiões Administrativas'!$A$1:$I$646,6,0),"")</f>
        <v>-48.502343500000002</v>
      </c>
      <c r="AJ177" s="10">
        <f>IFERROR(VLOOKUP(B177,'Regiões Administrativas'!$A$1:$I$646,8,0),"")</f>
        <v>153.957954</v>
      </c>
      <c r="AK177" s="10" t="str">
        <f>IFERROR(VLOOKUP(Form_Responses[[#This Row],[Município]],'Regiões Administrativas'!$A$1:$I$646,9,0),"")</f>
        <v>1J6S9?hG4z1-</v>
      </c>
    </row>
    <row r="178" spans="1:37" ht="22.5" customHeight="1">
      <c r="A178" s="5">
        <v>46027.667738009259</v>
      </c>
      <c r="B178" s="1" t="s">
        <v>979</v>
      </c>
      <c r="C178" s="1" t="s">
        <v>175</v>
      </c>
      <c r="D178" s="1" t="s">
        <v>1049</v>
      </c>
      <c r="E178" s="1" t="s">
        <v>1050</v>
      </c>
      <c r="F178" s="1"/>
      <c r="G178" s="1" t="s">
        <v>1051</v>
      </c>
      <c r="H178" s="6" t="s">
        <v>989</v>
      </c>
      <c r="I178" s="1" t="s">
        <v>128</v>
      </c>
      <c r="J178" s="1"/>
      <c r="K178" s="1"/>
      <c r="L178" s="11">
        <v>0.375</v>
      </c>
      <c r="M178" s="11">
        <v>0</v>
      </c>
      <c r="N178" s="1" t="s">
        <v>61</v>
      </c>
      <c r="O178" s="1" t="s">
        <v>62</v>
      </c>
      <c r="P178" s="1" t="s">
        <v>63</v>
      </c>
      <c r="Q178" s="1" t="s">
        <v>47</v>
      </c>
      <c r="R178" s="1" t="s">
        <v>74</v>
      </c>
      <c r="S178" s="1">
        <v>500</v>
      </c>
      <c r="T178" s="1">
        <v>0</v>
      </c>
      <c r="U178" s="1">
        <v>0</v>
      </c>
      <c r="V178" s="1">
        <v>0</v>
      </c>
      <c r="W178" s="1" t="s">
        <v>997</v>
      </c>
      <c r="X178" s="6" t="s">
        <v>989</v>
      </c>
      <c r="Y178" s="1" t="s">
        <v>998</v>
      </c>
      <c r="Z178" s="1" t="s">
        <v>66</v>
      </c>
      <c r="AA178" s="1" t="s">
        <v>66</v>
      </c>
      <c r="AB178" s="10" t="s">
        <v>66</v>
      </c>
      <c r="AC178" s="10" t="s">
        <v>68</v>
      </c>
      <c r="AD178" s="10" t="str">
        <f>IFERROR(VLOOKUP(B178,'Regiões Administrativas'!$A$1:$B$646,2,0),"")</f>
        <v>Registro</v>
      </c>
      <c r="AE178" s="10">
        <f>IFERROR(VLOOKUP(Form_Responses[[#This Row],[Município]],'Regiões Administrativas'!$A$1:$I$646,3,0),"")</f>
        <v>15544</v>
      </c>
      <c r="AF178" s="10">
        <f>IFERROR(VLOOKUP(Form_Responses[[#This Row],[Município]],'Regiões Administrativas'!$A$1:$I$646,4,0),"")</f>
        <v>350540105000001</v>
      </c>
      <c r="AG178" s="10">
        <f>IFERROR(VLOOKUP(Form_Responses[[#This Row],[Município]],'Regiões Administrativas'!$A$1:$I$646,4,0),"")</f>
        <v>350540105000001</v>
      </c>
      <c r="AH178" s="10">
        <f>IFERROR(VLOOKUP(B178,'Regiões Administrativas'!$A$1:$I$646,5,0),"")</f>
        <v>3505401</v>
      </c>
      <c r="AI178" s="10">
        <f>IFERROR(VLOOKUP(B178,'Regiões Administrativas'!$A$1:$I$646,6,0),"")</f>
        <v>-48.502343500000002</v>
      </c>
      <c r="AJ178" s="10">
        <f>IFERROR(VLOOKUP(B178,'Regiões Administrativas'!$A$1:$I$646,8,0),"")</f>
        <v>153.957954</v>
      </c>
      <c r="AK178" s="10" t="str">
        <f>IFERROR(VLOOKUP(Form_Responses[[#This Row],[Município]],'Regiões Administrativas'!$A$1:$I$646,9,0),"")</f>
        <v>1J6S9?hG4z1-</v>
      </c>
    </row>
    <row r="179" spans="1:37" ht="22.5" customHeight="1">
      <c r="A179" s="5">
        <v>46028.359887071754</v>
      </c>
      <c r="B179" s="1" t="s">
        <v>1052</v>
      </c>
      <c r="C179" s="1" t="s">
        <v>149</v>
      </c>
      <c r="D179" s="1" t="s">
        <v>1053</v>
      </c>
      <c r="E179" s="1" t="s">
        <v>1054</v>
      </c>
      <c r="F179" s="1"/>
      <c r="G179" s="1" t="s">
        <v>1055</v>
      </c>
      <c r="H179" s="1"/>
      <c r="I179" s="1" t="s">
        <v>267</v>
      </c>
      <c r="J179" s="7">
        <v>46052</v>
      </c>
      <c r="K179" s="7">
        <v>46052</v>
      </c>
      <c r="L179" s="11">
        <v>0.75</v>
      </c>
      <c r="M179" s="11">
        <v>0.91666666666424135</v>
      </c>
      <c r="N179" s="1" t="s">
        <v>268</v>
      </c>
      <c r="O179" s="1" t="s">
        <v>142</v>
      </c>
      <c r="P179" s="1" t="s">
        <v>63</v>
      </c>
      <c r="Q179" s="1" t="s">
        <v>47</v>
      </c>
      <c r="R179" s="1" t="s">
        <v>74</v>
      </c>
      <c r="S179" s="1">
        <v>500</v>
      </c>
      <c r="T179" s="1"/>
      <c r="U179" s="1"/>
      <c r="V179" s="1"/>
      <c r="W179" s="1" t="s">
        <v>1056</v>
      </c>
      <c r="X179" s="1"/>
      <c r="Y179" s="1" t="s">
        <v>1057</v>
      </c>
      <c r="Z179" s="1" t="s">
        <v>76</v>
      </c>
      <c r="AA179" s="1" t="s">
        <v>66</v>
      </c>
      <c r="AB179" s="10" t="s">
        <v>66</v>
      </c>
      <c r="AC179" s="10" t="s">
        <v>68</v>
      </c>
      <c r="AD179" s="10" t="str">
        <f>IFERROR(VLOOKUP(B179,'Regiões Administrativas'!$A$1:$B$646,2,0),"")</f>
        <v>Sorocaba</v>
      </c>
      <c r="AE179" s="10">
        <f>IFERROR(VLOOKUP(Form_Responses[[#This Row],[Município]],'Regiões Administrativas'!$A$1:$I$646,3,0),"")</f>
        <v>15409</v>
      </c>
      <c r="AF179" s="10">
        <f>IFERROR(VLOOKUP(Form_Responses[[#This Row],[Município]],'Regiões Administrativas'!$A$1:$I$646,4,0),"")</f>
        <v>350275405000001</v>
      </c>
      <c r="AG179" s="10">
        <f>IFERROR(VLOOKUP(Form_Responses[[#This Row],[Município]],'Regiões Administrativas'!$A$1:$I$646,4,0),"")</f>
        <v>350275405000001</v>
      </c>
      <c r="AH179" s="10">
        <f>IFERROR(VLOOKUP(B179,'Regiões Administrativas'!$A$1:$I$646,5,0),"")</f>
        <v>3502754</v>
      </c>
      <c r="AI179" s="10">
        <f>IFERROR(VLOOKUP(B179,'Regiões Administrativas'!$A$1:$I$646,6,0),"")</f>
        <v>-47.071547600000002</v>
      </c>
      <c r="AJ179" s="10">
        <f>IFERROR(VLOOKUP(B179,'Regiões Administrativas'!$A$1:$I$646,8,0),"")</f>
        <v>710.676513</v>
      </c>
      <c r="AK179" s="10" t="str">
        <f>IFERROR(VLOOKUP(Form_Responses[[#This Row],[Município]],'Regiões Administrativas'!$A$1:$I$646,9,0),"")</f>
        <v>1J6tLXMX\W&lt;p</v>
      </c>
    </row>
    <row r="180" spans="1:37" ht="22.5" customHeight="1">
      <c r="A180" s="5">
        <v>46028.363930937499</v>
      </c>
      <c r="B180" s="1" t="s">
        <v>1052</v>
      </c>
      <c r="C180" s="1" t="s">
        <v>149</v>
      </c>
      <c r="D180" s="1" t="s">
        <v>1058</v>
      </c>
      <c r="E180" s="1" t="s">
        <v>1059</v>
      </c>
      <c r="F180" s="1"/>
      <c r="G180" s="1" t="s">
        <v>1060</v>
      </c>
      <c r="H180" s="1"/>
      <c r="I180" s="1" t="s">
        <v>89</v>
      </c>
      <c r="J180" s="7">
        <v>46058</v>
      </c>
      <c r="K180" s="7">
        <v>46075</v>
      </c>
      <c r="L180" s="11">
        <v>0.33333333333575865</v>
      </c>
      <c r="M180" s="1"/>
      <c r="N180" s="1" t="s">
        <v>61</v>
      </c>
      <c r="O180" s="1" t="s">
        <v>62</v>
      </c>
      <c r="P180" s="1" t="s">
        <v>63</v>
      </c>
      <c r="Q180" s="1" t="s">
        <v>47</v>
      </c>
      <c r="R180" s="1" t="s">
        <v>74</v>
      </c>
      <c r="S180" s="1">
        <v>2000</v>
      </c>
      <c r="T180" s="1"/>
      <c r="U180" s="1"/>
      <c r="V180" s="1"/>
      <c r="W180" s="1" t="s">
        <v>1061</v>
      </c>
      <c r="X180" s="1"/>
      <c r="Y180" s="1" t="s">
        <v>1062</v>
      </c>
      <c r="Z180" s="1" t="s">
        <v>76</v>
      </c>
      <c r="AA180" s="1" t="s">
        <v>66</v>
      </c>
      <c r="AB180" s="10" t="s">
        <v>66</v>
      </c>
      <c r="AC180" s="10" t="s">
        <v>68</v>
      </c>
      <c r="AD180" s="10" t="str">
        <f>IFERROR(VLOOKUP(B180,'Regiões Administrativas'!$A$1:$B$646,2,0),"")</f>
        <v>Sorocaba</v>
      </c>
      <c r="AE180" s="10">
        <f>IFERROR(VLOOKUP(Form_Responses[[#This Row],[Município]],'Regiões Administrativas'!$A$1:$I$646,3,0),"")</f>
        <v>15409</v>
      </c>
      <c r="AF180" s="10">
        <f>IFERROR(VLOOKUP(Form_Responses[[#This Row],[Município]],'Regiões Administrativas'!$A$1:$I$646,4,0),"")</f>
        <v>350275405000001</v>
      </c>
      <c r="AG180" s="10">
        <f>IFERROR(VLOOKUP(Form_Responses[[#This Row],[Município]],'Regiões Administrativas'!$A$1:$I$646,4,0),"")</f>
        <v>350275405000001</v>
      </c>
      <c r="AH180" s="10">
        <f>IFERROR(VLOOKUP(B180,'Regiões Administrativas'!$A$1:$I$646,5,0),"")</f>
        <v>3502754</v>
      </c>
      <c r="AI180" s="10">
        <f>IFERROR(VLOOKUP(B180,'Regiões Administrativas'!$A$1:$I$646,6,0),"")</f>
        <v>-47.071547600000002</v>
      </c>
      <c r="AJ180" s="10">
        <f>IFERROR(VLOOKUP(B180,'Regiões Administrativas'!$A$1:$I$646,8,0),"")</f>
        <v>710.676513</v>
      </c>
      <c r="AK180" s="10" t="str">
        <f>IFERROR(VLOOKUP(Form_Responses[[#This Row],[Município]],'Regiões Administrativas'!$A$1:$I$646,9,0),"")</f>
        <v>1J6tLXMX\W&lt;p</v>
      </c>
    </row>
    <row r="181" spans="1:37" ht="22.5" customHeight="1">
      <c r="A181" s="5">
        <v>46028.366011273145</v>
      </c>
      <c r="B181" s="1" t="s">
        <v>1004</v>
      </c>
      <c r="C181" s="1" t="s">
        <v>1005</v>
      </c>
      <c r="D181" s="1" t="s">
        <v>1063</v>
      </c>
      <c r="E181" s="1" t="s">
        <v>1064</v>
      </c>
      <c r="F181" s="1" t="s">
        <v>1008</v>
      </c>
      <c r="G181" s="1" t="s">
        <v>1065</v>
      </c>
      <c r="H181" s="6" t="s">
        <v>1020</v>
      </c>
      <c r="I181" s="1" t="s">
        <v>128</v>
      </c>
      <c r="J181" s="7">
        <v>46122</v>
      </c>
      <c r="K181" s="7">
        <v>46124</v>
      </c>
      <c r="L181" s="11">
        <v>0.41666666666424135</v>
      </c>
      <c r="M181" s="11">
        <v>0.75</v>
      </c>
      <c r="N181" s="1" t="s">
        <v>73</v>
      </c>
      <c r="O181" s="1" t="s">
        <v>190</v>
      </c>
      <c r="P181" s="1" t="s">
        <v>63</v>
      </c>
      <c r="Q181" s="1" t="s">
        <v>47</v>
      </c>
      <c r="R181" s="1" t="s">
        <v>74</v>
      </c>
      <c r="S181" s="1">
        <v>500</v>
      </c>
      <c r="T181" s="1">
        <v>400</v>
      </c>
      <c r="U181" s="1">
        <v>350</v>
      </c>
      <c r="V181" s="1">
        <v>300</v>
      </c>
      <c r="W181" s="1" t="s">
        <v>1026</v>
      </c>
      <c r="X181" s="6" t="s">
        <v>1020</v>
      </c>
      <c r="Y181" s="1" t="s">
        <v>1013</v>
      </c>
      <c r="Z181" s="1" t="s">
        <v>76</v>
      </c>
      <c r="AA181" s="1" t="s">
        <v>113</v>
      </c>
      <c r="AB181" s="10" t="s">
        <v>66</v>
      </c>
      <c r="AC181" s="10" t="s">
        <v>68</v>
      </c>
      <c r="AD181" s="10" t="str">
        <f>IFERROR(VLOOKUP(B181,'Regiões Administrativas'!$A$1:$B$646,2,0),"")</f>
        <v>São José dos Campos</v>
      </c>
      <c r="AE181" s="10">
        <f>IFERROR(VLOOKUP(Form_Responses[[#This Row],[Município]],'Regiões Administrativas'!$A$1:$I$646,3,0),"")</f>
        <v>16711</v>
      </c>
      <c r="AF181" s="10">
        <f>IFERROR(VLOOKUP(Form_Responses[[#This Row],[Município]],'Regiões Administrativas'!$A$1:$I$646,4,0),"")</f>
        <v>353560605000001</v>
      </c>
      <c r="AG181" s="10">
        <f>IFERROR(VLOOKUP(Form_Responses[[#This Row],[Município]],'Regiões Administrativas'!$A$1:$I$646,4,0),"")</f>
        <v>353560605000001</v>
      </c>
      <c r="AH181" s="10">
        <f>IFERROR(VLOOKUP(B181,'Regiões Administrativas'!$A$1:$I$646,5,0),"")</f>
        <v>3535606</v>
      </c>
      <c r="AI181" s="10">
        <f>IFERROR(VLOOKUP(B181,'Regiões Administrativas'!$A$1:$I$646,6,0),"")</f>
        <v>-45.6628641</v>
      </c>
      <c r="AJ181" s="10">
        <f>IFERROR(VLOOKUP(B181,'Regiões Administrativas'!$A$1:$I$646,8,0),"")</f>
        <v>636.606582</v>
      </c>
      <c r="AK181" s="10" t="str">
        <f>IFERROR(VLOOKUP(Form_Responses[[#This Row],[Município]],'Regiões Administrativas'!$A$1:$I$646,9,0),"")</f>
        <v>1J6tOzEB1BHp</v>
      </c>
    </row>
    <row r="182" spans="1:37" ht="22.5" customHeight="1">
      <c r="A182" s="5">
        <v>46028.369002662039</v>
      </c>
      <c r="B182" s="1" t="s">
        <v>1052</v>
      </c>
      <c r="C182" s="1" t="s">
        <v>149</v>
      </c>
      <c r="D182" s="1" t="s">
        <v>1066</v>
      </c>
      <c r="E182" s="1" t="s">
        <v>1067</v>
      </c>
      <c r="F182" s="1"/>
      <c r="G182" s="1" t="s">
        <v>1068</v>
      </c>
      <c r="H182" s="1"/>
      <c r="I182" s="1" t="s">
        <v>109</v>
      </c>
      <c r="J182" s="7">
        <v>46087</v>
      </c>
      <c r="K182" s="7">
        <v>46103</v>
      </c>
      <c r="L182" s="11">
        <v>0.79166666666424135</v>
      </c>
      <c r="M182" s="11">
        <v>0.95833333333575865</v>
      </c>
      <c r="N182" s="1" t="s">
        <v>44</v>
      </c>
      <c r="O182" s="1" t="s">
        <v>221</v>
      </c>
      <c r="P182" s="1" t="s">
        <v>221</v>
      </c>
      <c r="Q182" s="1" t="s">
        <v>47</v>
      </c>
      <c r="R182" s="1" t="s">
        <v>74</v>
      </c>
      <c r="S182" s="1">
        <v>2000</v>
      </c>
      <c r="T182" s="1"/>
      <c r="U182" s="1"/>
      <c r="V182" s="1"/>
      <c r="W182" s="1" t="s">
        <v>1069</v>
      </c>
      <c r="X182" s="1"/>
      <c r="Y182" s="1" t="s">
        <v>1070</v>
      </c>
      <c r="Z182" s="1" t="s">
        <v>76</v>
      </c>
      <c r="AA182" s="1" t="s">
        <v>67</v>
      </c>
      <c r="AB182" s="10" t="s">
        <v>66</v>
      </c>
      <c r="AC182" s="10" t="s">
        <v>68</v>
      </c>
      <c r="AD182" s="10" t="str">
        <f>IFERROR(VLOOKUP(B182,'Regiões Administrativas'!$A$1:$B$646,2,0),"")</f>
        <v>Sorocaba</v>
      </c>
      <c r="AE182" s="10">
        <f>IFERROR(VLOOKUP(Form_Responses[[#This Row],[Município]],'Regiões Administrativas'!$A$1:$I$646,3,0),"")</f>
        <v>15409</v>
      </c>
      <c r="AF182" s="10">
        <f>IFERROR(VLOOKUP(Form_Responses[[#This Row],[Município]],'Regiões Administrativas'!$A$1:$I$646,4,0),"")</f>
        <v>350275405000001</v>
      </c>
      <c r="AG182" s="10">
        <f>IFERROR(VLOOKUP(Form_Responses[[#This Row],[Município]],'Regiões Administrativas'!$A$1:$I$646,4,0),"")</f>
        <v>350275405000001</v>
      </c>
      <c r="AH182" s="10">
        <f>IFERROR(VLOOKUP(B182,'Regiões Administrativas'!$A$1:$I$646,5,0),"")</f>
        <v>3502754</v>
      </c>
      <c r="AI182" s="10">
        <f>IFERROR(VLOOKUP(B182,'Regiões Administrativas'!$A$1:$I$646,6,0),"")</f>
        <v>-47.071547600000002</v>
      </c>
      <c r="AJ182" s="10">
        <f>IFERROR(VLOOKUP(B182,'Regiões Administrativas'!$A$1:$I$646,8,0),"")</f>
        <v>710.676513</v>
      </c>
      <c r="AK182" s="10" t="str">
        <f>IFERROR(VLOOKUP(Form_Responses[[#This Row],[Município]],'Regiões Administrativas'!$A$1:$I$646,9,0),"")</f>
        <v>1J6tLXMX\W&lt;p</v>
      </c>
    </row>
    <row r="183" spans="1:37" ht="22.5" customHeight="1">
      <c r="A183" s="5">
        <v>46028.369852974538</v>
      </c>
      <c r="B183" s="1" t="s">
        <v>1004</v>
      </c>
      <c r="C183" s="1" t="s">
        <v>1005</v>
      </c>
      <c r="D183" s="1" t="s">
        <v>1071</v>
      </c>
      <c r="E183" s="1" t="s">
        <v>1072</v>
      </c>
      <c r="F183" s="1" t="s">
        <v>1008</v>
      </c>
      <c r="G183" s="1" t="s">
        <v>1073</v>
      </c>
      <c r="H183" s="6" t="s">
        <v>1020</v>
      </c>
      <c r="I183" s="1" t="s">
        <v>220</v>
      </c>
      <c r="J183" s="7">
        <v>46143</v>
      </c>
      <c r="K183" s="7">
        <v>46143</v>
      </c>
      <c r="L183" s="11">
        <v>0.33333333333575865</v>
      </c>
      <c r="M183" s="11">
        <v>0.625</v>
      </c>
      <c r="N183" s="1" t="s">
        <v>98</v>
      </c>
      <c r="O183" s="1" t="s">
        <v>62</v>
      </c>
      <c r="P183" s="1" t="s">
        <v>99</v>
      </c>
      <c r="Q183" s="1" t="s">
        <v>47</v>
      </c>
      <c r="R183" s="1" t="s">
        <v>74</v>
      </c>
      <c r="S183" s="1">
        <v>500</v>
      </c>
      <c r="T183" s="1">
        <v>450</v>
      </c>
      <c r="U183" s="1">
        <v>400</v>
      </c>
      <c r="V183" s="1">
        <v>350</v>
      </c>
      <c r="W183" s="1" t="s">
        <v>1026</v>
      </c>
      <c r="X183" s="6" t="s">
        <v>1020</v>
      </c>
      <c r="Y183" s="1" t="s">
        <v>1013</v>
      </c>
      <c r="Z183" s="1" t="s">
        <v>76</v>
      </c>
      <c r="AA183" s="1" t="s">
        <v>113</v>
      </c>
      <c r="AB183" s="10" t="s">
        <v>66</v>
      </c>
      <c r="AC183" s="10" t="s">
        <v>68</v>
      </c>
      <c r="AD183" s="10" t="str">
        <f>IFERROR(VLOOKUP(B183,'Regiões Administrativas'!$A$1:$B$646,2,0),"")</f>
        <v>São José dos Campos</v>
      </c>
      <c r="AE183" s="10">
        <f>IFERROR(VLOOKUP(Form_Responses[[#This Row],[Município]],'Regiões Administrativas'!$A$1:$I$646,3,0),"")</f>
        <v>16711</v>
      </c>
      <c r="AF183" s="10">
        <f>IFERROR(VLOOKUP(Form_Responses[[#This Row],[Município]],'Regiões Administrativas'!$A$1:$I$646,4,0),"")</f>
        <v>353560605000001</v>
      </c>
      <c r="AG183" s="10">
        <f>IFERROR(VLOOKUP(Form_Responses[[#This Row],[Município]],'Regiões Administrativas'!$A$1:$I$646,4,0),"")</f>
        <v>353560605000001</v>
      </c>
      <c r="AH183" s="10">
        <f>IFERROR(VLOOKUP(B183,'Regiões Administrativas'!$A$1:$I$646,5,0),"")</f>
        <v>3535606</v>
      </c>
      <c r="AI183" s="10">
        <f>IFERROR(VLOOKUP(B183,'Regiões Administrativas'!$A$1:$I$646,6,0),"")</f>
        <v>-45.6628641</v>
      </c>
      <c r="AJ183" s="10">
        <f>IFERROR(VLOOKUP(B183,'Regiões Administrativas'!$A$1:$I$646,8,0),"")</f>
        <v>636.606582</v>
      </c>
      <c r="AK183" s="10" t="str">
        <f>IFERROR(VLOOKUP(Form_Responses[[#This Row],[Município]],'Regiões Administrativas'!$A$1:$I$646,9,0),"")</f>
        <v>1J6tOzEB1BHp</v>
      </c>
    </row>
    <row r="184" spans="1:37" ht="22.5" customHeight="1">
      <c r="A184" s="5">
        <v>46028.377427685184</v>
      </c>
      <c r="B184" s="1" t="s">
        <v>1052</v>
      </c>
      <c r="C184" s="1" t="s">
        <v>149</v>
      </c>
      <c r="D184" s="1" t="s">
        <v>1074</v>
      </c>
      <c r="E184" s="1" t="s">
        <v>1075</v>
      </c>
      <c r="F184" s="1"/>
      <c r="G184" s="1" t="s">
        <v>1076</v>
      </c>
      <c r="H184" s="1"/>
      <c r="I184" s="1" t="s">
        <v>220</v>
      </c>
      <c r="J184" s="7">
        <v>46143</v>
      </c>
      <c r="K184" s="7">
        <v>46165</v>
      </c>
      <c r="L184" s="1"/>
      <c r="M184" s="1"/>
      <c r="N184" s="1" t="s">
        <v>110</v>
      </c>
      <c r="O184" s="1" t="s">
        <v>99</v>
      </c>
      <c r="P184" s="1" t="s">
        <v>99</v>
      </c>
      <c r="Q184" s="1" t="s">
        <v>47</v>
      </c>
      <c r="R184" s="1" t="s">
        <v>74</v>
      </c>
      <c r="S184" s="1">
        <v>3000</v>
      </c>
      <c r="T184" s="1"/>
      <c r="U184" s="1"/>
      <c r="V184" s="1"/>
      <c r="W184" s="1" t="s">
        <v>1061</v>
      </c>
      <c r="X184" s="1"/>
      <c r="Y184" s="1" t="s">
        <v>1077</v>
      </c>
      <c r="Z184" s="1" t="s">
        <v>76</v>
      </c>
      <c r="AA184" s="1" t="s">
        <v>67</v>
      </c>
      <c r="AB184" s="10" t="s">
        <v>66</v>
      </c>
      <c r="AC184" s="10" t="s">
        <v>68</v>
      </c>
      <c r="AD184" s="10" t="str">
        <f>IFERROR(VLOOKUP(B184,'Regiões Administrativas'!$A$1:$B$646,2,0),"")</f>
        <v>Sorocaba</v>
      </c>
      <c r="AE184" s="10">
        <f>IFERROR(VLOOKUP(Form_Responses[[#This Row],[Município]],'Regiões Administrativas'!$A$1:$I$646,3,0),"")</f>
        <v>15409</v>
      </c>
      <c r="AF184" s="10">
        <f>IFERROR(VLOOKUP(Form_Responses[[#This Row],[Município]],'Regiões Administrativas'!$A$1:$I$646,4,0),"")</f>
        <v>350275405000001</v>
      </c>
      <c r="AG184" s="10">
        <f>IFERROR(VLOOKUP(Form_Responses[[#This Row],[Município]],'Regiões Administrativas'!$A$1:$I$646,4,0),"")</f>
        <v>350275405000001</v>
      </c>
      <c r="AH184" s="10">
        <f>IFERROR(VLOOKUP(B184,'Regiões Administrativas'!$A$1:$I$646,5,0),"")</f>
        <v>3502754</v>
      </c>
      <c r="AI184" s="10">
        <f>IFERROR(VLOOKUP(B184,'Regiões Administrativas'!$A$1:$I$646,6,0),"")</f>
        <v>-47.071547600000002</v>
      </c>
      <c r="AJ184" s="10">
        <f>IFERROR(VLOOKUP(B184,'Regiões Administrativas'!$A$1:$I$646,8,0),"")</f>
        <v>710.676513</v>
      </c>
      <c r="AK184" s="10" t="str">
        <f>IFERROR(VLOOKUP(Form_Responses[[#This Row],[Município]],'Regiões Administrativas'!$A$1:$I$646,9,0),"")</f>
        <v>1J6tLXMX\W&lt;p</v>
      </c>
    </row>
    <row r="185" spans="1:37" ht="22.5" customHeight="1">
      <c r="A185" s="13">
        <v>46028.380398645837</v>
      </c>
      <c r="B185" s="1" t="s">
        <v>1004</v>
      </c>
      <c r="C185" s="1" t="s">
        <v>1005</v>
      </c>
      <c r="D185" s="1" t="s">
        <v>1078</v>
      </c>
      <c r="E185" s="1" t="s">
        <v>1079</v>
      </c>
      <c r="F185" s="1" t="s">
        <v>1080</v>
      </c>
      <c r="G185" s="1" t="s">
        <v>1025</v>
      </c>
      <c r="H185" s="6" t="s">
        <v>1020</v>
      </c>
      <c r="I185" s="1" t="s">
        <v>60</v>
      </c>
      <c r="J185" s="7">
        <v>46185</v>
      </c>
      <c r="K185" s="7">
        <v>46194</v>
      </c>
      <c r="L185" s="11">
        <v>0.41666666666424135</v>
      </c>
      <c r="M185" s="11">
        <v>0</v>
      </c>
      <c r="N185" s="1" t="s">
        <v>110</v>
      </c>
      <c r="O185" s="1" t="s">
        <v>99</v>
      </c>
      <c r="P185" s="1" t="s">
        <v>99</v>
      </c>
      <c r="Q185" s="1" t="s">
        <v>47</v>
      </c>
      <c r="R185" s="1" t="s">
        <v>48</v>
      </c>
      <c r="S185" s="8">
        <v>50000</v>
      </c>
      <c r="T185" s="8">
        <v>35000</v>
      </c>
      <c r="U185" s="8">
        <v>30000</v>
      </c>
      <c r="V185" s="8">
        <v>25000</v>
      </c>
      <c r="W185" s="1" t="s">
        <v>1026</v>
      </c>
      <c r="X185" s="6" t="s">
        <v>1020</v>
      </c>
      <c r="Y185" s="1" t="s">
        <v>1013</v>
      </c>
      <c r="Z185" s="1" t="s">
        <v>76</v>
      </c>
      <c r="AA185" s="1" t="s">
        <v>113</v>
      </c>
      <c r="AB185" s="10" t="s">
        <v>66</v>
      </c>
      <c r="AC185" s="10" t="s">
        <v>68</v>
      </c>
      <c r="AD185" s="10" t="str">
        <f>IFERROR(VLOOKUP(B185,'Regiões Administrativas'!$A$1:$B$646,2,0),"")</f>
        <v>São José dos Campos</v>
      </c>
      <c r="AE185" s="10">
        <f>IFERROR(VLOOKUP(Form_Responses[[#This Row],[Município]],'Regiões Administrativas'!$A$1:$I$646,3,0),"")</f>
        <v>16711</v>
      </c>
      <c r="AF185" s="10">
        <f>IFERROR(VLOOKUP(Form_Responses[[#This Row],[Município]],'Regiões Administrativas'!$A$1:$I$646,4,0),"")</f>
        <v>353560605000001</v>
      </c>
      <c r="AG185" s="10">
        <f>IFERROR(VLOOKUP(Form_Responses[[#This Row],[Município]],'Regiões Administrativas'!$A$1:$I$646,4,0),"")</f>
        <v>353560605000001</v>
      </c>
      <c r="AH185" s="10">
        <f>IFERROR(VLOOKUP(B185,'Regiões Administrativas'!$A$1:$I$646,5,0),"")</f>
        <v>3535606</v>
      </c>
      <c r="AI185" s="10">
        <f>IFERROR(VLOOKUP(B185,'Regiões Administrativas'!$A$1:$I$646,6,0),"")</f>
        <v>-45.6628641</v>
      </c>
      <c r="AJ185" s="10">
        <f>IFERROR(VLOOKUP(B185,'Regiões Administrativas'!$A$1:$I$646,8,0),"")</f>
        <v>636.606582</v>
      </c>
      <c r="AK185" s="10" t="str">
        <f>IFERROR(VLOOKUP(Form_Responses[[#This Row],[Município]],'Regiões Administrativas'!$A$1:$I$646,9,0),"")</f>
        <v>1J6tOzEB1BHp</v>
      </c>
    </row>
    <row r="186" spans="1:37" ht="22.5" customHeight="1">
      <c r="A186" s="5">
        <v>46028.390627071756</v>
      </c>
      <c r="B186" s="1" t="s">
        <v>1052</v>
      </c>
      <c r="C186" s="1" t="s">
        <v>149</v>
      </c>
      <c r="D186" s="1" t="s">
        <v>1081</v>
      </c>
      <c r="E186" s="1" t="s">
        <v>1082</v>
      </c>
      <c r="F186" s="1"/>
      <c r="G186" s="1" t="s">
        <v>1083</v>
      </c>
      <c r="H186" s="1"/>
      <c r="I186" s="1" t="s">
        <v>128</v>
      </c>
      <c r="J186" s="7">
        <v>46131</v>
      </c>
      <c r="K186" s="7">
        <v>46131</v>
      </c>
      <c r="L186" s="11">
        <v>0.41666666666424135</v>
      </c>
      <c r="M186" s="11">
        <v>0.79166666666424135</v>
      </c>
      <c r="N186" s="1" t="s">
        <v>268</v>
      </c>
      <c r="O186" s="1" t="s">
        <v>99</v>
      </c>
      <c r="P186" s="1" t="s">
        <v>63</v>
      </c>
      <c r="Q186" s="1" t="s">
        <v>47</v>
      </c>
      <c r="R186" s="1" t="s">
        <v>48</v>
      </c>
      <c r="S186" s="1">
        <v>1000</v>
      </c>
      <c r="T186" s="1"/>
      <c r="U186" s="1"/>
      <c r="V186" s="1"/>
      <c r="W186" s="1" t="s">
        <v>1084</v>
      </c>
      <c r="X186" s="1"/>
      <c r="Y186" s="1" t="s">
        <v>1057</v>
      </c>
      <c r="Z186" s="1" t="s">
        <v>76</v>
      </c>
      <c r="AA186" s="1" t="s">
        <v>113</v>
      </c>
      <c r="AB186" s="10" t="s">
        <v>66</v>
      </c>
      <c r="AC186" s="10" t="s">
        <v>68</v>
      </c>
      <c r="AD186" s="10" t="str">
        <f>IFERROR(VLOOKUP(B186,'Regiões Administrativas'!$A$1:$B$646,2,0),"")</f>
        <v>Sorocaba</v>
      </c>
      <c r="AE186" s="10">
        <f>IFERROR(VLOOKUP(Form_Responses[[#This Row],[Município]],'Regiões Administrativas'!$A$1:$I$646,3,0),"")</f>
        <v>15409</v>
      </c>
      <c r="AF186" s="10">
        <f>IFERROR(VLOOKUP(Form_Responses[[#This Row],[Município]],'Regiões Administrativas'!$A$1:$I$646,4,0),"")</f>
        <v>350275405000001</v>
      </c>
      <c r="AG186" s="10">
        <f>IFERROR(VLOOKUP(Form_Responses[[#This Row],[Município]],'Regiões Administrativas'!$A$1:$I$646,4,0),"")</f>
        <v>350275405000001</v>
      </c>
      <c r="AH186" s="10">
        <f>IFERROR(VLOOKUP(B186,'Regiões Administrativas'!$A$1:$I$646,5,0),"")</f>
        <v>3502754</v>
      </c>
      <c r="AI186" s="10">
        <f>IFERROR(VLOOKUP(B186,'Regiões Administrativas'!$A$1:$I$646,6,0),"")</f>
        <v>-47.071547600000002</v>
      </c>
      <c r="AJ186" s="10">
        <f>IFERROR(VLOOKUP(B186,'Regiões Administrativas'!$A$1:$I$646,8,0),"")</f>
        <v>710.676513</v>
      </c>
      <c r="AK186" s="10" t="str">
        <f>IFERROR(VLOOKUP(Form_Responses[[#This Row],[Município]],'Regiões Administrativas'!$A$1:$I$646,9,0),"")</f>
        <v>1J6tLXMX\W&lt;p</v>
      </c>
    </row>
    <row r="187" spans="1:37" ht="22.5" customHeight="1">
      <c r="A187" s="13">
        <v>46028.392179907409</v>
      </c>
      <c r="B187" s="1" t="s">
        <v>1085</v>
      </c>
      <c r="C187" s="1" t="s">
        <v>237</v>
      </c>
      <c r="D187" s="1" t="s">
        <v>1086</v>
      </c>
      <c r="E187" s="1" t="s">
        <v>1087</v>
      </c>
      <c r="F187" s="1" t="s">
        <v>1088</v>
      </c>
      <c r="G187" s="1" t="s">
        <v>1089</v>
      </c>
      <c r="H187" s="6" t="s">
        <v>1090</v>
      </c>
      <c r="I187" s="1" t="s">
        <v>60</v>
      </c>
      <c r="J187" s="7">
        <v>46350</v>
      </c>
      <c r="K187" s="7">
        <v>46200</v>
      </c>
      <c r="L187" s="11">
        <v>0.79166666666424135</v>
      </c>
      <c r="M187" s="11">
        <v>4.1666666664241347E-2</v>
      </c>
      <c r="N187" s="1" t="s">
        <v>73</v>
      </c>
      <c r="O187" s="1" t="s">
        <v>45</v>
      </c>
      <c r="P187" s="1" t="s">
        <v>135</v>
      </c>
      <c r="Q187" s="1" t="s">
        <v>47</v>
      </c>
      <c r="R187" s="1" t="s">
        <v>48</v>
      </c>
      <c r="S187" s="8">
        <v>120000</v>
      </c>
      <c r="T187" s="8">
        <v>118000</v>
      </c>
      <c r="U187" s="8">
        <v>110000</v>
      </c>
      <c r="V187" s="8">
        <v>100000</v>
      </c>
      <c r="W187" s="1" t="s">
        <v>1091</v>
      </c>
      <c r="X187" s="1"/>
      <c r="Y187" s="1" t="s">
        <v>1092</v>
      </c>
      <c r="Z187" s="1" t="s">
        <v>52</v>
      </c>
      <c r="AA187" s="1" t="s">
        <v>297</v>
      </c>
      <c r="AB187" s="10" t="s">
        <v>207</v>
      </c>
      <c r="AC187" s="10" t="s">
        <v>68</v>
      </c>
      <c r="AD187" s="10" t="str">
        <f>IFERROR(VLOOKUP(B187,'Regiões Administrativas'!$A$1:$B$646,2,0),"")</f>
        <v>Presidente Prudente</v>
      </c>
      <c r="AE187" s="10">
        <f>IFERROR(VLOOKUP(Form_Responses[[#This Row],[Município]],'Regiões Administrativas'!$A$1:$I$646,3,0),"")</f>
        <v>16828</v>
      </c>
      <c r="AF187" s="10">
        <f>IFERROR(VLOOKUP(Form_Responses[[#This Row],[Município]],'Regiões Administrativas'!$A$1:$I$646,4,0),"")</f>
        <v>353920205000001</v>
      </c>
      <c r="AG187" s="10">
        <f>IFERROR(VLOOKUP(Form_Responses[[#This Row],[Município]],'Regiões Administrativas'!$A$1:$I$646,4,0),"")</f>
        <v>353920205000001</v>
      </c>
      <c r="AH187" s="10">
        <f>IFERROR(VLOOKUP(B187,'Regiões Administrativas'!$A$1:$I$646,5,0),"")</f>
        <v>3539202</v>
      </c>
      <c r="AI187" s="10">
        <f>IFERROR(VLOOKUP(B187,'Regiões Administrativas'!$A$1:$I$646,6,0),"")</f>
        <v>-51.499584300000002</v>
      </c>
      <c r="AJ187" s="10">
        <f>IFERROR(VLOOKUP(B187,'Regiões Administrativas'!$A$1:$I$646,8,0),"")</f>
        <v>486.94915099999997</v>
      </c>
      <c r="AK187" s="10" t="str">
        <f>IFERROR(VLOOKUP(Form_Responses[[#This Row],[Município]],'Regiões Administrativas'!$A$1:$I$646,9,0),"")</f>
        <v>1J6Rj:h7=R@-</v>
      </c>
    </row>
    <row r="188" spans="1:37" ht="22.5" customHeight="1">
      <c r="A188" s="5">
        <v>46028.393927060184</v>
      </c>
      <c r="B188" s="1" t="s">
        <v>1052</v>
      </c>
      <c r="C188" s="1" t="s">
        <v>149</v>
      </c>
      <c r="D188" s="1" t="s">
        <v>1093</v>
      </c>
      <c r="E188" s="1" t="s">
        <v>1094</v>
      </c>
      <c r="F188" s="1"/>
      <c r="G188" s="1" t="s">
        <v>1095</v>
      </c>
      <c r="H188" s="1"/>
      <c r="I188" s="1" t="s">
        <v>220</v>
      </c>
      <c r="J188" s="7">
        <v>46145</v>
      </c>
      <c r="K188" s="7">
        <v>46145</v>
      </c>
      <c r="L188" s="11">
        <v>0.25</v>
      </c>
      <c r="M188" s="11">
        <v>0.45833333333575865</v>
      </c>
      <c r="N188" s="1" t="s">
        <v>61</v>
      </c>
      <c r="O188" s="1" t="s">
        <v>62</v>
      </c>
      <c r="P188" s="1" t="s">
        <v>63</v>
      </c>
      <c r="Q188" s="1" t="s">
        <v>47</v>
      </c>
      <c r="R188" s="1" t="s">
        <v>74</v>
      </c>
      <c r="S188" s="1">
        <v>600</v>
      </c>
      <c r="T188" s="1"/>
      <c r="U188" s="1"/>
      <c r="V188" s="1"/>
      <c r="W188" s="1" t="s">
        <v>1061</v>
      </c>
      <c r="X188" s="1"/>
      <c r="Y188" s="1" t="s">
        <v>1096</v>
      </c>
      <c r="Z188" s="1" t="s">
        <v>66</v>
      </c>
      <c r="AA188" s="1" t="s">
        <v>66</v>
      </c>
      <c r="AB188" s="10" t="s">
        <v>66</v>
      </c>
      <c r="AC188" s="10" t="s">
        <v>68</v>
      </c>
      <c r="AD188" s="10" t="str">
        <f>IFERROR(VLOOKUP(B188,'Regiões Administrativas'!$A$1:$B$646,2,0),"")</f>
        <v>Sorocaba</v>
      </c>
      <c r="AE188" s="10">
        <f>IFERROR(VLOOKUP(Form_Responses[[#This Row],[Município]],'Regiões Administrativas'!$A$1:$I$646,3,0),"")</f>
        <v>15409</v>
      </c>
      <c r="AF188" s="10">
        <f>IFERROR(VLOOKUP(Form_Responses[[#This Row],[Município]],'Regiões Administrativas'!$A$1:$I$646,4,0),"")</f>
        <v>350275405000001</v>
      </c>
      <c r="AG188" s="10">
        <f>IFERROR(VLOOKUP(Form_Responses[[#This Row],[Município]],'Regiões Administrativas'!$A$1:$I$646,4,0),"")</f>
        <v>350275405000001</v>
      </c>
      <c r="AH188" s="10">
        <f>IFERROR(VLOOKUP(B188,'Regiões Administrativas'!$A$1:$I$646,5,0),"")</f>
        <v>3502754</v>
      </c>
      <c r="AI188" s="10">
        <f>IFERROR(VLOOKUP(B188,'Regiões Administrativas'!$A$1:$I$646,6,0),"")</f>
        <v>-47.071547600000002</v>
      </c>
      <c r="AJ188" s="10">
        <f>IFERROR(VLOOKUP(B188,'Regiões Administrativas'!$A$1:$I$646,8,0),"")</f>
        <v>710.676513</v>
      </c>
      <c r="AK188" s="10" t="str">
        <f>IFERROR(VLOOKUP(Form_Responses[[#This Row],[Município]],'Regiões Administrativas'!$A$1:$I$646,9,0),"")</f>
        <v>1J6tLXMX\W&lt;p</v>
      </c>
    </row>
    <row r="189" spans="1:37" ht="22.5" customHeight="1">
      <c r="A189" s="13">
        <v>46028.399806273148</v>
      </c>
      <c r="B189" s="1" t="s">
        <v>1052</v>
      </c>
      <c r="C189" s="1" t="s">
        <v>149</v>
      </c>
      <c r="D189" s="1" t="s">
        <v>1097</v>
      </c>
      <c r="E189" s="1" t="s">
        <v>1098</v>
      </c>
      <c r="F189" s="1"/>
      <c r="G189" s="1" t="s">
        <v>1083</v>
      </c>
      <c r="H189" s="1"/>
      <c r="I189" s="1" t="s">
        <v>72</v>
      </c>
      <c r="J189" s="7">
        <v>46221</v>
      </c>
      <c r="K189" s="7">
        <v>46221</v>
      </c>
      <c r="L189" s="11">
        <v>0.58333333333575865</v>
      </c>
      <c r="M189" s="11">
        <v>0.91666666666424135</v>
      </c>
      <c r="N189" s="1" t="s">
        <v>73</v>
      </c>
      <c r="O189" s="1" t="s">
        <v>45</v>
      </c>
      <c r="P189" s="1" t="s">
        <v>63</v>
      </c>
      <c r="Q189" s="1" t="s">
        <v>47</v>
      </c>
      <c r="R189" s="1" t="s">
        <v>74</v>
      </c>
      <c r="S189" s="1">
        <v>1500</v>
      </c>
      <c r="T189" s="1"/>
      <c r="U189" s="1"/>
      <c r="V189" s="1"/>
      <c r="W189" s="1" t="s">
        <v>1099</v>
      </c>
      <c r="X189" s="1"/>
      <c r="Y189" s="1" t="s">
        <v>1100</v>
      </c>
      <c r="Z189" s="1" t="s">
        <v>76</v>
      </c>
      <c r="AA189" s="1" t="s">
        <v>113</v>
      </c>
      <c r="AB189" s="10" t="s">
        <v>66</v>
      </c>
      <c r="AC189" s="10" t="s">
        <v>68</v>
      </c>
      <c r="AD189" s="10" t="str">
        <f>IFERROR(VLOOKUP(B189,'Regiões Administrativas'!$A$1:$B$646,2,0),"")</f>
        <v>Sorocaba</v>
      </c>
      <c r="AE189" s="10">
        <f>IFERROR(VLOOKUP(Form_Responses[[#This Row],[Município]],'Regiões Administrativas'!$A$1:$I$646,3,0),"")</f>
        <v>15409</v>
      </c>
      <c r="AF189" s="10">
        <f>IFERROR(VLOOKUP(Form_Responses[[#This Row],[Município]],'Regiões Administrativas'!$A$1:$I$646,4,0),"")</f>
        <v>350275405000001</v>
      </c>
      <c r="AG189" s="10">
        <f>IFERROR(VLOOKUP(Form_Responses[[#This Row],[Município]],'Regiões Administrativas'!$A$1:$I$646,4,0),"")</f>
        <v>350275405000001</v>
      </c>
      <c r="AH189" s="10">
        <f>IFERROR(VLOOKUP(B189,'Regiões Administrativas'!$A$1:$I$646,5,0),"")</f>
        <v>3502754</v>
      </c>
      <c r="AI189" s="10">
        <f>IFERROR(VLOOKUP(B189,'Regiões Administrativas'!$A$1:$I$646,6,0),"")</f>
        <v>-47.071547600000002</v>
      </c>
      <c r="AJ189" s="10">
        <f>IFERROR(VLOOKUP(B189,'Regiões Administrativas'!$A$1:$I$646,8,0),"")</f>
        <v>710.676513</v>
      </c>
      <c r="AK189" s="10" t="str">
        <f>IFERROR(VLOOKUP(Form_Responses[[#This Row],[Município]],'Regiões Administrativas'!$A$1:$I$646,9,0),"")</f>
        <v>1J6tLXMX\W&lt;p</v>
      </c>
    </row>
    <row r="190" spans="1:37" ht="22.5" customHeight="1">
      <c r="A190" s="13">
        <v>46028.402477106487</v>
      </c>
      <c r="B190" s="1" t="s">
        <v>1004</v>
      </c>
      <c r="C190" s="1" t="s">
        <v>1005</v>
      </c>
      <c r="D190" s="1" t="s">
        <v>1101</v>
      </c>
      <c r="E190" s="1" t="s">
        <v>1102</v>
      </c>
      <c r="F190" s="1" t="s">
        <v>1080</v>
      </c>
      <c r="G190" s="1" t="s">
        <v>1103</v>
      </c>
      <c r="H190" s="6" t="s">
        <v>1020</v>
      </c>
      <c r="I190" s="1" t="s">
        <v>60</v>
      </c>
      <c r="J190" s="7">
        <v>46194</v>
      </c>
      <c r="K190" s="7">
        <v>46194</v>
      </c>
      <c r="L190" s="11">
        <v>0.33333333333575865</v>
      </c>
      <c r="M190" s="11">
        <v>0.66666666666424135</v>
      </c>
      <c r="N190" s="1" t="s">
        <v>421</v>
      </c>
      <c r="O190" s="1" t="s">
        <v>221</v>
      </c>
      <c r="P190" s="1" t="s">
        <v>221</v>
      </c>
      <c r="Q190" s="1" t="s">
        <v>47</v>
      </c>
      <c r="R190" s="1" t="s">
        <v>74</v>
      </c>
      <c r="S190" s="1">
        <v>600</v>
      </c>
      <c r="T190" s="1">
        <v>500</v>
      </c>
      <c r="U190" s="1">
        <v>450</v>
      </c>
      <c r="V190" s="1">
        <v>400</v>
      </c>
      <c r="W190" s="1" t="s">
        <v>1104</v>
      </c>
      <c r="X190" s="1"/>
      <c r="Y190" s="1" t="s">
        <v>1013</v>
      </c>
      <c r="Z190" s="1" t="s">
        <v>76</v>
      </c>
      <c r="AA190" s="1" t="s">
        <v>113</v>
      </c>
      <c r="AB190" s="10" t="s">
        <v>66</v>
      </c>
      <c r="AC190" s="10" t="s">
        <v>68</v>
      </c>
      <c r="AD190" s="10" t="str">
        <f>IFERROR(VLOOKUP(B190,'Regiões Administrativas'!$A$1:$B$646,2,0),"")</f>
        <v>São José dos Campos</v>
      </c>
      <c r="AE190" s="10">
        <f>IFERROR(VLOOKUP(Form_Responses[[#This Row],[Município]],'Regiões Administrativas'!$A$1:$I$646,3,0),"")</f>
        <v>16711</v>
      </c>
      <c r="AF190" s="10">
        <f>IFERROR(VLOOKUP(Form_Responses[[#This Row],[Município]],'Regiões Administrativas'!$A$1:$I$646,4,0),"")</f>
        <v>353560605000001</v>
      </c>
      <c r="AG190" s="10">
        <f>IFERROR(VLOOKUP(Form_Responses[[#This Row],[Município]],'Regiões Administrativas'!$A$1:$I$646,4,0),"")</f>
        <v>353560605000001</v>
      </c>
      <c r="AH190" s="10">
        <f>IFERROR(VLOOKUP(B190,'Regiões Administrativas'!$A$1:$I$646,5,0),"")</f>
        <v>3535606</v>
      </c>
      <c r="AI190" s="10">
        <f>IFERROR(VLOOKUP(B190,'Regiões Administrativas'!$A$1:$I$646,6,0),"")</f>
        <v>-45.6628641</v>
      </c>
      <c r="AJ190" s="10">
        <f>IFERROR(VLOOKUP(B190,'Regiões Administrativas'!$A$1:$I$646,8,0),"")</f>
        <v>636.606582</v>
      </c>
      <c r="AK190" s="10" t="str">
        <f>IFERROR(VLOOKUP(Form_Responses[[#This Row],[Município]],'Regiões Administrativas'!$A$1:$I$646,9,0),"")</f>
        <v>1J6tOzEB1BHp</v>
      </c>
    </row>
    <row r="191" spans="1:37" ht="22.5" customHeight="1">
      <c r="A191" s="13">
        <v>46028.407112349538</v>
      </c>
      <c r="B191" s="1" t="s">
        <v>1052</v>
      </c>
      <c r="C191" s="1" t="s">
        <v>149</v>
      </c>
      <c r="D191" s="1" t="s">
        <v>1105</v>
      </c>
      <c r="E191" s="1" t="s">
        <v>1106</v>
      </c>
      <c r="F191" s="1"/>
      <c r="G191" s="1" t="s">
        <v>1107</v>
      </c>
      <c r="H191" s="1"/>
      <c r="I191" s="1" t="s">
        <v>81</v>
      </c>
      <c r="J191" s="7">
        <v>46272</v>
      </c>
      <c r="K191" s="7">
        <v>46273</v>
      </c>
      <c r="L191" s="11">
        <v>0.375</v>
      </c>
      <c r="M191" s="11">
        <v>0.70833333333575865</v>
      </c>
      <c r="N191" s="1" t="s">
        <v>44</v>
      </c>
      <c r="O191" s="1" t="s">
        <v>221</v>
      </c>
      <c r="P191" s="1" t="s">
        <v>221</v>
      </c>
      <c r="Q191" s="1" t="s">
        <v>47</v>
      </c>
      <c r="R191" s="1" t="s">
        <v>74</v>
      </c>
      <c r="S191" s="1">
        <v>1000</v>
      </c>
      <c r="T191" s="1"/>
      <c r="U191" s="1"/>
      <c r="V191" s="1"/>
      <c r="W191" s="1" t="s">
        <v>1069</v>
      </c>
      <c r="X191" s="1"/>
      <c r="Y191" s="1" t="s">
        <v>1070</v>
      </c>
      <c r="Z191" s="1" t="s">
        <v>66</v>
      </c>
      <c r="AA191" s="1" t="s">
        <v>66</v>
      </c>
      <c r="AB191" s="10" t="s">
        <v>66</v>
      </c>
      <c r="AC191" s="10" t="s">
        <v>68</v>
      </c>
      <c r="AD191" s="10" t="str">
        <f>IFERROR(VLOOKUP(B191,'Regiões Administrativas'!$A$1:$B$646,2,0),"")</f>
        <v>Sorocaba</v>
      </c>
      <c r="AE191" s="10">
        <f>IFERROR(VLOOKUP(Form_Responses[[#This Row],[Município]],'Regiões Administrativas'!$A$1:$I$646,3,0),"")</f>
        <v>15409</v>
      </c>
      <c r="AF191" s="10">
        <f>IFERROR(VLOOKUP(Form_Responses[[#This Row],[Município]],'Regiões Administrativas'!$A$1:$I$646,4,0),"")</f>
        <v>350275405000001</v>
      </c>
      <c r="AG191" s="10">
        <f>IFERROR(VLOOKUP(Form_Responses[[#This Row],[Município]],'Regiões Administrativas'!$A$1:$I$646,4,0),"")</f>
        <v>350275405000001</v>
      </c>
      <c r="AH191" s="10">
        <f>IFERROR(VLOOKUP(B191,'Regiões Administrativas'!$A$1:$I$646,5,0),"")</f>
        <v>3502754</v>
      </c>
      <c r="AI191" s="10">
        <f>IFERROR(VLOOKUP(B191,'Regiões Administrativas'!$A$1:$I$646,6,0),"")</f>
        <v>-47.071547600000002</v>
      </c>
      <c r="AJ191" s="10">
        <f>IFERROR(VLOOKUP(B191,'Regiões Administrativas'!$A$1:$I$646,8,0),"")</f>
        <v>710.676513</v>
      </c>
      <c r="AK191" s="10" t="str">
        <f>IFERROR(VLOOKUP(Form_Responses[[#This Row],[Município]],'Regiões Administrativas'!$A$1:$I$646,9,0),"")</f>
        <v>1J6tLXMX\W&lt;p</v>
      </c>
    </row>
    <row r="192" spans="1:37" ht="22.5" customHeight="1">
      <c r="A192" s="5">
        <v>46028.409979293981</v>
      </c>
      <c r="B192" s="1" t="s">
        <v>1108</v>
      </c>
      <c r="C192" s="1" t="s">
        <v>1109</v>
      </c>
      <c r="D192" s="1" t="s">
        <v>1110</v>
      </c>
      <c r="E192" s="1" t="s">
        <v>1111</v>
      </c>
      <c r="F192" s="1"/>
      <c r="G192" s="1" t="s">
        <v>1112</v>
      </c>
      <c r="H192" s="1"/>
      <c r="I192" s="1" t="s">
        <v>128</v>
      </c>
      <c r="J192" s="7">
        <v>46113</v>
      </c>
      <c r="K192" s="7">
        <v>46117</v>
      </c>
      <c r="L192" s="11">
        <v>0.83333333333575865</v>
      </c>
      <c r="M192" s="11">
        <v>0.89583333333575865</v>
      </c>
      <c r="N192" s="1" t="s">
        <v>44</v>
      </c>
      <c r="O192" s="1" t="s">
        <v>221</v>
      </c>
      <c r="P192" s="1" t="s">
        <v>480</v>
      </c>
      <c r="Q192" s="1" t="s">
        <v>47</v>
      </c>
      <c r="R192" s="1" t="s">
        <v>48</v>
      </c>
      <c r="S192" s="1">
        <v>15000</v>
      </c>
      <c r="T192" s="1">
        <v>13000</v>
      </c>
      <c r="U192" s="1">
        <v>10000</v>
      </c>
      <c r="V192" s="1">
        <v>9000</v>
      </c>
      <c r="W192" s="1" t="s">
        <v>1113</v>
      </c>
      <c r="X192" s="6" t="s">
        <v>1114</v>
      </c>
      <c r="Y192" s="1" t="s">
        <v>1115</v>
      </c>
      <c r="Z192" s="1" t="s">
        <v>1116</v>
      </c>
      <c r="AA192" s="1" t="s">
        <v>93</v>
      </c>
      <c r="AB192" s="10" t="s">
        <v>66</v>
      </c>
      <c r="AC192" s="10" t="s">
        <v>68</v>
      </c>
      <c r="AD192" s="10" t="str">
        <f>IFERROR(VLOOKUP(B192,'Regiões Administrativas'!$A$1:$B$646,2,0),"")</f>
        <v>Campinas</v>
      </c>
      <c r="AE192" s="10">
        <f>IFERROR(VLOOKUP(Form_Responses[[#This Row],[Município]],'Regiões Administrativas'!$A$1:$I$646,3,0),"")</f>
        <v>16800</v>
      </c>
      <c r="AF192" s="10">
        <f>IFERROR(VLOOKUP(Form_Responses[[#This Row],[Município]],'Regiões Administrativas'!$A$1:$I$646,4,0),"")</f>
        <v>353870905000001</v>
      </c>
      <c r="AG192" s="10">
        <f>IFERROR(VLOOKUP(Form_Responses[[#This Row],[Município]],'Regiões Administrativas'!$A$1:$I$646,4,0),"")</f>
        <v>353870905000001</v>
      </c>
      <c r="AH192" s="10">
        <f>IFERROR(VLOOKUP(B192,'Regiões Administrativas'!$A$1:$I$646,5,0),"")</f>
        <v>3538709</v>
      </c>
      <c r="AI192" s="10">
        <f>IFERROR(VLOOKUP(B192,'Regiões Administrativas'!$A$1:$I$646,6,0),"")</f>
        <v>-47.646846199999999</v>
      </c>
      <c r="AJ192" s="10">
        <f>IFERROR(VLOOKUP(B192,'Regiões Administrativas'!$A$1:$I$646,8,0),"")</f>
        <v>527.09938799999998</v>
      </c>
      <c r="AK192" s="10" t="str">
        <f>IFERROR(VLOOKUP(Form_Responses[[#This Row],[Município]],'Regiões Administrativas'!$A$1:$I$646,9,0),"")</f>
        <v>1J6tHWQje+W-</v>
      </c>
    </row>
    <row r="193" spans="1:37" ht="22.5" customHeight="1">
      <c r="A193" s="13">
        <v>46028.410371724538</v>
      </c>
      <c r="B193" s="1" t="s">
        <v>1052</v>
      </c>
      <c r="C193" s="1" t="s">
        <v>149</v>
      </c>
      <c r="D193" s="1" t="s">
        <v>1117</v>
      </c>
      <c r="E193" s="1" t="s">
        <v>1118</v>
      </c>
      <c r="F193" s="1"/>
      <c r="G193" s="1" t="s">
        <v>1119</v>
      </c>
      <c r="H193" s="1"/>
      <c r="I193" s="1" t="s">
        <v>81</v>
      </c>
      <c r="J193" s="7">
        <v>46271</v>
      </c>
      <c r="K193" s="7">
        <v>46285</v>
      </c>
      <c r="L193" s="1"/>
      <c r="M193" s="1"/>
      <c r="N193" s="1" t="s">
        <v>44</v>
      </c>
      <c r="O193" s="1" t="s">
        <v>221</v>
      </c>
      <c r="P193" s="1" t="s">
        <v>221</v>
      </c>
      <c r="Q193" s="1" t="s">
        <v>47</v>
      </c>
      <c r="R193" s="1" t="s">
        <v>74</v>
      </c>
      <c r="S193" s="1">
        <v>3000</v>
      </c>
      <c r="T193" s="1"/>
      <c r="U193" s="1"/>
      <c r="V193" s="1"/>
      <c r="W193" s="1" t="s">
        <v>1069</v>
      </c>
      <c r="X193" s="1"/>
      <c r="Y193" s="1" t="s">
        <v>1070</v>
      </c>
      <c r="Z193" s="1" t="s">
        <v>76</v>
      </c>
      <c r="AA193" s="1" t="s">
        <v>113</v>
      </c>
      <c r="AB193" s="10" t="s">
        <v>66</v>
      </c>
      <c r="AC193" s="10" t="s">
        <v>68</v>
      </c>
      <c r="AD193" s="10" t="str">
        <f>IFERROR(VLOOKUP(B193,'Regiões Administrativas'!$A$1:$B$646,2,0),"")</f>
        <v>Sorocaba</v>
      </c>
      <c r="AE193" s="10">
        <f>IFERROR(VLOOKUP(Form_Responses[[#This Row],[Município]],'Regiões Administrativas'!$A$1:$I$646,3,0),"")</f>
        <v>15409</v>
      </c>
      <c r="AF193" s="10">
        <f>IFERROR(VLOOKUP(Form_Responses[[#This Row],[Município]],'Regiões Administrativas'!$A$1:$I$646,4,0),"")</f>
        <v>350275405000001</v>
      </c>
      <c r="AG193" s="10">
        <f>IFERROR(VLOOKUP(Form_Responses[[#This Row],[Município]],'Regiões Administrativas'!$A$1:$I$646,4,0),"")</f>
        <v>350275405000001</v>
      </c>
      <c r="AH193" s="10">
        <f>IFERROR(VLOOKUP(B193,'Regiões Administrativas'!$A$1:$I$646,5,0),"")</f>
        <v>3502754</v>
      </c>
      <c r="AI193" s="10">
        <f>IFERROR(VLOOKUP(B193,'Regiões Administrativas'!$A$1:$I$646,6,0),"")</f>
        <v>-47.071547600000002</v>
      </c>
      <c r="AJ193" s="10">
        <f>IFERROR(VLOOKUP(B193,'Regiões Administrativas'!$A$1:$I$646,8,0),"")</f>
        <v>710.676513</v>
      </c>
      <c r="AK193" s="10" t="str">
        <f>IFERROR(VLOOKUP(Form_Responses[[#This Row],[Município]],'Regiões Administrativas'!$A$1:$I$646,9,0),"")</f>
        <v>1J6tLXMX\W&lt;p</v>
      </c>
    </row>
    <row r="194" spans="1:37" ht="22.5" customHeight="1">
      <c r="A194" s="5">
        <v>46028.412604525467</v>
      </c>
      <c r="B194" s="1" t="s">
        <v>1004</v>
      </c>
      <c r="C194" s="1" t="s">
        <v>1005</v>
      </c>
      <c r="D194" s="1" t="s">
        <v>1120</v>
      </c>
      <c r="E194" s="1" t="s">
        <v>1121</v>
      </c>
      <c r="F194" s="1" t="s">
        <v>1008</v>
      </c>
      <c r="G194" s="1" t="s">
        <v>1122</v>
      </c>
      <c r="H194" s="6" t="s">
        <v>1020</v>
      </c>
      <c r="I194" s="1" t="s">
        <v>89</v>
      </c>
      <c r="J194" s="7">
        <v>46067</v>
      </c>
      <c r="K194" s="7">
        <v>46070</v>
      </c>
      <c r="L194" s="11">
        <v>0.41666666666424135</v>
      </c>
      <c r="M194" s="11">
        <v>0.83333333333575865</v>
      </c>
      <c r="N194" s="1" t="s">
        <v>73</v>
      </c>
      <c r="O194" s="1" t="s">
        <v>190</v>
      </c>
      <c r="P194" s="1" t="s">
        <v>90</v>
      </c>
      <c r="Q194" s="1" t="s">
        <v>47</v>
      </c>
      <c r="R194" s="1" t="s">
        <v>74</v>
      </c>
      <c r="S194" s="1">
        <v>3000</v>
      </c>
      <c r="T194" s="1">
        <v>2500</v>
      </c>
      <c r="U194" s="1">
        <v>2000</v>
      </c>
      <c r="V194" s="1">
        <v>2000</v>
      </c>
      <c r="W194" s="1" t="s">
        <v>1123</v>
      </c>
      <c r="X194" s="1"/>
      <c r="Y194" s="1" t="s">
        <v>1013</v>
      </c>
      <c r="Z194" s="1" t="s">
        <v>76</v>
      </c>
      <c r="AA194" s="1" t="s">
        <v>113</v>
      </c>
      <c r="AB194" s="10" t="s">
        <v>66</v>
      </c>
      <c r="AC194" s="10" t="s">
        <v>68</v>
      </c>
      <c r="AD194" s="10" t="str">
        <f>IFERROR(VLOOKUP(B194,'Regiões Administrativas'!$A$1:$B$646,2,0),"")</f>
        <v>São José dos Campos</v>
      </c>
      <c r="AE194" s="10">
        <f>IFERROR(VLOOKUP(Form_Responses[[#This Row],[Município]],'Regiões Administrativas'!$A$1:$I$646,3,0),"")</f>
        <v>16711</v>
      </c>
      <c r="AF194" s="10">
        <f>IFERROR(VLOOKUP(Form_Responses[[#This Row],[Município]],'Regiões Administrativas'!$A$1:$I$646,4,0),"")</f>
        <v>353560605000001</v>
      </c>
      <c r="AG194" s="10">
        <f>IFERROR(VLOOKUP(Form_Responses[[#This Row],[Município]],'Regiões Administrativas'!$A$1:$I$646,4,0),"")</f>
        <v>353560605000001</v>
      </c>
      <c r="AH194" s="10">
        <f>IFERROR(VLOOKUP(B194,'Regiões Administrativas'!$A$1:$I$646,5,0),"")</f>
        <v>3535606</v>
      </c>
      <c r="AI194" s="10">
        <f>IFERROR(VLOOKUP(B194,'Regiões Administrativas'!$A$1:$I$646,6,0),"")</f>
        <v>-45.6628641</v>
      </c>
      <c r="AJ194" s="10">
        <f>IFERROR(VLOOKUP(B194,'Regiões Administrativas'!$A$1:$I$646,8,0),"")</f>
        <v>636.606582</v>
      </c>
      <c r="AK194" s="10" t="str">
        <f>IFERROR(VLOOKUP(Form_Responses[[#This Row],[Município]],'Regiões Administrativas'!$A$1:$I$646,9,0),"")</f>
        <v>1J6tOzEB1BHp</v>
      </c>
    </row>
    <row r="195" spans="1:37" ht="22.5" customHeight="1">
      <c r="A195" s="13">
        <v>46028.412987233794</v>
      </c>
      <c r="B195" s="1" t="s">
        <v>1052</v>
      </c>
      <c r="C195" s="1" t="s">
        <v>149</v>
      </c>
      <c r="D195" s="1" t="s">
        <v>1124</v>
      </c>
      <c r="E195" s="1" t="s">
        <v>1125</v>
      </c>
      <c r="F195" s="1"/>
      <c r="G195" s="1" t="s">
        <v>1126</v>
      </c>
      <c r="H195" s="1"/>
      <c r="I195" s="1" t="s">
        <v>162</v>
      </c>
      <c r="J195" s="7">
        <v>46361</v>
      </c>
      <c r="K195" s="7">
        <v>46362</v>
      </c>
      <c r="L195" s="11">
        <v>0.79166666666424135</v>
      </c>
      <c r="M195" s="11">
        <v>0.9375</v>
      </c>
      <c r="N195" s="1" t="s">
        <v>73</v>
      </c>
      <c r="O195" s="1" t="s">
        <v>45</v>
      </c>
      <c r="P195" s="1" t="s">
        <v>63</v>
      </c>
      <c r="Q195" s="1" t="s">
        <v>47</v>
      </c>
      <c r="R195" s="1" t="s">
        <v>74</v>
      </c>
      <c r="S195" s="1">
        <v>1500</v>
      </c>
      <c r="T195" s="1"/>
      <c r="U195" s="1"/>
      <c r="V195" s="1"/>
      <c r="W195" s="1" t="s">
        <v>1127</v>
      </c>
      <c r="X195" s="1"/>
      <c r="Y195" s="1" t="s">
        <v>1077</v>
      </c>
      <c r="Z195" s="1" t="s">
        <v>66</v>
      </c>
      <c r="AA195" s="1" t="s">
        <v>66</v>
      </c>
      <c r="AB195" s="10" t="s">
        <v>66</v>
      </c>
      <c r="AC195" s="10" t="s">
        <v>68</v>
      </c>
      <c r="AD195" s="10" t="str">
        <f>IFERROR(VLOOKUP(B195,'Regiões Administrativas'!$A$1:$B$646,2,0),"")</f>
        <v>Sorocaba</v>
      </c>
      <c r="AE195" s="10">
        <f>IFERROR(VLOOKUP(Form_Responses[[#This Row],[Município]],'Regiões Administrativas'!$A$1:$I$646,3,0),"")</f>
        <v>15409</v>
      </c>
      <c r="AF195" s="10">
        <f>IFERROR(VLOOKUP(Form_Responses[[#This Row],[Município]],'Regiões Administrativas'!$A$1:$I$646,4,0),"")</f>
        <v>350275405000001</v>
      </c>
      <c r="AG195" s="10">
        <f>IFERROR(VLOOKUP(Form_Responses[[#This Row],[Município]],'Regiões Administrativas'!$A$1:$I$646,4,0),"")</f>
        <v>350275405000001</v>
      </c>
      <c r="AH195" s="10">
        <f>IFERROR(VLOOKUP(B195,'Regiões Administrativas'!$A$1:$I$646,5,0),"")</f>
        <v>3502754</v>
      </c>
      <c r="AI195" s="10">
        <f>IFERROR(VLOOKUP(B195,'Regiões Administrativas'!$A$1:$I$646,6,0),"")</f>
        <v>-47.071547600000002</v>
      </c>
      <c r="AJ195" s="10">
        <f>IFERROR(VLOOKUP(B195,'Regiões Administrativas'!$A$1:$I$646,8,0),"")</f>
        <v>710.676513</v>
      </c>
      <c r="AK195" s="10" t="str">
        <f>IFERROR(VLOOKUP(Form_Responses[[#This Row],[Município]],'Regiões Administrativas'!$A$1:$I$646,9,0),"")</f>
        <v>1J6tLXMX\W&lt;p</v>
      </c>
    </row>
    <row r="196" spans="1:37" ht="22.5" customHeight="1">
      <c r="A196" s="13">
        <v>46028.41558724537</v>
      </c>
      <c r="B196" s="1" t="s">
        <v>1052</v>
      </c>
      <c r="C196" s="1" t="s">
        <v>149</v>
      </c>
      <c r="D196" s="1" t="s">
        <v>1128</v>
      </c>
      <c r="E196" s="1" t="s">
        <v>1129</v>
      </c>
      <c r="F196" s="1"/>
      <c r="G196" s="1" t="s">
        <v>1126</v>
      </c>
      <c r="H196" s="1"/>
      <c r="I196" s="1" t="s">
        <v>162</v>
      </c>
      <c r="J196" s="7">
        <v>46375</v>
      </c>
      <c r="K196" s="7">
        <v>46375</v>
      </c>
      <c r="L196" s="11">
        <v>0.79166666666424135</v>
      </c>
      <c r="M196" s="11">
        <v>0.9375</v>
      </c>
      <c r="N196" s="1" t="s">
        <v>73</v>
      </c>
      <c r="O196" s="1" t="s">
        <v>45</v>
      </c>
      <c r="P196" s="1" t="s">
        <v>63</v>
      </c>
      <c r="Q196" s="1" t="s">
        <v>47</v>
      </c>
      <c r="R196" s="1" t="s">
        <v>256</v>
      </c>
      <c r="S196" s="1">
        <v>800</v>
      </c>
      <c r="T196" s="1"/>
      <c r="U196" s="1"/>
      <c r="V196" s="1"/>
      <c r="W196" s="1" t="s">
        <v>1130</v>
      </c>
      <c r="X196" s="1"/>
      <c r="Y196" s="1" t="s">
        <v>1077</v>
      </c>
      <c r="Z196" s="1" t="s">
        <v>66</v>
      </c>
      <c r="AA196" s="1" t="s">
        <v>66</v>
      </c>
      <c r="AB196" s="10" t="s">
        <v>66</v>
      </c>
      <c r="AC196" s="10" t="s">
        <v>68</v>
      </c>
      <c r="AD196" s="10" t="str">
        <f>IFERROR(VLOOKUP(B196,'Regiões Administrativas'!$A$1:$B$646,2,0),"")</f>
        <v>Sorocaba</v>
      </c>
      <c r="AE196" s="10">
        <f>IFERROR(VLOOKUP(Form_Responses[[#This Row],[Município]],'Regiões Administrativas'!$A$1:$I$646,3,0),"")</f>
        <v>15409</v>
      </c>
      <c r="AF196" s="10">
        <f>IFERROR(VLOOKUP(Form_Responses[[#This Row],[Município]],'Regiões Administrativas'!$A$1:$I$646,4,0),"")</f>
        <v>350275405000001</v>
      </c>
      <c r="AG196" s="10">
        <f>IFERROR(VLOOKUP(Form_Responses[[#This Row],[Município]],'Regiões Administrativas'!$A$1:$I$646,4,0),"")</f>
        <v>350275405000001</v>
      </c>
      <c r="AH196" s="10">
        <f>IFERROR(VLOOKUP(B196,'Regiões Administrativas'!$A$1:$I$646,5,0),"")</f>
        <v>3502754</v>
      </c>
      <c r="AI196" s="10">
        <f>IFERROR(VLOOKUP(B196,'Regiões Administrativas'!$A$1:$I$646,6,0),"")</f>
        <v>-47.071547600000002</v>
      </c>
      <c r="AJ196" s="10">
        <f>IFERROR(VLOOKUP(B196,'Regiões Administrativas'!$A$1:$I$646,8,0),"")</f>
        <v>710.676513</v>
      </c>
      <c r="AK196" s="10" t="str">
        <f>IFERROR(VLOOKUP(Form_Responses[[#This Row],[Município]],'Regiões Administrativas'!$A$1:$I$646,9,0),"")</f>
        <v>1J6tLXMX\W&lt;p</v>
      </c>
    </row>
    <row r="197" spans="1:37" ht="22.5" customHeight="1">
      <c r="A197" s="5">
        <v>46028.416483877314</v>
      </c>
      <c r="B197" s="1" t="s">
        <v>1131</v>
      </c>
      <c r="C197" s="1" t="s">
        <v>1005</v>
      </c>
      <c r="D197" s="1" t="s">
        <v>1132</v>
      </c>
      <c r="E197" s="1" t="s">
        <v>1133</v>
      </c>
      <c r="F197" s="1"/>
      <c r="G197" s="1" t="s">
        <v>1134</v>
      </c>
      <c r="H197" s="6" t="s">
        <v>1135</v>
      </c>
      <c r="I197" s="1" t="s">
        <v>267</v>
      </c>
      <c r="J197" s="7">
        <v>45674</v>
      </c>
      <c r="K197" s="7">
        <v>45688</v>
      </c>
      <c r="L197" s="11">
        <v>0.58333333333575865</v>
      </c>
      <c r="M197" s="11">
        <v>0</v>
      </c>
      <c r="N197" s="1" t="s">
        <v>73</v>
      </c>
      <c r="O197" s="1" t="s">
        <v>45</v>
      </c>
      <c r="P197" s="1" t="s">
        <v>90</v>
      </c>
      <c r="Q197" s="1" t="s">
        <v>47</v>
      </c>
      <c r="R197" s="1" t="s">
        <v>48</v>
      </c>
      <c r="S197" s="1">
        <v>8000</v>
      </c>
      <c r="T197" s="1">
        <v>6000</v>
      </c>
      <c r="U197" s="1">
        <v>5500</v>
      </c>
      <c r="V197" s="1">
        <v>6000</v>
      </c>
      <c r="W197" s="1" t="s">
        <v>1136</v>
      </c>
      <c r="X197" s="1"/>
      <c r="Y197" s="1" t="s">
        <v>1137</v>
      </c>
      <c r="Z197" s="1" t="s">
        <v>296</v>
      </c>
      <c r="AA197" s="1" t="s">
        <v>113</v>
      </c>
      <c r="AB197" s="10" t="s">
        <v>66</v>
      </c>
      <c r="AC197" s="10" t="s">
        <v>68</v>
      </c>
      <c r="AD197" s="10" t="str">
        <f>IFERROR(VLOOKUP(B197,'Regiões Administrativas'!$A$1:$B$646,2,0),"")</f>
        <v>São José dos Campos</v>
      </c>
      <c r="AE197" s="10">
        <f>IFERROR(VLOOKUP(Form_Responses[[#This Row],[Município]],'Regiões Administrativas'!$A$1:$I$646,3,0),"")</f>
        <v>17186</v>
      </c>
      <c r="AF197" s="10">
        <f>IFERROR(VLOOKUP(Form_Responses[[#This Row],[Município]],'Regiões Administrativas'!$A$1:$I$646,4,0),"")</f>
        <v>355000105000001</v>
      </c>
      <c r="AG197" s="10">
        <f>IFERROR(VLOOKUP(Form_Responses[[#This Row],[Município]],'Regiões Administrativas'!$A$1:$I$646,4,0),"")</f>
        <v>355000105000001</v>
      </c>
      <c r="AH197" s="10">
        <f>IFERROR(VLOOKUP(B197,'Regiões Administrativas'!$A$1:$I$646,5,0),"")</f>
        <v>3550001</v>
      </c>
      <c r="AI197" s="10">
        <f>IFERROR(VLOOKUP(B197,'Regiões Administrativas'!$A$1:$I$646,6,0),"")</f>
        <v>-45.309544500000001</v>
      </c>
      <c r="AJ197" s="10">
        <f>IFERROR(VLOOKUP(B197,'Regiões Administrativas'!$A$1:$I$646,8,0),"")</f>
        <v>761.15639399999998</v>
      </c>
      <c r="AK197" s="10" t="str">
        <f>IFERROR(VLOOKUP(Form_Responses[[#This Row],[Município]],'Regiões Administrativas'!$A$1:$I$646,9,0),"")</f>
        <v>1J6tvr4jXJRp</v>
      </c>
    </row>
    <row r="198" spans="1:37" ht="22.5" customHeight="1">
      <c r="A198" s="13">
        <v>46028.417735960647</v>
      </c>
      <c r="B198" s="1" t="s">
        <v>1004</v>
      </c>
      <c r="C198" s="1" t="s">
        <v>1005</v>
      </c>
      <c r="D198" s="1" t="s">
        <v>1138</v>
      </c>
      <c r="E198" s="1" t="s">
        <v>1139</v>
      </c>
      <c r="F198" s="1" t="s">
        <v>1008</v>
      </c>
      <c r="G198" s="1" t="s">
        <v>1065</v>
      </c>
      <c r="H198" s="6" t="s">
        <v>1020</v>
      </c>
      <c r="I198" s="1" t="s">
        <v>43</v>
      </c>
      <c r="J198" s="7">
        <v>46255</v>
      </c>
      <c r="K198" s="7">
        <v>46257</v>
      </c>
      <c r="L198" s="11">
        <v>0.41666666666424135</v>
      </c>
      <c r="M198" s="11">
        <v>0.91666666666424135</v>
      </c>
      <c r="N198" s="1" t="s">
        <v>44</v>
      </c>
      <c r="O198" s="1" t="s">
        <v>45</v>
      </c>
      <c r="P198" s="1" t="s">
        <v>99</v>
      </c>
      <c r="Q198" s="1" t="s">
        <v>47</v>
      </c>
      <c r="R198" s="1" t="s">
        <v>74</v>
      </c>
      <c r="S198" s="1">
        <v>5000</v>
      </c>
      <c r="T198" s="1">
        <v>4000</v>
      </c>
      <c r="U198" s="1">
        <v>4000</v>
      </c>
      <c r="V198" s="1">
        <v>3500</v>
      </c>
      <c r="W198" s="1" t="s">
        <v>1140</v>
      </c>
      <c r="X198" s="6" t="s">
        <v>1141</v>
      </c>
      <c r="Y198" s="1" t="s">
        <v>1013</v>
      </c>
      <c r="Z198" s="1" t="s">
        <v>76</v>
      </c>
      <c r="AA198" s="1" t="s">
        <v>113</v>
      </c>
      <c r="AB198" s="10" t="s">
        <v>66</v>
      </c>
      <c r="AC198" s="10" t="s">
        <v>68</v>
      </c>
      <c r="AD198" s="10" t="str">
        <f>IFERROR(VLOOKUP(B198,'Regiões Administrativas'!$A$1:$B$646,2,0),"")</f>
        <v>São José dos Campos</v>
      </c>
      <c r="AE198" s="10">
        <f>IFERROR(VLOOKUP(Form_Responses[[#This Row],[Município]],'Regiões Administrativas'!$A$1:$I$646,3,0),"")</f>
        <v>16711</v>
      </c>
      <c r="AF198" s="10">
        <f>IFERROR(VLOOKUP(Form_Responses[[#This Row],[Município]],'Regiões Administrativas'!$A$1:$I$646,4,0),"")</f>
        <v>353560605000001</v>
      </c>
      <c r="AG198" s="10">
        <f>IFERROR(VLOOKUP(Form_Responses[[#This Row],[Município]],'Regiões Administrativas'!$A$1:$I$646,4,0),"")</f>
        <v>353560605000001</v>
      </c>
      <c r="AH198" s="10">
        <f>IFERROR(VLOOKUP(B198,'Regiões Administrativas'!$A$1:$I$646,5,0),"")</f>
        <v>3535606</v>
      </c>
      <c r="AI198" s="10">
        <f>IFERROR(VLOOKUP(B198,'Regiões Administrativas'!$A$1:$I$646,6,0),"")</f>
        <v>-45.6628641</v>
      </c>
      <c r="AJ198" s="10">
        <f>IFERROR(VLOOKUP(B198,'Regiões Administrativas'!$A$1:$I$646,8,0),"")</f>
        <v>636.606582</v>
      </c>
      <c r="AK198" s="10" t="str">
        <f>IFERROR(VLOOKUP(Form_Responses[[#This Row],[Município]],'Regiões Administrativas'!$A$1:$I$646,9,0),"")</f>
        <v>1J6tOzEB1BHp</v>
      </c>
    </row>
    <row r="199" spans="1:37" ht="22.5" customHeight="1">
      <c r="A199" s="5">
        <v>46028.41945637732</v>
      </c>
      <c r="B199" s="1" t="s">
        <v>1142</v>
      </c>
      <c r="C199" s="1" t="s">
        <v>417</v>
      </c>
      <c r="D199" s="1" t="s">
        <v>1143</v>
      </c>
      <c r="E199" s="1" t="s">
        <v>1144</v>
      </c>
      <c r="F199" s="1"/>
      <c r="G199" s="1" t="s">
        <v>1145</v>
      </c>
      <c r="H199" s="6" t="s">
        <v>1146</v>
      </c>
      <c r="I199" s="1" t="s">
        <v>89</v>
      </c>
      <c r="J199" s="7">
        <v>46066</v>
      </c>
      <c r="K199" s="7">
        <v>46070</v>
      </c>
      <c r="L199" s="11">
        <v>0.58333333333575865</v>
      </c>
      <c r="M199" s="11">
        <v>8.3333333335758653E-2</v>
      </c>
      <c r="N199" s="1" t="s">
        <v>44</v>
      </c>
      <c r="O199" s="1" t="s">
        <v>45</v>
      </c>
      <c r="P199" s="1" t="s">
        <v>90</v>
      </c>
      <c r="Q199" s="1" t="s">
        <v>47</v>
      </c>
      <c r="R199" s="1" t="s">
        <v>48</v>
      </c>
      <c r="S199" s="1">
        <v>5000</v>
      </c>
      <c r="T199" s="1">
        <v>5000</v>
      </c>
      <c r="U199" s="1">
        <v>4500</v>
      </c>
      <c r="V199" s="1">
        <v>4000</v>
      </c>
      <c r="W199" s="1" t="s">
        <v>1147</v>
      </c>
      <c r="X199" s="1"/>
      <c r="Y199" s="1" t="s">
        <v>1148</v>
      </c>
      <c r="Z199" s="1" t="s">
        <v>52</v>
      </c>
      <c r="AA199" s="1" t="s">
        <v>1149</v>
      </c>
      <c r="AB199" s="10" t="s">
        <v>66</v>
      </c>
      <c r="AC199" s="10" t="s">
        <v>68</v>
      </c>
      <c r="AD199" s="10" t="str">
        <f>IFERROR(VLOOKUP(B199,'Regiões Administrativas'!$A$1:$B$646,2,0),"")</f>
        <v>São José dos Campos</v>
      </c>
      <c r="AE199" s="10">
        <f>IFERROR(VLOOKUP(Form_Responses[[#This Row],[Município]],'Regiões Administrativas'!$A$1:$I$646,3,0),"")</f>
        <v>16314</v>
      </c>
      <c r="AF199" s="10">
        <f>IFERROR(VLOOKUP(Form_Responses[[#This Row],[Município]],'Regiões Administrativas'!$A$1:$I$646,4,0),"")</f>
        <v>352630805000001</v>
      </c>
      <c r="AG199" s="10">
        <f>IFERROR(VLOOKUP(Form_Responses[[#This Row],[Município]],'Regiões Administrativas'!$A$1:$I$646,4,0),"")</f>
        <v>352630805000001</v>
      </c>
      <c r="AH199" s="10">
        <f>IFERROR(VLOOKUP(B199,'Regiões Administrativas'!$A$1:$I$646,5,0),"")</f>
        <v>3526308</v>
      </c>
      <c r="AI199" s="10">
        <f>IFERROR(VLOOKUP(B199,'Regiões Administrativas'!$A$1:$I$646,6,0),"")</f>
        <v>-45.190810800000001</v>
      </c>
      <c r="AJ199" s="10">
        <f>IFERROR(VLOOKUP(B199,'Regiões Administrativas'!$A$1:$I$646,8,0),"")</f>
        <v>897.36637700000006</v>
      </c>
      <c r="AK199" s="10" t="str">
        <f>IFERROR(VLOOKUP(Form_Responses[[#This Row],[Município]],'Regiões Administrativas'!$A$1:$I$646,9,0),"")</f>
        <v>1J6tve_DZT3p</v>
      </c>
    </row>
    <row r="200" spans="1:37" ht="22.5" customHeight="1">
      <c r="A200" s="13">
        <v>46028.420687500002</v>
      </c>
      <c r="B200" s="1" t="s">
        <v>1004</v>
      </c>
      <c r="C200" s="1" t="s">
        <v>1005</v>
      </c>
      <c r="D200" s="1" t="s">
        <v>1150</v>
      </c>
      <c r="E200" s="1" t="s">
        <v>1151</v>
      </c>
      <c r="F200" s="1" t="s">
        <v>1008</v>
      </c>
      <c r="G200" s="1" t="s">
        <v>1152</v>
      </c>
      <c r="H200" s="6" t="s">
        <v>1020</v>
      </c>
      <c r="I200" s="1" t="s">
        <v>81</v>
      </c>
      <c r="J200" s="7">
        <v>46272</v>
      </c>
      <c r="K200" s="7">
        <v>46272</v>
      </c>
      <c r="L200" s="11">
        <v>0.20833333333575865</v>
      </c>
      <c r="M200" s="11">
        <v>0.75</v>
      </c>
      <c r="N200" s="1" t="s">
        <v>98</v>
      </c>
      <c r="O200" s="1" t="s">
        <v>221</v>
      </c>
      <c r="P200" s="1" t="s">
        <v>221</v>
      </c>
      <c r="Q200" s="1" t="s">
        <v>47</v>
      </c>
      <c r="R200" s="1" t="s">
        <v>74</v>
      </c>
      <c r="S200" s="1">
        <v>1000</v>
      </c>
      <c r="T200" s="1">
        <v>900</v>
      </c>
      <c r="U200" s="1">
        <v>900</v>
      </c>
      <c r="V200" s="1">
        <v>800</v>
      </c>
      <c r="W200" s="1" t="s">
        <v>1104</v>
      </c>
      <c r="X200" s="1"/>
      <c r="Y200" s="1" t="s">
        <v>1013</v>
      </c>
      <c r="Z200" s="1" t="s">
        <v>66</v>
      </c>
      <c r="AA200" s="1" t="s">
        <v>66</v>
      </c>
      <c r="AB200" s="10" t="s">
        <v>66</v>
      </c>
      <c r="AC200" s="10" t="s">
        <v>55</v>
      </c>
      <c r="AD200" s="10" t="str">
        <f>IFERROR(VLOOKUP(B200,'Regiões Administrativas'!$A$1:$B$646,2,0),"")</f>
        <v>São José dos Campos</v>
      </c>
      <c r="AE200" s="10">
        <f>IFERROR(VLOOKUP(Form_Responses[[#This Row],[Município]],'Regiões Administrativas'!$A$1:$I$646,3,0),"")</f>
        <v>16711</v>
      </c>
      <c r="AF200" s="10">
        <f>IFERROR(VLOOKUP(Form_Responses[[#This Row],[Município]],'Regiões Administrativas'!$A$1:$I$646,4,0),"")</f>
        <v>353560605000001</v>
      </c>
      <c r="AG200" s="10">
        <f>IFERROR(VLOOKUP(Form_Responses[[#This Row],[Município]],'Regiões Administrativas'!$A$1:$I$646,4,0),"")</f>
        <v>353560605000001</v>
      </c>
      <c r="AH200" s="10">
        <f>IFERROR(VLOOKUP(B200,'Regiões Administrativas'!$A$1:$I$646,5,0),"")</f>
        <v>3535606</v>
      </c>
      <c r="AI200" s="10">
        <f>IFERROR(VLOOKUP(B200,'Regiões Administrativas'!$A$1:$I$646,6,0),"")</f>
        <v>-45.6628641</v>
      </c>
      <c r="AJ200" s="10">
        <f>IFERROR(VLOOKUP(B200,'Regiões Administrativas'!$A$1:$I$646,8,0),"")</f>
        <v>636.606582</v>
      </c>
      <c r="AK200" s="10" t="str">
        <f>IFERROR(VLOOKUP(Form_Responses[[#This Row],[Município]],'Regiões Administrativas'!$A$1:$I$646,9,0),"")</f>
        <v>1J6tOzEB1BHp</v>
      </c>
    </row>
    <row r="201" spans="1:37" ht="22.5" customHeight="1">
      <c r="A201" s="13">
        <v>46028.437432858795</v>
      </c>
      <c r="B201" s="1" t="s">
        <v>1004</v>
      </c>
      <c r="C201" s="1" t="s">
        <v>1005</v>
      </c>
      <c r="D201" s="1" t="s">
        <v>1153</v>
      </c>
      <c r="E201" s="1" t="s">
        <v>1154</v>
      </c>
      <c r="F201" s="1" t="s">
        <v>1008</v>
      </c>
      <c r="G201" s="1" t="s">
        <v>1155</v>
      </c>
      <c r="H201" s="6" t="s">
        <v>1020</v>
      </c>
      <c r="I201" s="1" t="s">
        <v>255</v>
      </c>
      <c r="J201" s="7">
        <v>46304</v>
      </c>
      <c r="K201" s="7">
        <v>46306</v>
      </c>
      <c r="L201" s="11">
        <v>0.41666666666424135</v>
      </c>
      <c r="M201" s="11">
        <v>0</v>
      </c>
      <c r="N201" s="1" t="s">
        <v>73</v>
      </c>
      <c r="O201" s="1" t="s">
        <v>190</v>
      </c>
      <c r="P201" s="1" t="s">
        <v>63</v>
      </c>
      <c r="Q201" s="1" t="s">
        <v>47</v>
      </c>
      <c r="R201" s="1" t="s">
        <v>48</v>
      </c>
      <c r="S201" s="1">
        <v>10000</v>
      </c>
      <c r="T201" s="1">
        <v>8000</v>
      </c>
      <c r="U201" s="1">
        <v>7500</v>
      </c>
      <c r="V201" s="1">
        <v>7000</v>
      </c>
      <c r="W201" s="1" t="s">
        <v>1026</v>
      </c>
      <c r="X201" s="6" t="s">
        <v>1020</v>
      </c>
      <c r="Y201" s="1" t="s">
        <v>1013</v>
      </c>
      <c r="Z201" s="1" t="s">
        <v>76</v>
      </c>
      <c r="AA201" s="1" t="s">
        <v>113</v>
      </c>
      <c r="AB201" s="10" t="s">
        <v>66</v>
      </c>
      <c r="AC201" s="10" t="s">
        <v>55</v>
      </c>
      <c r="AD201" s="10" t="str">
        <f>IFERROR(VLOOKUP(B201,'Regiões Administrativas'!$A$1:$B$646,2,0),"")</f>
        <v>São José dos Campos</v>
      </c>
      <c r="AE201" s="10">
        <f>IFERROR(VLOOKUP(Form_Responses[[#This Row],[Município]],'Regiões Administrativas'!$A$1:$I$646,3,0),"")</f>
        <v>16711</v>
      </c>
      <c r="AF201" s="10">
        <f>IFERROR(VLOOKUP(Form_Responses[[#This Row],[Município]],'Regiões Administrativas'!$A$1:$I$646,4,0),"")</f>
        <v>353560605000001</v>
      </c>
      <c r="AG201" s="10">
        <f>IFERROR(VLOOKUP(Form_Responses[[#This Row],[Município]],'Regiões Administrativas'!$A$1:$I$646,4,0),"")</f>
        <v>353560605000001</v>
      </c>
      <c r="AH201" s="10">
        <f>IFERROR(VLOOKUP(B201,'Regiões Administrativas'!$A$1:$I$646,5,0),"")</f>
        <v>3535606</v>
      </c>
      <c r="AI201" s="10">
        <f>IFERROR(VLOOKUP(B201,'Regiões Administrativas'!$A$1:$I$646,6,0),"")</f>
        <v>-45.6628641</v>
      </c>
      <c r="AJ201" s="10">
        <f>IFERROR(VLOOKUP(B201,'Regiões Administrativas'!$A$1:$I$646,8,0),"")</f>
        <v>636.606582</v>
      </c>
      <c r="AK201" s="10" t="str">
        <f>IFERROR(VLOOKUP(Form_Responses[[#This Row],[Município]],'Regiões Administrativas'!$A$1:$I$646,9,0),"")</f>
        <v>1J6tOzEB1BHp</v>
      </c>
    </row>
    <row r="202" spans="1:37" ht="22.5" customHeight="1">
      <c r="A202" s="5">
        <v>46028.43816928241</v>
      </c>
      <c r="B202" s="1" t="s">
        <v>1108</v>
      </c>
      <c r="C202" s="1" t="s">
        <v>1109</v>
      </c>
      <c r="D202" s="1" t="s">
        <v>522</v>
      </c>
      <c r="E202" s="1" t="s">
        <v>1156</v>
      </c>
      <c r="F202" s="1" t="s">
        <v>1157</v>
      </c>
      <c r="G202" s="1" t="s">
        <v>1158</v>
      </c>
      <c r="H202" s="6" t="s">
        <v>1159</v>
      </c>
      <c r="I202" s="1" t="s">
        <v>220</v>
      </c>
      <c r="J202" s="1"/>
      <c r="K202" s="1"/>
      <c r="L202" s="1"/>
      <c r="M202" s="1"/>
      <c r="N202" s="1" t="s">
        <v>44</v>
      </c>
      <c r="O202" s="1" t="s">
        <v>190</v>
      </c>
      <c r="P202" s="1" t="s">
        <v>63</v>
      </c>
      <c r="Q202" s="1" t="s">
        <v>47</v>
      </c>
      <c r="R202" s="1" t="s">
        <v>48</v>
      </c>
      <c r="S202" s="1">
        <v>100000</v>
      </c>
      <c r="T202" s="1">
        <v>80000</v>
      </c>
      <c r="U202" s="1">
        <v>76000</v>
      </c>
      <c r="V202" s="1">
        <v>86000</v>
      </c>
      <c r="W202" s="1" t="s">
        <v>1160</v>
      </c>
      <c r="X202" s="1"/>
      <c r="Y202" s="1" t="s">
        <v>1161</v>
      </c>
      <c r="Z202" s="1" t="s">
        <v>361</v>
      </c>
      <c r="AA202" s="1" t="s">
        <v>623</v>
      </c>
      <c r="AB202" s="10" t="s">
        <v>344</v>
      </c>
      <c r="AC202" s="10" t="s">
        <v>68</v>
      </c>
      <c r="AD202" s="10" t="str">
        <f>IFERROR(VLOOKUP(B202,'Regiões Administrativas'!$A$1:$B$646,2,0),"")</f>
        <v>Campinas</v>
      </c>
      <c r="AE202" s="10">
        <f>IFERROR(VLOOKUP(Form_Responses[[#This Row],[Município]],'Regiões Administrativas'!$A$1:$I$646,3,0),"")</f>
        <v>16800</v>
      </c>
      <c r="AF202" s="10">
        <f>IFERROR(VLOOKUP(Form_Responses[[#This Row],[Município]],'Regiões Administrativas'!$A$1:$I$646,4,0),"")</f>
        <v>353870905000001</v>
      </c>
      <c r="AG202" s="10">
        <f>IFERROR(VLOOKUP(Form_Responses[[#This Row],[Município]],'Regiões Administrativas'!$A$1:$I$646,4,0),"")</f>
        <v>353870905000001</v>
      </c>
      <c r="AH202" s="10">
        <f>IFERROR(VLOOKUP(B202,'Regiões Administrativas'!$A$1:$I$646,5,0),"")</f>
        <v>3538709</v>
      </c>
      <c r="AI202" s="10">
        <f>IFERROR(VLOOKUP(B202,'Regiões Administrativas'!$A$1:$I$646,6,0),"")</f>
        <v>-47.646846199999999</v>
      </c>
      <c r="AJ202" s="10">
        <f>IFERROR(VLOOKUP(B202,'Regiões Administrativas'!$A$1:$I$646,8,0),"")</f>
        <v>527.09938799999998</v>
      </c>
      <c r="AK202" s="10" t="str">
        <f>IFERROR(VLOOKUP(Form_Responses[[#This Row],[Município]],'Regiões Administrativas'!$A$1:$I$646,9,0),"")</f>
        <v>1J6tHWQje+W-</v>
      </c>
    </row>
    <row r="203" spans="1:37" ht="22.5" customHeight="1">
      <c r="A203" s="13">
        <v>46028.439503680551</v>
      </c>
      <c r="B203" s="1" t="s">
        <v>1162</v>
      </c>
      <c r="C203" s="1"/>
      <c r="D203" s="1" t="s">
        <v>1163</v>
      </c>
      <c r="E203" s="1" t="s">
        <v>1164</v>
      </c>
      <c r="F203" s="1"/>
      <c r="G203" s="1" t="s">
        <v>1165</v>
      </c>
      <c r="H203" s="1" t="s">
        <v>1166</v>
      </c>
      <c r="I203" s="1" t="s">
        <v>43</v>
      </c>
      <c r="J203" s="7">
        <v>46262</v>
      </c>
      <c r="K203" s="7">
        <v>46263</v>
      </c>
      <c r="L203" s="11">
        <v>0.79166666666424135</v>
      </c>
      <c r="M203" s="11">
        <v>0.125</v>
      </c>
      <c r="N203" s="1" t="s">
        <v>110</v>
      </c>
      <c r="O203" s="1" t="s">
        <v>45</v>
      </c>
      <c r="P203" s="1" t="s">
        <v>63</v>
      </c>
      <c r="Q203" s="1" t="s">
        <v>47</v>
      </c>
      <c r="R203" s="1" t="s">
        <v>48</v>
      </c>
      <c r="S203" s="8">
        <v>15000</v>
      </c>
      <c r="T203" s="8">
        <v>14000</v>
      </c>
      <c r="U203" s="1">
        <v>18000</v>
      </c>
      <c r="V203" s="1">
        <v>17000</v>
      </c>
      <c r="W203" s="1" t="s">
        <v>1167</v>
      </c>
      <c r="X203" s="1" t="s">
        <v>1168</v>
      </c>
      <c r="Y203" s="1" t="s">
        <v>1169</v>
      </c>
      <c r="Z203" s="1" t="s">
        <v>296</v>
      </c>
      <c r="AA203" s="1" t="s">
        <v>93</v>
      </c>
      <c r="AB203" s="10" t="s">
        <v>66</v>
      </c>
      <c r="AC203" s="10" t="s">
        <v>68</v>
      </c>
      <c r="AD203" s="10" t="str">
        <f>IFERROR(VLOOKUP(B203,'Regiões Administrativas'!$A$1:$B$646,2,0),"")</f>
        <v>Presidente Prudente</v>
      </c>
      <c r="AE203" s="10">
        <f>IFERROR(VLOOKUP(Form_Responses[[#This Row],[Município]],'Regiões Administrativas'!$A$1:$I$646,3,0),"")</f>
        <v>17404</v>
      </c>
      <c r="AF203" s="10">
        <f>IFERROR(VLOOKUP(Form_Responses[[#This Row],[Município]],'Regiões Administrativas'!$A$1:$I$646,4,0),"")</f>
        <v>355510905000001</v>
      </c>
      <c r="AG203" s="10">
        <f>IFERROR(VLOOKUP(Form_Responses[[#This Row],[Município]],'Regiões Administrativas'!$A$1:$I$646,4,0),"")</f>
        <v>355510905000001</v>
      </c>
      <c r="AH203" s="10">
        <f>IFERROR(VLOOKUP(B203,'Regiões Administrativas'!$A$1:$I$646,5,0),"")</f>
        <v>3555109</v>
      </c>
      <c r="AI203" s="10">
        <f>IFERROR(VLOOKUP(B203,'Regiões Administrativas'!$A$1:$I$646,6,0),"")</f>
        <v>-51.576720600000002</v>
      </c>
      <c r="AJ203" s="10">
        <f>IFERROR(VLOOKUP(B203,'Regiões Administrativas'!$A$1:$I$646,8,0),"")</f>
        <v>400.12967300000003</v>
      </c>
      <c r="AK203" s="10" t="str">
        <f>IFERROR(VLOOKUP(Form_Responses[[#This Row],[Município]],'Regiões Administrativas'!$A$1:$I$646,9,0),"")</f>
        <v>1J6R&lt;GL4SYo-</v>
      </c>
    </row>
    <row r="204" spans="1:37" ht="22.5" customHeight="1">
      <c r="A204" s="13">
        <v>46028.441873518517</v>
      </c>
      <c r="B204" s="1" t="s">
        <v>1004</v>
      </c>
      <c r="C204" s="1" t="s">
        <v>1005</v>
      </c>
      <c r="D204" s="1" t="s">
        <v>1170</v>
      </c>
      <c r="E204" s="1" t="s">
        <v>1171</v>
      </c>
      <c r="F204" s="1" t="s">
        <v>1172</v>
      </c>
      <c r="G204" s="1" t="s">
        <v>1173</v>
      </c>
      <c r="H204" s="6" t="s">
        <v>1020</v>
      </c>
      <c r="I204" s="1" t="s">
        <v>197</v>
      </c>
      <c r="J204" s="7">
        <v>46346</v>
      </c>
      <c r="K204" s="7">
        <v>46346</v>
      </c>
      <c r="L204" s="11">
        <v>0.41666666666424135</v>
      </c>
      <c r="M204" s="11">
        <v>0.83333333333575865</v>
      </c>
      <c r="N204" s="1" t="s">
        <v>44</v>
      </c>
      <c r="O204" s="1" t="s">
        <v>99</v>
      </c>
      <c r="P204" s="1" t="s">
        <v>99</v>
      </c>
      <c r="Q204" s="1" t="s">
        <v>47</v>
      </c>
      <c r="R204" s="1" t="s">
        <v>74</v>
      </c>
      <c r="S204" s="1">
        <v>2000</v>
      </c>
      <c r="T204" s="14" t="s">
        <v>1011</v>
      </c>
      <c r="U204" s="14" t="s">
        <v>1011</v>
      </c>
      <c r="V204" s="14" t="s">
        <v>1011</v>
      </c>
      <c r="W204" s="1" t="s">
        <v>1026</v>
      </c>
      <c r="X204" s="6" t="s">
        <v>1020</v>
      </c>
      <c r="Y204" s="1" t="s">
        <v>1013</v>
      </c>
      <c r="Z204" s="1" t="s">
        <v>76</v>
      </c>
      <c r="AA204" s="1" t="s">
        <v>113</v>
      </c>
      <c r="AB204" s="10" t="s">
        <v>66</v>
      </c>
      <c r="AC204" s="10" t="s">
        <v>68</v>
      </c>
      <c r="AD204" s="10" t="str">
        <f>IFERROR(VLOOKUP(B204,'Regiões Administrativas'!$A$1:$B$646,2,0),"")</f>
        <v>São José dos Campos</v>
      </c>
      <c r="AE204" s="10">
        <f>IFERROR(VLOOKUP(Form_Responses[[#This Row],[Município]],'Regiões Administrativas'!$A$1:$I$646,3,0),"")</f>
        <v>16711</v>
      </c>
      <c r="AF204" s="10">
        <f>IFERROR(VLOOKUP(Form_Responses[[#This Row],[Município]],'Regiões Administrativas'!$A$1:$I$646,4,0),"")</f>
        <v>353560605000001</v>
      </c>
      <c r="AG204" s="10">
        <f>IFERROR(VLOOKUP(Form_Responses[[#This Row],[Município]],'Regiões Administrativas'!$A$1:$I$646,4,0),"")</f>
        <v>353560605000001</v>
      </c>
      <c r="AH204" s="10">
        <f>IFERROR(VLOOKUP(B204,'Regiões Administrativas'!$A$1:$I$646,5,0),"")</f>
        <v>3535606</v>
      </c>
      <c r="AI204" s="10">
        <f>IFERROR(VLOOKUP(B204,'Regiões Administrativas'!$A$1:$I$646,6,0),"")</f>
        <v>-45.6628641</v>
      </c>
      <c r="AJ204" s="10">
        <f>IFERROR(VLOOKUP(B204,'Regiões Administrativas'!$A$1:$I$646,8,0),"")</f>
        <v>636.606582</v>
      </c>
      <c r="AK204" s="10" t="str">
        <f>IFERROR(VLOOKUP(Form_Responses[[#This Row],[Município]],'Regiões Administrativas'!$A$1:$I$646,9,0),"")</f>
        <v>1J6tOzEB1BHp</v>
      </c>
    </row>
    <row r="205" spans="1:37" ht="22.5" customHeight="1">
      <c r="A205" s="13">
        <v>46028.451046736111</v>
      </c>
      <c r="B205" s="1" t="s">
        <v>1004</v>
      </c>
      <c r="C205" s="1" t="s">
        <v>1005</v>
      </c>
      <c r="D205" s="1" t="s">
        <v>1174</v>
      </c>
      <c r="E205" s="1" t="s">
        <v>1175</v>
      </c>
      <c r="F205" s="1" t="s">
        <v>1008</v>
      </c>
      <c r="G205" s="1" t="s">
        <v>1173</v>
      </c>
      <c r="H205" s="6" t="s">
        <v>1020</v>
      </c>
      <c r="I205" s="1" t="s">
        <v>162</v>
      </c>
      <c r="J205" s="7">
        <v>46375</v>
      </c>
      <c r="K205" s="7">
        <v>46387</v>
      </c>
      <c r="L205" s="11">
        <v>0.41666666666424135</v>
      </c>
      <c r="M205" s="11">
        <v>0.875</v>
      </c>
      <c r="N205" s="1" t="s">
        <v>268</v>
      </c>
      <c r="O205" s="1" t="s">
        <v>221</v>
      </c>
      <c r="P205" s="1" t="s">
        <v>251</v>
      </c>
      <c r="Q205" s="1" t="s">
        <v>47</v>
      </c>
      <c r="R205" s="1" t="s">
        <v>74</v>
      </c>
      <c r="S205" s="1">
        <v>2000</v>
      </c>
      <c r="T205" s="1">
        <v>1500</v>
      </c>
      <c r="U205" s="14" t="s">
        <v>1011</v>
      </c>
      <c r="V205" s="14" t="s">
        <v>1011</v>
      </c>
      <c r="W205" s="1" t="s">
        <v>1026</v>
      </c>
      <c r="X205" s="6" t="s">
        <v>1020</v>
      </c>
      <c r="Y205" s="1" t="s">
        <v>1013</v>
      </c>
      <c r="Z205" s="1" t="s">
        <v>76</v>
      </c>
      <c r="AA205" s="1" t="s">
        <v>113</v>
      </c>
      <c r="AB205" s="10" t="s">
        <v>66</v>
      </c>
      <c r="AC205" s="10" t="s">
        <v>68</v>
      </c>
      <c r="AD205" s="10" t="str">
        <f>IFERROR(VLOOKUP(B205,'Regiões Administrativas'!$A$1:$B$646,2,0),"")</f>
        <v>São José dos Campos</v>
      </c>
      <c r="AE205" s="10">
        <f>IFERROR(VLOOKUP(Form_Responses[[#This Row],[Município]],'Regiões Administrativas'!$A$1:$I$646,3,0),"")</f>
        <v>16711</v>
      </c>
      <c r="AF205" s="10">
        <f>IFERROR(VLOOKUP(Form_Responses[[#This Row],[Município]],'Regiões Administrativas'!$A$1:$I$646,4,0),"")</f>
        <v>353560605000001</v>
      </c>
      <c r="AG205" s="10">
        <f>IFERROR(VLOOKUP(Form_Responses[[#This Row],[Município]],'Regiões Administrativas'!$A$1:$I$646,4,0),"")</f>
        <v>353560605000001</v>
      </c>
      <c r="AH205" s="10">
        <f>IFERROR(VLOOKUP(B205,'Regiões Administrativas'!$A$1:$I$646,5,0),"")</f>
        <v>3535606</v>
      </c>
      <c r="AI205" s="10">
        <f>IFERROR(VLOOKUP(B205,'Regiões Administrativas'!$A$1:$I$646,6,0),"")</f>
        <v>-45.6628641</v>
      </c>
      <c r="AJ205" s="10">
        <f>IFERROR(VLOOKUP(B205,'Regiões Administrativas'!$A$1:$I$646,8,0),"")</f>
        <v>636.606582</v>
      </c>
      <c r="AK205" s="10" t="str">
        <f>IFERROR(VLOOKUP(Form_Responses[[#This Row],[Município]],'Regiões Administrativas'!$A$1:$I$646,9,0),"")</f>
        <v>1J6tOzEB1BHp</v>
      </c>
    </row>
    <row r="206" spans="1:37" ht="22.5" customHeight="1">
      <c r="A206" s="13">
        <v>46028.451931840274</v>
      </c>
      <c r="B206" s="1" t="s">
        <v>1108</v>
      </c>
      <c r="C206" s="1" t="s">
        <v>1109</v>
      </c>
      <c r="D206" s="1" t="s">
        <v>1176</v>
      </c>
      <c r="E206" s="1" t="s">
        <v>1177</v>
      </c>
      <c r="F206" s="1"/>
      <c r="G206" s="1" t="s">
        <v>1178</v>
      </c>
      <c r="H206" s="1"/>
      <c r="I206" s="1" t="s">
        <v>72</v>
      </c>
      <c r="J206" s="7">
        <v>46209</v>
      </c>
      <c r="K206" s="7">
        <v>46216</v>
      </c>
      <c r="L206" s="1"/>
      <c r="M206" s="1"/>
      <c r="N206" s="1" t="s">
        <v>44</v>
      </c>
      <c r="O206" s="1" t="s">
        <v>221</v>
      </c>
      <c r="P206" s="1" t="s">
        <v>221</v>
      </c>
      <c r="Q206" s="1" t="s">
        <v>47</v>
      </c>
      <c r="R206" s="1" t="s">
        <v>74</v>
      </c>
      <c r="S206" s="1">
        <v>50000</v>
      </c>
      <c r="T206" s="1">
        <v>47000</v>
      </c>
      <c r="U206" s="1">
        <v>42000</v>
      </c>
      <c r="V206" s="1">
        <v>45000</v>
      </c>
      <c r="W206" s="1" t="s">
        <v>990</v>
      </c>
      <c r="X206" s="1"/>
      <c r="Y206" s="1" t="s">
        <v>1179</v>
      </c>
      <c r="Z206" s="1" t="s">
        <v>361</v>
      </c>
      <c r="AA206" s="1" t="s">
        <v>244</v>
      </c>
      <c r="AB206" s="10" t="s">
        <v>66</v>
      </c>
      <c r="AC206" s="10" t="s">
        <v>68</v>
      </c>
      <c r="AD206" s="10" t="str">
        <f>IFERROR(VLOOKUP(B206,'Regiões Administrativas'!$A$1:$B$646,2,0),"")</f>
        <v>Campinas</v>
      </c>
      <c r="AE206" s="10">
        <f>IFERROR(VLOOKUP(Form_Responses[[#This Row],[Município]],'Regiões Administrativas'!$A$1:$I$646,3,0),"")</f>
        <v>16800</v>
      </c>
      <c r="AF206" s="10">
        <f>IFERROR(VLOOKUP(Form_Responses[[#This Row],[Município]],'Regiões Administrativas'!$A$1:$I$646,4,0),"")</f>
        <v>353870905000001</v>
      </c>
      <c r="AG206" s="10">
        <f>IFERROR(VLOOKUP(Form_Responses[[#This Row],[Município]],'Regiões Administrativas'!$A$1:$I$646,4,0),"")</f>
        <v>353870905000001</v>
      </c>
      <c r="AH206" s="10">
        <f>IFERROR(VLOOKUP(B206,'Regiões Administrativas'!$A$1:$I$646,5,0),"")</f>
        <v>3538709</v>
      </c>
      <c r="AI206" s="10">
        <f>IFERROR(VLOOKUP(B206,'Regiões Administrativas'!$A$1:$I$646,6,0),"")</f>
        <v>-47.646846199999999</v>
      </c>
      <c r="AJ206" s="10">
        <f>IFERROR(VLOOKUP(B206,'Regiões Administrativas'!$A$1:$I$646,8,0),"")</f>
        <v>527.09938799999998</v>
      </c>
      <c r="AK206" s="10" t="str">
        <f>IFERROR(VLOOKUP(Form_Responses[[#This Row],[Município]],'Regiões Administrativas'!$A$1:$I$646,9,0),"")</f>
        <v>1J6tHWQje+W-</v>
      </c>
    </row>
    <row r="207" spans="1:37" ht="22.5" customHeight="1">
      <c r="A207" s="5">
        <v>46028.502927777779</v>
      </c>
      <c r="B207" s="1" t="s">
        <v>1180</v>
      </c>
      <c r="C207" s="1" t="s">
        <v>449</v>
      </c>
      <c r="D207" s="1" t="s">
        <v>1181</v>
      </c>
      <c r="E207" s="1" t="s">
        <v>1182</v>
      </c>
      <c r="F207" s="1"/>
      <c r="G207" s="1" t="s">
        <v>1183</v>
      </c>
      <c r="H207" s="6" t="s">
        <v>1184</v>
      </c>
      <c r="I207" s="1" t="s">
        <v>109</v>
      </c>
      <c r="J207" s="7">
        <v>46109</v>
      </c>
      <c r="K207" s="7">
        <v>46109</v>
      </c>
      <c r="L207" s="11">
        <v>0.29166666666424135</v>
      </c>
      <c r="M207" s="11">
        <v>0.75</v>
      </c>
      <c r="N207" s="1" t="s">
        <v>61</v>
      </c>
      <c r="O207" s="1" t="s">
        <v>436</v>
      </c>
      <c r="P207" s="1" t="s">
        <v>63</v>
      </c>
      <c r="Q207" s="1" t="s">
        <v>47</v>
      </c>
      <c r="R207" s="1" t="s">
        <v>74</v>
      </c>
      <c r="S207" s="1">
        <v>1000</v>
      </c>
      <c r="T207" s="1">
        <v>700</v>
      </c>
      <c r="U207" s="1">
        <v>600</v>
      </c>
      <c r="V207" s="1">
        <v>500</v>
      </c>
      <c r="W207" s="1" t="s">
        <v>1185</v>
      </c>
      <c r="X207" s="1"/>
      <c r="Y207" s="1" t="s">
        <v>1186</v>
      </c>
      <c r="Z207" s="1" t="s">
        <v>296</v>
      </c>
      <c r="AA207" s="1" t="s">
        <v>343</v>
      </c>
      <c r="AB207" s="10" t="s">
        <v>66</v>
      </c>
      <c r="AC207" s="10" t="s">
        <v>68</v>
      </c>
      <c r="AD207" s="10" t="str">
        <f>IFERROR(VLOOKUP(B207,'Regiões Administrativas'!$A$1:$B$646,2,0),"")</f>
        <v>Bauru</v>
      </c>
      <c r="AE207" s="10">
        <f>IFERROR(VLOOKUP(Form_Responses[[#This Row],[Município]],'Regiões Administrativas'!$A$1:$I$646,3,0),"")</f>
        <v>15608</v>
      </c>
      <c r="AF207" s="10">
        <f>IFERROR(VLOOKUP(Form_Responses[[#This Row],[Município]],'Regiões Administrativas'!$A$1:$I$646,4,0),"")</f>
        <v>350730805000001</v>
      </c>
      <c r="AG207" s="10">
        <f>IFERROR(VLOOKUP(Form_Responses[[#This Row],[Município]],'Regiões Administrativas'!$A$1:$I$646,4,0),"")</f>
        <v>350730805000001</v>
      </c>
      <c r="AH207" s="10">
        <f>IFERROR(VLOOKUP(B207,'Regiões Administrativas'!$A$1:$I$646,5,0),"")</f>
        <v>3507308</v>
      </c>
      <c r="AI207" s="10">
        <f>IFERROR(VLOOKUP(B207,'Regiões Administrativas'!$A$1:$I$646,6,0),"")</f>
        <v>-48.779218299999997</v>
      </c>
      <c r="AJ207" s="10">
        <f>IFERROR(VLOOKUP(B207,'Regiões Administrativas'!$A$1:$I$646,8,0),"")</f>
        <v>484.73692299999999</v>
      </c>
      <c r="AK207" s="10" t="str">
        <f>IFERROR(VLOOKUP(Form_Responses[[#This Row],[Município]],'Regiões Administrativas'!$A$1:$I$646,9,0),"")</f>
        <v>1J6RtZJ4d&lt;ip</v>
      </c>
    </row>
    <row r="208" spans="1:37" ht="22.5" customHeight="1">
      <c r="A208" s="5">
        <v>46028.541968541671</v>
      </c>
      <c r="B208" s="1" t="s">
        <v>1187</v>
      </c>
      <c r="C208" s="1" t="s">
        <v>38</v>
      </c>
      <c r="D208" s="1" t="s">
        <v>1188</v>
      </c>
      <c r="E208" s="1" t="s">
        <v>1189</v>
      </c>
      <c r="F208" s="1"/>
      <c r="G208" s="1" t="s">
        <v>1190</v>
      </c>
      <c r="H208" s="1"/>
      <c r="I208" s="1" t="s">
        <v>128</v>
      </c>
      <c r="J208" s="7">
        <v>46137</v>
      </c>
      <c r="K208" s="7">
        <v>46144</v>
      </c>
      <c r="L208" s="11">
        <v>0.83333333333575865</v>
      </c>
      <c r="M208" s="11">
        <v>4.1666666664241347E-2</v>
      </c>
      <c r="N208" s="1" t="s">
        <v>44</v>
      </c>
      <c r="O208" s="1" t="s">
        <v>221</v>
      </c>
      <c r="P208" s="1" t="s">
        <v>99</v>
      </c>
      <c r="Q208" s="1" t="s">
        <v>47</v>
      </c>
      <c r="R208" s="1" t="s">
        <v>256</v>
      </c>
      <c r="S208" s="8">
        <v>1500</v>
      </c>
      <c r="T208" s="8">
        <v>1200</v>
      </c>
      <c r="U208" s="8">
        <v>1200</v>
      </c>
      <c r="V208" s="8">
        <v>1200</v>
      </c>
      <c r="W208" s="1" t="s">
        <v>1191</v>
      </c>
      <c r="X208" s="1"/>
      <c r="Y208" s="1" t="s">
        <v>1192</v>
      </c>
      <c r="Z208" s="1" t="s">
        <v>52</v>
      </c>
      <c r="AA208" s="1" t="s">
        <v>156</v>
      </c>
      <c r="AB208" s="10" t="s">
        <v>66</v>
      </c>
      <c r="AC208" s="10" t="s">
        <v>68</v>
      </c>
      <c r="AD208" s="10" t="str">
        <f>IFERROR(VLOOKUP(B208,'Regiões Administrativas'!$A$1:$B$646,2,0),"")</f>
        <v>Barretos</v>
      </c>
      <c r="AE208" s="10">
        <f>IFERROR(VLOOKUP(Form_Responses[[#This Row],[Município]],'Regiões Administrativas'!$A$1:$I$646,3,0),"")</f>
        <v>17337</v>
      </c>
      <c r="AF208" s="10">
        <f>IFERROR(VLOOKUP(Form_Responses[[#This Row],[Município]],'Regiões Administrativas'!$A$1:$I$646,4,0),"")</f>
        <v>355310405000001</v>
      </c>
      <c r="AG208" s="10">
        <f>IFERROR(VLOOKUP(Form_Responses[[#This Row],[Município]],'Regiões Administrativas'!$A$1:$I$646,4,0),"")</f>
        <v>355310405000001</v>
      </c>
      <c r="AH208" s="10">
        <f>IFERROR(VLOOKUP(B208,'Regiões Administrativas'!$A$1:$I$646,5,0),"")</f>
        <v>3553104</v>
      </c>
      <c r="AI208" s="10">
        <f>IFERROR(VLOOKUP(B208,'Regiões Administrativas'!$A$1:$I$646,6,0),"")</f>
        <v>-48.511955200000003</v>
      </c>
      <c r="AJ208" s="10">
        <f>IFERROR(VLOOKUP(B208,'Regiões Administrativas'!$A$1:$I$646,8,0),"")</f>
        <v>579.33126000000004</v>
      </c>
      <c r="AK208" s="10" t="str">
        <f>IFERROR(VLOOKUP(Form_Responses[[#This Row],[Município]],'Regiões Administrativas'!$A$1:$I$646,9,0),"")</f>
        <v>1J6RE?ghbPi-</v>
      </c>
    </row>
    <row r="209" spans="1:37" ht="22.5" customHeight="1">
      <c r="A209" s="13">
        <v>46028.569121875</v>
      </c>
      <c r="B209" s="1" t="s">
        <v>1108</v>
      </c>
      <c r="C209" s="1" t="s">
        <v>1109</v>
      </c>
      <c r="D209" s="1" t="s">
        <v>1193</v>
      </c>
      <c r="E209" s="1" t="s">
        <v>1194</v>
      </c>
      <c r="F209" s="1"/>
      <c r="G209" s="1" t="s">
        <v>1195</v>
      </c>
      <c r="H209" s="1"/>
      <c r="I209" s="1" t="s">
        <v>72</v>
      </c>
      <c r="J209" s="7">
        <v>46220</v>
      </c>
      <c r="K209" s="7">
        <v>46222</v>
      </c>
      <c r="L209" s="1"/>
      <c r="M209" s="1"/>
      <c r="N209" s="1" t="s">
        <v>44</v>
      </c>
      <c r="O209" s="1" t="s">
        <v>190</v>
      </c>
      <c r="P209" s="1" t="s">
        <v>221</v>
      </c>
      <c r="Q209" s="1" t="s">
        <v>365</v>
      </c>
      <c r="R209" s="1" t="s">
        <v>74</v>
      </c>
      <c r="S209" s="1">
        <v>25000</v>
      </c>
      <c r="T209" s="1">
        <v>23000</v>
      </c>
      <c r="U209" s="1">
        <v>20000</v>
      </c>
      <c r="V209" s="1">
        <v>22000</v>
      </c>
      <c r="W209" s="1" t="s">
        <v>1196</v>
      </c>
      <c r="X209" s="1"/>
      <c r="Y209" s="1" t="s">
        <v>1179</v>
      </c>
      <c r="Z209" s="1" t="s">
        <v>361</v>
      </c>
      <c r="AA209" s="1" t="s">
        <v>206</v>
      </c>
      <c r="AB209" s="10" t="s">
        <v>66</v>
      </c>
      <c r="AC209" s="10" t="s">
        <v>68</v>
      </c>
      <c r="AD209" s="10" t="str">
        <f>IFERROR(VLOOKUP(B209,'Regiões Administrativas'!$A$1:$B$646,2,0),"")</f>
        <v>Campinas</v>
      </c>
      <c r="AE209" s="10">
        <f>IFERROR(VLOOKUP(Form_Responses[[#This Row],[Município]],'Regiões Administrativas'!$A$1:$I$646,3,0),"")</f>
        <v>16800</v>
      </c>
      <c r="AF209" s="10">
        <f>IFERROR(VLOOKUP(Form_Responses[[#This Row],[Município]],'Regiões Administrativas'!$A$1:$I$646,4,0),"")</f>
        <v>353870905000001</v>
      </c>
      <c r="AG209" s="10">
        <f>IFERROR(VLOOKUP(Form_Responses[[#This Row],[Município]],'Regiões Administrativas'!$A$1:$I$646,4,0),"")</f>
        <v>353870905000001</v>
      </c>
      <c r="AH209" s="10">
        <f>IFERROR(VLOOKUP(B209,'Regiões Administrativas'!$A$1:$I$646,5,0),"")</f>
        <v>3538709</v>
      </c>
      <c r="AI209" s="10">
        <f>IFERROR(VLOOKUP(B209,'Regiões Administrativas'!$A$1:$I$646,6,0),"")</f>
        <v>-47.646846199999999</v>
      </c>
      <c r="AJ209" s="10">
        <f>IFERROR(VLOOKUP(B209,'Regiões Administrativas'!$A$1:$I$646,8,0),"")</f>
        <v>527.09938799999998</v>
      </c>
      <c r="AK209" s="10" t="str">
        <f>IFERROR(VLOOKUP(Form_Responses[[#This Row],[Município]],'Regiões Administrativas'!$A$1:$I$646,9,0),"")</f>
        <v>1J6tHWQje+W-</v>
      </c>
    </row>
    <row r="210" spans="1:37" ht="22.5" customHeight="1">
      <c r="A210" s="13">
        <v>46028.586601481482</v>
      </c>
      <c r="B210" s="1" t="s">
        <v>1108</v>
      </c>
      <c r="C210" s="1" t="s">
        <v>1109</v>
      </c>
      <c r="D210" s="1" t="s">
        <v>1197</v>
      </c>
      <c r="E210" s="1" t="s">
        <v>1198</v>
      </c>
      <c r="F210" s="1"/>
      <c r="G210" s="1" t="s">
        <v>1199</v>
      </c>
      <c r="H210" s="1"/>
      <c r="I210" s="1" t="s">
        <v>60</v>
      </c>
      <c r="J210" s="7">
        <v>46192</v>
      </c>
      <c r="K210" s="7">
        <v>46194</v>
      </c>
      <c r="L210" s="1"/>
      <c r="M210" s="1"/>
      <c r="N210" s="1" t="s">
        <v>44</v>
      </c>
      <c r="O210" s="1" t="s">
        <v>190</v>
      </c>
      <c r="P210" s="1" t="s">
        <v>221</v>
      </c>
      <c r="Q210" s="1" t="s">
        <v>365</v>
      </c>
      <c r="R210" s="1" t="s">
        <v>74</v>
      </c>
      <c r="S210" s="1">
        <v>27000</v>
      </c>
      <c r="T210" s="1">
        <v>25000</v>
      </c>
      <c r="U210" s="1">
        <v>23000</v>
      </c>
      <c r="V210" s="1">
        <v>24000</v>
      </c>
      <c r="W210" s="1" t="s">
        <v>1200</v>
      </c>
      <c r="X210" s="1"/>
      <c r="Y210" s="1" t="s">
        <v>1179</v>
      </c>
      <c r="Z210" s="1" t="s">
        <v>361</v>
      </c>
      <c r="AA210" s="1" t="s">
        <v>206</v>
      </c>
      <c r="AB210" s="10" t="s">
        <v>66</v>
      </c>
      <c r="AC210" s="10" t="s">
        <v>68</v>
      </c>
      <c r="AD210" s="10" t="str">
        <f>IFERROR(VLOOKUP(B210,'Regiões Administrativas'!$A$1:$B$646,2,0),"")</f>
        <v>Campinas</v>
      </c>
      <c r="AE210" s="10">
        <f>IFERROR(VLOOKUP(Form_Responses[[#This Row],[Município]],'Regiões Administrativas'!$A$1:$I$646,3,0),"")</f>
        <v>16800</v>
      </c>
      <c r="AF210" s="10">
        <f>IFERROR(VLOOKUP(Form_Responses[[#This Row],[Município]],'Regiões Administrativas'!$A$1:$I$646,4,0),"")</f>
        <v>353870905000001</v>
      </c>
      <c r="AG210" s="10">
        <f>IFERROR(VLOOKUP(Form_Responses[[#This Row],[Município]],'Regiões Administrativas'!$A$1:$I$646,4,0),"")</f>
        <v>353870905000001</v>
      </c>
      <c r="AH210" s="10">
        <f>IFERROR(VLOOKUP(B210,'Regiões Administrativas'!$A$1:$I$646,5,0),"")</f>
        <v>3538709</v>
      </c>
      <c r="AI210" s="10">
        <f>IFERROR(VLOOKUP(B210,'Regiões Administrativas'!$A$1:$I$646,6,0),"")</f>
        <v>-47.646846199999999</v>
      </c>
      <c r="AJ210" s="10">
        <f>IFERROR(VLOOKUP(B210,'Regiões Administrativas'!$A$1:$I$646,8,0),"")</f>
        <v>527.09938799999998</v>
      </c>
      <c r="AK210" s="10" t="str">
        <f>IFERROR(VLOOKUP(Form_Responses[[#This Row],[Município]],'Regiões Administrativas'!$A$1:$I$646,9,0),"")</f>
        <v>1J6tHWQje+W-</v>
      </c>
    </row>
    <row r="211" spans="1:37" ht="22.5" customHeight="1">
      <c r="A211" s="13">
        <v>46028.591623391199</v>
      </c>
      <c r="B211" s="1" t="s">
        <v>1108</v>
      </c>
      <c r="C211" s="1" t="s">
        <v>1109</v>
      </c>
      <c r="D211" s="1" t="s">
        <v>1201</v>
      </c>
      <c r="E211" s="1" t="s">
        <v>1202</v>
      </c>
      <c r="F211" s="1"/>
      <c r="G211" s="1" t="s">
        <v>1203</v>
      </c>
      <c r="H211" s="1"/>
      <c r="I211" s="1" t="s">
        <v>60</v>
      </c>
      <c r="J211" s="1"/>
      <c r="K211" s="1"/>
      <c r="L211" s="1"/>
      <c r="M211" s="1"/>
      <c r="N211" s="1" t="s">
        <v>44</v>
      </c>
      <c r="O211" s="1" t="s">
        <v>221</v>
      </c>
      <c r="P211" s="1" t="s">
        <v>135</v>
      </c>
      <c r="Q211" s="1" t="s">
        <v>47</v>
      </c>
      <c r="R211" s="1" t="s">
        <v>74</v>
      </c>
      <c r="S211" s="1">
        <v>40000</v>
      </c>
      <c r="T211" s="1">
        <v>38000</v>
      </c>
      <c r="U211" s="1">
        <v>42000</v>
      </c>
      <c r="V211" s="1">
        <v>40000</v>
      </c>
      <c r="W211" s="1" t="s">
        <v>1204</v>
      </c>
      <c r="X211" s="1"/>
      <c r="Y211" s="1" t="s">
        <v>1204</v>
      </c>
      <c r="Z211" s="1" t="s">
        <v>361</v>
      </c>
      <c r="AA211" s="1" t="s">
        <v>206</v>
      </c>
      <c r="AB211" s="10" t="s">
        <v>66</v>
      </c>
      <c r="AC211" s="10" t="s">
        <v>68</v>
      </c>
      <c r="AD211" s="10" t="str">
        <f>IFERROR(VLOOKUP(B211,'Regiões Administrativas'!$A$1:$B$646,2,0),"")</f>
        <v>Campinas</v>
      </c>
      <c r="AE211" s="10">
        <f>IFERROR(VLOOKUP(Form_Responses[[#This Row],[Município]],'Regiões Administrativas'!$A$1:$I$646,3,0),"")</f>
        <v>16800</v>
      </c>
      <c r="AF211" s="10">
        <f>IFERROR(VLOOKUP(Form_Responses[[#This Row],[Município]],'Regiões Administrativas'!$A$1:$I$646,4,0),"")</f>
        <v>353870905000001</v>
      </c>
      <c r="AG211" s="10">
        <f>IFERROR(VLOOKUP(Form_Responses[[#This Row],[Município]],'Regiões Administrativas'!$A$1:$I$646,4,0),"")</f>
        <v>353870905000001</v>
      </c>
      <c r="AH211" s="10">
        <f>IFERROR(VLOOKUP(B211,'Regiões Administrativas'!$A$1:$I$646,5,0),"")</f>
        <v>3538709</v>
      </c>
      <c r="AI211" s="10">
        <f>IFERROR(VLOOKUP(B211,'Regiões Administrativas'!$A$1:$I$646,6,0),"")</f>
        <v>-47.646846199999999</v>
      </c>
      <c r="AJ211" s="10">
        <f>IFERROR(VLOOKUP(B211,'Regiões Administrativas'!$A$1:$I$646,8,0),"")</f>
        <v>527.09938799999998</v>
      </c>
      <c r="AK211" s="10" t="str">
        <f>IFERROR(VLOOKUP(Form_Responses[[#This Row],[Município]],'Regiões Administrativas'!$A$1:$I$646,9,0),"")</f>
        <v>1J6tHWQje+W-</v>
      </c>
    </row>
    <row r="212" spans="1:37" ht="22.5" customHeight="1">
      <c r="A212" s="13">
        <v>46028.59544607639</v>
      </c>
      <c r="B212" s="1" t="s">
        <v>1108</v>
      </c>
      <c r="C212" s="1" t="s">
        <v>1109</v>
      </c>
      <c r="D212" s="1" t="s">
        <v>1205</v>
      </c>
      <c r="E212" s="1" t="s">
        <v>1206</v>
      </c>
      <c r="F212" s="1"/>
      <c r="G212" s="1" t="s">
        <v>1207</v>
      </c>
      <c r="H212" s="1"/>
      <c r="I212" s="1" t="s">
        <v>43</v>
      </c>
      <c r="J212" s="1"/>
      <c r="K212" s="1"/>
      <c r="L212" s="1"/>
      <c r="M212" s="1"/>
      <c r="N212" s="1" t="s">
        <v>44</v>
      </c>
      <c r="O212" s="1" t="s">
        <v>190</v>
      </c>
      <c r="P212" s="1" t="s">
        <v>63</v>
      </c>
      <c r="Q212" s="1" t="s">
        <v>47</v>
      </c>
      <c r="R212" s="1" t="s">
        <v>74</v>
      </c>
      <c r="S212" s="1">
        <v>9000</v>
      </c>
      <c r="T212" s="1">
        <v>7000</v>
      </c>
      <c r="U212" s="1">
        <v>6000</v>
      </c>
      <c r="V212" s="1">
        <v>8000</v>
      </c>
      <c r="W212" s="1" t="s">
        <v>1208</v>
      </c>
      <c r="X212" s="1"/>
      <c r="Y212" s="1" t="s">
        <v>1208</v>
      </c>
      <c r="Z212" s="1" t="s">
        <v>361</v>
      </c>
      <c r="AA212" s="1" t="s">
        <v>206</v>
      </c>
      <c r="AB212" s="10" t="s">
        <v>66</v>
      </c>
      <c r="AC212" s="10" t="s">
        <v>68</v>
      </c>
      <c r="AD212" s="10" t="str">
        <f>IFERROR(VLOOKUP(B212,'Regiões Administrativas'!$A$1:$B$646,2,0),"")</f>
        <v>Campinas</v>
      </c>
      <c r="AE212" s="10">
        <f>IFERROR(VLOOKUP(Form_Responses[[#This Row],[Município]],'Regiões Administrativas'!$A$1:$I$646,3,0),"")</f>
        <v>16800</v>
      </c>
      <c r="AF212" s="10">
        <f>IFERROR(VLOOKUP(Form_Responses[[#This Row],[Município]],'Regiões Administrativas'!$A$1:$I$646,4,0),"")</f>
        <v>353870905000001</v>
      </c>
      <c r="AG212" s="10">
        <f>IFERROR(VLOOKUP(Form_Responses[[#This Row],[Município]],'Regiões Administrativas'!$A$1:$I$646,4,0),"")</f>
        <v>353870905000001</v>
      </c>
      <c r="AH212" s="10">
        <f>IFERROR(VLOOKUP(B212,'Regiões Administrativas'!$A$1:$I$646,5,0),"")</f>
        <v>3538709</v>
      </c>
      <c r="AI212" s="10">
        <f>IFERROR(VLOOKUP(B212,'Regiões Administrativas'!$A$1:$I$646,6,0),"")</f>
        <v>-47.646846199999999</v>
      </c>
      <c r="AJ212" s="10">
        <f>IFERROR(VLOOKUP(B212,'Regiões Administrativas'!$A$1:$I$646,8,0),"")</f>
        <v>527.09938799999998</v>
      </c>
      <c r="AK212" s="10" t="str">
        <f>IFERROR(VLOOKUP(Form_Responses[[#This Row],[Município]],'Regiões Administrativas'!$A$1:$I$646,9,0),"")</f>
        <v>1J6tHWQje+W-</v>
      </c>
    </row>
    <row r="213" spans="1:37" ht="22.5" customHeight="1">
      <c r="A213" s="5">
        <v>46028.60139408565</v>
      </c>
      <c r="B213" s="1" t="s">
        <v>1209</v>
      </c>
      <c r="C213" s="1" t="s">
        <v>1210</v>
      </c>
      <c r="D213" s="1" t="s">
        <v>1211</v>
      </c>
      <c r="E213" s="1" t="s">
        <v>1212</v>
      </c>
      <c r="F213" s="1"/>
      <c r="G213" s="1" t="s">
        <v>1213</v>
      </c>
      <c r="H213" s="6" t="s">
        <v>1214</v>
      </c>
      <c r="I213" s="1" t="s">
        <v>267</v>
      </c>
      <c r="J213" s="7">
        <v>46039</v>
      </c>
      <c r="K213" s="7">
        <v>46070</v>
      </c>
      <c r="L213" s="1"/>
      <c r="M213" s="1"/>
      <c r="N213" s="1" t="s">
        <v>421</v>
      </c>
      <c r="O213" s="1" t="s">
        <v>45</v>
      </c>
      <c r="P213" s="1" t="s">
        <v>90</v>
      </c>
      <c r="Q213" s="1" t="s">
        <v>47</v>
      </c>
      <c r="R213" s="1" t="s">
        <v>48</v>
      </c>
      <c r="S213" s="1">
        <v>3000</v>
      </c>
      <c r="T213" s="1">
        <v>3000</v>
      </c>
      <c r="U213" s="1">
        <v>3000</v>
      </c>
      <c r="V213" s="1">
        <v>2000</v>
      </c>
      <c r="W213" s="1" t="s">
        <v>1215</v>
      </c>
      <c r="X213" s="1"/>
      <c r="Y213" s="1" t="s">
        <v>1216</v>
      </c>
      <c r="Z213" s="1" t="s">
        <v>1116</v>
      </c>
      <c r="AA213" s="1" t="s">
        <v>297</v>
      </c>
      <c r="AB213" s="10" t="s">
        <v>344</v>
      </c>
      <c r="AC213" s="10" t="s">
        <v>68</v>
      </c>
      <c r="AD213" s="10" t="str">
        <f>IFERROR(VLOOKUP(B213,'Regiões Administrativas'!$A$1:$B$646,2,0),"")</f>
        <v>São José dos Campos</v>
      </c>
      <c r="AE213" s="10">
        <f>IFERROR(VLOOKUP(Form_Responses[[#This Row],[Município]],'Regiões Administrativas'!$A$1:$I$646,3,0),"")</f>
        <v>17148</v>
      </c>
      <c r="AF213" s="10">
        <f>IFERROR(VLOOKUP(Form_Responses[[#This Row],[Município]],'Regiões Administrativas'!$A$1:$I$646,4,0),"")</f>
        <v>354860905000001</v>
      </c>
      <c r="AG213" s="10">
        <f>IFERROR(VLOOKUP(Form_Responses[[#This Row],[Município]],'Regiões Administrativas'!$A$1:$I$646,4,0),"")</f>
        <v>354860905000001</v>
      </c>
      <c r="AH213" s="10">
        <f>IFERROR(VLOOKUP(B213,'Regiões Administrativas'!$A$1:$I$646,5,0),"")</f>
        <v>3548609</v>
      </c>
      <c r="AI213" s="10">
        <f>IFERROR(VLOOKUP(B213,'Regiões Administrativas'!$A$1:$I$646,6,0),"")</f>
        <v>-45.737138999999999</v>
      </c>
      <c r="AJ213" s="10">
        <f>IFERROR(VLOOKUP(B213,'Regiões Administrativas'!$A$1:$I$646,8,0),"")</f>
        <v>901.06317000000001</v>
      </c>
      <c r="AK213" s="10" t="str">
        <f>IFERROR(VLOOKUP(Form_Responses[[#This Row],[Município]],'Regiões Administrativas'!$A$1:$I$646,9,0),"")</f>
        <v>1J6tKY7tj{^f</v>
      </c>
    </row>
    <row r="214" spans="1:37" ht="22.5" customHeight="1">
      <c r="A214" s="13">
        <v>46028.610793113425</v>
      </c>
      <c r="B214" s="1" t="s">
        <v>1108</v>
      </c>
      <c r="C214" s="1" t="s">
        <v>1109</v>
      </c>
      <c r="D214" s="1" t="s">
        <v>1217</v>
      </c>
      <c r="E214" s="1" t="s">
        <v>1218</v>
      </c>
      <c r="F214" s="1"/>
      <c r="G214" s="1" t="s">
        <v>1219</v>
      </c>
      <c r="H214" s="1"/>
      <c r="I214" s="1" t="s">
        <v>60</v>
      </c>
      <c r="J214" s="7">
        <v>46174</v>
      </c>
      <c r="K214" s="7">
        <v>46201</v>
      </c>
      <c r="L214" s="1"/>
      <c r="M214" s="1"/>
      <c r="N214" s="1" t="s">
        <v>44</v>
      </c>
      <c r="O214" s="1" t="s">
        <v>221</v>
      </c>
      <c r="P214" s="1" t="s">
        <v>221</v>
      </c>
      <c r="Q214" s="1" t="s">
        <v>47</v>
      </c>
      <c r="R214" s="1" t="s">
        <v>74</v>
      </c>
      <c r="S214" s="1">
        <v>30000</v>
      </c>
      <c r="T214" s="1"/>
      <c r="U214" s="1"/>
      <c r="V214" s="1"/>
      <c r="W214" s="1" t="s">
        <v>1220</v>
      </c>
      <c r="X214" s="1"/>
      <c r="Y214" s="1" t="s">
        <v>1221</v>
      </c>
      <c r="Z214" s="1" t="s">
        <v>361</v>
      </c>
      <c r="AA214" s="1" t="s">
        <v>206</v>
      </c>
      <c r="AB214" s="10" t="s">
        <v>66</v>
      </c>
      <c r="AC214" s="10" t="s">
        <v>68</v>
      </c>
      <c r="AD214" s="10" t="str">
        <f>IFERROR(VLOOKUP(B214,'Regiões Administrativas'!$A$1:$B$646,2,0),"")</f>
        <v>Campinas</v>
      </c>
      <c r="AE214" s="10">
        <f>IFERROR(VLOOKUP(Form_Responses[[#This Row],[Município]],'Regiões Administrativas'!$A$1:$I$646,3,0),"")</f>
        <v>16800</v>
      </c>
      <c r="AF214" s="10">
        <f>IFERROR(VLOOKUP(Form_Responses[[#This Row],[Município]],'Regiões Administrativas'!$A$1:$I$646,4,0),"")</f>
        <v>353870905000001</v>
      </c>
      <c r="AG214" s="10">
        <f>IFERROR(VLOOKUP(Form_Responses[[#This Row],[Município]],'Regiões Administrativas'!$A$1:$I$646,4,0),"")</f>
        <v>353870905000001</v>
      </c>
      <c r="AH214" s="10">
        <f>IFERROR(VLOOKUP(B214,'Regiões Administrativas'!$A$1:$I$646,5,0),"")</f>
        <v>3538709</v>
      </c>
      <c r="AI214" s="10">
        <f>IFERROR(VLOOKUP(B214,'Regiões Administrativas'!$A$1:$I$646,6,0),"")</f>
        <v>-47.646846199999999</v>
      </c>
      <c r="AJ214" s="10">
        <f>IFERROR(VLOOKUP(B214,'Regiões Administrativas'!$A$1:$I$646,8,0),"")</f>
        <v>527.09938799999998</v>
      </c>
      <c r="AK214" s="10" t="str">
        <f>IFERROR(VLOOKUP(Form_Responses[[#This Row],[Município]],'Regiões Administrativas'!$A$1:$I$646,9,0),"")</f>
        <v>1J6tHWQje+W-</v>
      </c>
    </row>
    <row r="215" spans="1:37" ht="22.5" customHeight="1">
      <c r="A215" s="13">
        <v>46028.614340370375</v>
      </c>
      <c r="B215" s="1" t="s">
        <v>1108</v>
      </c>
      <c r="C215" s="1" t="s">
        <v>1109</v>
      </c>
      <c r="D215" s="1" t="s">
        <v>1222</v>
      </c>
      <c r="E215" s="1" t="s">
        <v>1223</v>
      </c>
      <c r="F215" s="1"/>
      <c r="G215" s="1" t="s">
        <v>1224</v>
      </c>
      <c r="H215" s="1"/>
      <c r="I215" s="1" t="s">
        <v>197</v>
      </c>
      <c r="J215" s="1"/>
      <c r="K215" s="1"/>
      <c r="L215" s="1"/>
      <c r="M215" s="1"/>
      <c r="N215" s="1" t="s">
        <v>44</v>
      </c>
      <c r="O215" s="1" t="s">
        <v>190</v>
      </c>
      <c r="P215" s="1" t="s">
        <v>63</v>
      </c>
      <c r="Q215" s="1" t="s">
        <v>47</v>
      </c>
      <c r="R215" s="1" t="s">
        <v>74</v>
      </c>
      <c r="S215" s="1">
        <v>12000</v>
      </c>
      <c r="T215" s="1">
        <v>11000</v>
      </c>
      <c r="U215" s="1"/>
      <c r="V215" s="1"/>
      <c r="W215" s="1" t="s">
        <v>1225</v>
      </c>
      <c r="X215" s="1"/>
      <c r="Y215" s="1" t="s">
        <v>1179</v>
      </c>
      <c r="Z215" s="1" t="s">
        <v>361</v>
      </c>
      <c r="AA215" s="1" t="s">
        <v>93</v>
      </c>
      <c r="AB215" s="10" t="s">
        <v>66</v>
      </c>
      <c r="AC215" s="10" t="s">
        <v>68</v>
      </c>
      <c r="AD215" s="10" t="str">
        <f>IFERROR(VLOOKUP(B215,'Regiões Administrativas'!$A$1:$B$646,2,0),"")</f>
        <v>Campinas</v>
      </c>
      <c r="AE215" s="10">
        <f>IFERROR(VLOOKUP(Form_Responses[[#This Row],[Município]],'Regiões Administrativas'!$A$1:$I$646,3,0),"")</f>
        <v>16800</v>
      </c>
      <c r="AF215" s="10">
        <f>IFERROR(VLOOKUP(Form_Responses[[#This Row],[Município]],'Regiões Administrativas'!$A$1:$I$646,4,0),"")</f>
        <v>353870905000001</v>
      </c>
      <c r="AG215" s="10">
        <f>IFERROR(VLOOKUP(Form_Responses[[#This Row],[Município]],'Regiões Administrativas'!$A$1:$I$646,4,0),"")</f>
        <v>353870905000001</v>
      </c>
      <c r="AH215" s="10">
        <f>IFERROR(VLOOKUP(B215,'Regiões Administrativas'!$A$1:$I$646,5,0),"")</f>
        <v>3538709</v>
      </c>
      <c r="AI215" s="10">
        <f>IFERROR(VLOOKUP(B215,'Regiões Administrativas'!$A$1:$I$646,6,0),"")</f>
        <v>-47.646846199999999</v>
      </c>
      <c r="AJ215" s="10">
        <f>IFERROR(VLOOKUP(B215,'Regiões Administrativas'!$A$1:$I$646,8,0),"")</f>
        <v>527.09938799999998</v>
      </c>
      <c r="AK215" s="10" t="str">
        <f>IFERROR(VLOOKUP(Form_Responses[[#This Row],[Município]],'Regiões Administrativas'!$A$1:$I$646,9,0),"")</f>
        <v>1J6tHWQje+W-</v>
      </c>
    </row>
    <row r="216" spans="1:37" ht="22.5" customHeight="1">
      <c r="A216" s="13">
        <v>46028.627516446759</v>
      </c>
      <c r="B216" s="1" t="s">
        <v>1108</v>
      </c>
      <c r="C216" s="1" t="s">
        <v>1109</v>
      </c>
      <c r="D216" s="1" t="s">
        <v>1226</v>
      </c>
      <c r="E216" s="1" t="s">
        <v>1227</v>
      </c>
      <c r="F216" s="1"/>
      <c r="G216" s="1" t="s">
        <v>1228</v>
      </c>
      <c r="H216" s="1"/>
      <c r="I216" s="1" t="s">
        <v>197</v>
      </c>
      <c r="J216" s="1"/>
      <c r="K216" s="1"/>
      <c r="L216" s="1"/>
      <c r="M216" s="1"/>
      <c r="N216" s="1" t="s">
        <v>73</v>
      </c>
      <c r="O216" s="1" t="s">
        <v>45</v>
      </c>
      <c r="P216" s="1" t="s">
        <v>63</v>
      </c>
      <c r="Q216" s="1" t="s">
        <v>47</v>
      </c>
      <c r="R216" s="1" t="s">
        <v>74</v>
      </c>
      <c r="S216" s="1">
        <v>28000</v>
      </c>
      <c r="T216" s="1">
        <v>25000</v>
      </c>
      <c r="U216" s="1">
        <v>23000</v>
      </c>
      <c r="V216" s="1"/>
      <c r="W216" s="1" t="s">
        <v>1229</v>
      </c>
      <c r="X216" s="6" t="s">
        <v>1230</v>
      </c>
      <c r="Y216" s="1" t="s">
        <v>1179</v>
      </c>
      <c r="Z216" s="1" t="s">
        <v>361</v>
      </c>
      <c r="AA216" s="1" t="s">
        <v>93</v>
      </c>
      <c r="AB216" s="10" t="s">
        <v>66</v>
      </c>
      <c r="AC216" s="10" t="s">
        <v>68</v>
      </c>
      <c r="AD216" s="10" t="str">
        <f>IFERROR(VLOOKUP(B216,'Regiões Administrativas'!$A$1:$B$646,2,0),"")</f>
        <v>Campinas</v>
      </c>
      <c r="AE216" s="10">
        <f>IFERROR(VLOOKUP(Form_Responses[[#This Row],[Município]],'Regiões Administrativas'!$A$1:$I$646,3,0),"")</f>
        <v>16800</v>
      </c>
      <c r="AF216" s="10">
        <f>IFERROR(VLOOKUP(Form_Responses[[#This Row],[Município]],'Regiões Administrativas'!$A$1:$I$646,4,0),"")</f>
        <v>353870905000001</v>
      </c>
      <c r="AG216" s="10">
        <f>IFERROR(VLOOKUP(Form_Responses[[#This Row],[Município]],'Regiões Administrativas'!$A$1:$I$646,4,0),"")</f>
        <v>353870905000001</v>
      </c>
      <c r="AH216" s="10">
        <f>IFERROR(VLOOKUP(B216,'Regiões Administrativas'!$A$1:$I$646,5,0),"")</f>
        <v>3538709</v>
      </c>
      <c r="AI216" s="10">
        <f>IFERROR(VLOOKUP(B216,'Regiões Administrativas'!$A$1:$I$646,6,0),"")</f>
        <v>-47.646846199999999</v>
      </c>
      <c r="AJ216" s="10">
        <f>IFERROR(VLOOKUP(B216,'Regiões Administrativas'!$A$1:$I$646,8,0),"")</f>
        <v>527.09938799999998</v>
      </c>
      <c r="AK216" s="10" t="str">
        <f>IFERROR(VLOOKUP(Form_Responses[[#This Row],[Município]],'Regiões Administrativas'!$A$1:$I$646,9,0),"")</f>
        <v>1J6tHWQje+W-</v>
      </c>
    </row>
    <row r="217" spans="1:37" ht="22.5" customHeight="1">
      <c r="A217" s="13">
        <v>46028.633658969906</v>
      </c>
      <c r="B217" s="1" t="s">
        <v>1108</v>
      </c>
      <c r="C217" s="1" t="s">
        <v>1109</v>
      </c>
      <c r="D217" s="1" t="s">
        <v>1231</v>
      </c>
      <c r="E217" s="1" t="s">
        <v>1232</v>
      </c>
      <c r="F217" s="1"/>
      <c r="G217" s="1" t="s">
        <v>1233</v>
      </c>
      <c r="H217" s="1"/>
      <c r="I217" s="1" t="s">
        <v>43</v>
      </c>
      <c r="J217" s="1"/>
      <c r="K217" s="1"/>
      <c r="L217" s="1"/>
      <c r="M217" s="1"/>
      <c r="N217" s="1" t="s">
        <v>44</v>
      </c>
      <c r="O217" s="1" t="s">
        <v>190</v>
      </c>
      <c r="P217" s="1" t="s">
        <v>63</v>
      </c>
      <c r="Q217" s="1" t="s">
        <v>47</v>
      </c>
      <c r="R217" s="1" t="s">
        <v>74</v>
      </c>
      <c r="S217" s="1">
        <v>13000</v>
      </c>
      <c r="T217" s="1">
        <v>12000</v>
      </c>
      <c r="U217" s="1">
        <v>8000</v>
      </c>
      <c r="V217" s="1">
        <v>9000</v>
      </c>
      <c r="W217" s="1" t="s">
        <v>1234</v>
      </c>
      <c r="X217" s="1"/>
      <c r="Y217" s="1" t="s">
        <v>1179</v>
      </c>
      <c r="Z217" s="1" t="s">
        <v>361</v>
      </c>
      <c r="AA217" s="1" t="s">
        <v>206</v>
      </c>
      <c r="AB217" s="10" t="s">
        <v>66</v>
      </c>
      <c r="AC217" s="10" t="s">
        <v>68</v>
      </c>
      <c r="AD217" s="10" t="str">
        <f>IFERROR(VLOOKUP(B217,'Regiões Administrativas'!$A$1:$B$646,2,0),"")</f>
        <v>Campinas</v>
      </c>
      <c r="AE217" s="10">
        <f>IFERROR(VLOOKUP(Form_Responses[[#This Row],[Município]],'Regiões Administrativas'!$A$1:$I$646,3,0),"")</f>
        <v>16800</v>
      </c>
      <c r="AF217" s="10">
        <f>IFERROR(VLOOKUP(Form_Responses[[#This Row],[Município]],'Regiões Administrativas'!$A$1:$I$646,4,0),"")</f>
        <v>353870905000001</v>
      </c>
      <c r="AG217" s="10">
        <f>IFERROR(VLOOKUP(Form_Responses[[#This Row],[Município]],'Regiões Administrativas'!$A$1:$I$646,4,0),"")</f>
        <v>353870905000001</v>
      </c>
      <c r="AH217" s="10">
        <f>IFERROR(VLOOKUP(B217,'Regiões Administrativas'!$A$1:$I$646,5,0),"")</f>
        <v>3538709</v>
      </c>
      <c r="AI217" s="10">
        <f>IFERROR(VLOOKUP(B217,'Regiões Administrativas'!$A$1:$I$646,6,0),"")</f>
        <v>-47.646846199999999</v>
      </c>
      <c r="AJ217" s="10">
        <f>IFERROR(VLOOKUP(B217,'Regiões Administrativas'!$A$1:$I$646,8,0),"")</f>
        <v>527.09938799999998</v>
      </c>
      <c r="AK217" s="10" t="str">
        <f>IFERROR(VLOOKUP(Form_Responses[[#This Row],[Município]],'Regiões Administrativas'!$A$1:$I$646,9,0),"")</f>
        <v>1J6tHWQje+W-</v>
      </c>
    </row>
    <row r="218" spans="1:37" ht="22.5" customHeight="1">
      <c r="A218" s="5">
        <v>46028.664530682872</v>
      </c>
      <c r="B218" s="1" t="s">
        <v>1235</v>
      </c>
      <c r="C218" s="1" t="s">
        <v>1236</v>
      </c>
      <c r="D218" s="1" t="s">
        <v>1237</v>
      </c>
      <c r="E218" s="1" t="s">
        <v>1238</v>
      </c>
      <c r="F218" s="1"/>
      <c r="G218" s="1" t="s">
        <v>1239</v>
      </c>
      <c r="H218" s="1"/>
      <c r="I218" s="1" t="s">
        <v>267</v>
      </c>
      <c r="J218" s="7">
        <v>46040</v>
      </c>
      <c r="K218" s="7">
        <v>46040</v>
      </c>
      <c r="L218" s="1"/>
      <c r="M218" s="1"/>
      <c r="N218" s="1" t="s">
        <v>61</v>
      </c>
      <c r="O218" s="1" t="s">
        <v>62</v>
      </c>
      <c r="P218" s="1" t="s">
        <v>221</v>
      </c>
      <c r="Q218" s="1" t="s">
        <v>47</v>
      </c>
      <c r="R218" s="1" t="s">
        <v>74</v>
      </c>
      <c r="S218" s="1">
        <v>500</v>
      </c>
      <c r="T218" s="1">
        <v>500</v>
      </c>
      <c r="U218" s="1">
        <v>500</v>
      </c>
      <c r="V218" s="1">
        <v>500</v>
      </c>
      <c r="W218" s="1" t="s">
        <v>1240</v>
      </c>
      <c r="X218" s="1"/>
      <c r="Y218" s="1" t="s">
        <v>1241</v>
      </c>
      <c r="Z218" s="1" t="s">
        <v>66</v>
      </c>
      <c r="AA218" s="1" t="s">
        <v>66</v>
      </c>
      <c r="AB218" s="10" t="s">
        <v>66</v>
      </c>
      <c r="AC218" s="10" t="s">
        <v>94</v>
      </c>
      <c r="AD218" s="10" t="str">
        <f>IFERROR(VLOOKUP(B218,'Regiões Administrativas'!$A$1:$B$646,2,0),"")</f>
        <v>RMSP</v>
      </c>
      <c r="AE218" s="10">
        <f>IFERROR(VLOOKUP(Form_Responses[[#This Row],[Município]],'Regiões Administrativas'!$A$1:$I$646,3,0),"")</f>
        <v>15696</v>
      </c>
      <c r="AF218" s="10">
        <f>IFERROR(VLOOKUP(Form_Responses[[#This Row],[Município]],'Regiões Administrativas'!$A$1:$I$646,4,0),"")</f>
        <v>350920505000001</v>
      </c>
      <c r="AG218" s="10">
        <f>IFERROR(VLOOKUP(Form_Responses[[#This Row],[Município]],'Regiões Administrativas'!$A$1:$I$646,4,0),"")</f>
        <v>350920505000001</v>
      </c>
      <c r="AH218" s="10">
        <f>IFERROR(VLOOKUP(B218,'Regiões Administrativas'!$A$1:$I$646,5,0),"")</f>
        <v>3509205</v>
      </c>
      <c r="AI218" s="10">
        <f>IFERROR(VLOOKUP(B218,'Regiões Administrativas'!$A$1:$I$646,6,0),"")</f>
        <v>-46.8829201</v>
      </c>
      <c r="AJ218" s="10">
        <f>IFERROR(VLOOKUP(B218,'Regiões Administrativas'!$A$1:$I$646,8,0),"")</f>
        <v>867.050792</v>
      </c>
      <c r="AK218" s="10" t="str">
        <f>IFERROR(VLOOKUP(Form_Responses[[#This Row],[Município]],'Regiões Administrativas'!$A$1:$I$646,9,0),"")</f>
        <v>1J6tLz2ReX+f</v>
      </c>
    </row>
    <row r="219" spans="1:37" ht="22.5" customHeight="1">
      <c r="A219" s="5">
        <v>46028.673890057871</v>
      </c>
      <c r="B219" s="1" t="s">
        <v>655</v>
      </c>
      <c r="C219" s="1" t="s">
        <v>656</v>
      </c>
      <c r="D219" s="1" t="s">
        <v>1242</v>
      </c>
      <c r="E219" s="1" t="s">
        <v>1243</v>
      </c>
      <c r="F219" s="1"/>
      <c r="G219" s="1" t="s">
        <v>1244</v>
      </c>
      <c r="H219" s="1"/>
      <c r="I219" s="1" t="s">
        <v>89</v>
      </c>
      <c r="J219" s="7">
        <v>46069</v>
      </c>
      <c r="K219" s="7">
        <v>46070</v>
      </c>
      <c r="L219" s="1"/>
      <c r="M219" s="1"/>
      <c r="N219" s="1" t="s">
        <v>73</v>
      </c>
      <c r="O219" s="1" t="s">
        <v>45</v>
      </c>
      <c r="P219" s="1" t="s">
        <v>90</v>
      </c>
      <c r="Q219" s="1" t="s">
        <v>47</v>
      </c>
      <c r="R219" s="1" t="s">
        <v>74</v>
      </c>
      <c r="S219" s="1">
        <v>10000</v>
      </c>
      <c r="T219" s="1"/>
      <c r="U219" s="1"/>
      <c r="V219" s="1"/>
      <c r="W219" s="1" t="s">
        <v>1245</v>
      </c>
      <c r="X219" s="1"/>
      <c r="Y219" s="1" t="s">
        <v>1246</v>
      </c>
      <c r="Z219" s="1" t="s">
        <v>66</v>
      </c>
      <c r="AA219" s="1" t="s">
        <v>66</v>
      </c>
      <c r="AB219" s="10" t="s">
        <v>66</v>
      </c>
      <c r="AC219" s="10" t="s">
        <v>94</v>
      </c>
      <c r="AD219" s="10" t="str">
        <f>IFERROR(VLOOKUP(B219,'Regiões Administrativas'!$A$1:$B$646,2,0),"")</f>
        <v>Itapeva</v>
      </c>
      <c r="AE219" s="10">
        <f>IFERROR(VLOOKUP(Form_Responses[[#This Row],[Município]],'Regiões Administrativas'!$A$1:$I$646,3,0),"")</f>
        <v>16130</v>
      </c>
      <c r="AF219" s="10">
        <f>IFERROR(VLOOKUP(Form_Responses[[#This Row],[Município]],'Regiões Administrativas'!$A$1:$I$646,4,0),"")</f>
        <v>352320605000001</v>
      </c>
      <c r="AG219" s="10">
        <f>IFERROR(VLOOKUP(Form_Responses[[#This Row],[Município]],'Regiões Administrativas'!$A$1:$I$646,4,0),"")</f>
        <v>352320605000001</v>
      </c>
      <c r="AH219" s="10">
        <f>IFERROR(VLOOKUP(B219,'Regiões Administrativas'!$A$1:$I$646,5,0),"")</f>
        <v>3523206</v>
      </c>
      <c r="AI219" s="10">
        <f>IFERROR(VLOOKUP(B219,'Regiões Administrativas'!$A$1:$I$646,6,0),"")</f>
        <v>-49.336119699999998</v>
      </c>
      <c r="AJ219" s="10">
        <f>IFERROR(VLOOKUP(B219,'Regiões Administrativas'!$A$1:$I$646,8,0),"")</f>
        <v>734.12665600000003</v>
      </c>
      <c r="AK219" s="10" t="str">
        <f>IFERROR(VLOOKUP(Form_Responses[[#This Row],[Município]],'Regiões Administrativas'!$A$1:$I$646,9,0),"")</f>
        <v>1J6S29)Jh3)p</v>
      </c>
    </row>
    <row r="220" spans="1:37" ht="22.5" customHeight="1">
      <c r="A220" s="5">
        <v>46028.682691493057</v>
      </c>
      <c r="B220" s="1" t="s">
        <v>1247</v>
      </c>
      <c r="C220" s="1" t="s">
        <v>811</v>
      </c>
      <c r="D220" s="1" t="s">
        <v>1248</v>
      </c>
      <c r="E220" s="1" t="s">
        <v>1249</v>
      </c>
      <c r="F220" s="1"/>
      <c r="G220" s="1" t="s">
        <v>1250</v>
      </c>
      <c r="H220" s="1"/>
      <c r="I220" s="1" t="s">
        <v>267</v>
      </c>
      <c r="J220" s="7">
        <v>46041</v>
      </c>
      <c r="K220" s="7">
        <v>46041</v>
      </c>
      <c r="L220" s="11">
        <v>0.875</v>
      </c>
      <c r="M220" s="11">
        <v>0</v>
      </c>
      <c r="N220" s="1" t="s">
        <v>110</v>
      </c>
      <c r="O220" s="1" t="s">
        <v>45</v>
      </c>
      <c r="P220" s="1" t="s">
        <v>221</v>
      </c>
      <c r="Q220" s="1" t="s">
        <v>47</v>
      </c>
      <c r="R220" s="1" t="s">
        <v>74</v>
      </c>
      <c r="S220" s="8">
        <v>6000</v>
      </c>
      <c r="T220" s="8">
        <v>4500</v>
      </c>
      <c r="U220" s="8">
        <v>4000</v>
      </c>
      <c r="V220" s="8">
        <v>3500</v>
      </c>
      <c r="W220" s="1" t="s">
        <v>990</v>
      </c>
      <c r="X220" s="1"/>
      <c r="Y220" s="1" t="s">
        <v>1251</v>
      </c>
      <c r="Z220" s="1" t="s">
        <v>66</v>
      </c>
      <c r="AA220" s="1" t="s">
        <v>67</v>
      </c>
      <c r="AB220" s="10" t="s">
        <v>66</v>
      </c>
      <c r="AC220" s="10" t="s">
        <v>68</v>
      </c>
      <c r="AD220" s="10" t="str">
        <f>IFERROR(VLOOKUP(B220,'Regiões Administrativas'!$A$1:$B$646,2,0),"")</f>
        <v>Itapeva</v>
      </c>
      <c r="AE220" s="10">
        <f>IFERROR(VLOOKUP(Form_Responses[[#This Row],[Município]],'Regiões Administrativas'!$A$1:$I$646,3,0),"")</f>
        <v>16818</v>
      </c>
      <c r="AF220" s="10">
        <f>IFERROR(VLOOKUP(Form_Responses[[#This Row],[Município]],'Regiões Administrativas'!$A$1:$I$646,4,0),"")</f>
        <v>353880805000001</v>
      </c>
      <c r="AG220" s="10">
        <f>IFERROR(VLOOKUP(Form_Responses[[#This Row],[Município]],'Regiões Administrativas'!$A$1:$I$646,4,0),"")</f>
        <v>353880805000001</v>
      </c>
      <c r="AH220" s="10">
        <f>IFERROR(VLOOKUP(B220,'Regiões Administrativas'!$A$1:$I$646,5,0),"")</f>
        <v>3538808</v>
      </c>
      <c r="AI220" s="10">
        <f>IFERROR(VLOOKUP(B220,'Regiões Administrativas'!$A$1:$I$646,6,0),"")</f>
        <v>-49.383974500000001</v>
      </c>
      <c r="AJ220" s="10">
        <f>IFERROR(VLOOKUP(B220,'Regiões Administrativas'!$A$1:$I$646,8,0),"")</f>
        <v>555.89249900000004</v>
      </c>
      <c r="AK220" s="10" t="str">
        <f>IFERROR(VLOOKUP(Form_Responses[[#This Row],[Município]],'Regiões Administrativas'!$A$1:$I$646,9,0),"")</f>
        <v>1J6RWtOj+j^f</v>
      </c>
    </row>
    <row r="221" spans="1:37" ht="22.5" customHeight="1">
      <c r="A221" s="13">
        <v>46028.686514421293</v>
      </c>
      <c r="B221" s="1" t="s">
        <v>1052</v>
      </c>
      <c r="C221" s="1" t="s">
        <v>149</v>
      </c>
      <c r="D221" s="1" t="s">
        <v>1252</v>
      </c>
      <c r="E221" s="1" t="s">
        <v>1253</v>
      </c>
      <c r="F221" s="1"/>
      <c r="G221" s="1" t="s">
        <v>1254</v>
      </c>
      <c r="H221" s="1"/>
      <c r="I221" s="1" t="s">
        <v>60</v>
      </c>
      <c r="J221" s="7">
        <v>46179</v>
      </c>
      <c r="K221" s="7">
        <v>46179</v>
      </c>
      <c r="L221" s="11">
        <v>0.625</v>
      </c>
      <c r="M221" s="11">
        <v>0.95833333333575865</v>
      </c>
      <c r="N221" s="1" t="s">
        <v>44</v>
      </c>
      <c r="O221" s="1" t="s">
        <v>221</v>
      </c>
      <c r="P221" s="1" t="s">
        <v>135</v>
      </c>
      <c r="Q221" s="1" t="s">
        <v>47</v>
      </c>
      <c r="R221" s="1" t="s">
        <v>256</v>
      </c>
      <c r="S221" s="1">
        <v>1200</v>
      </c>
      <c r="T221" s="1"/>
      <c r="U221" s="1"/>
      <c r="V221" s="1"/>
      <c r="W221" s="1" t="s">
        <v>1255</v>
      </c>
      <c r="X221" s="1"/>
      <c r="Y221" s="1" t="s">
        <v>1057</v>
      </c>
      <c r="Z221" s="1" t="s">
        <v>66</v>
      </c>
      <c r="AA221" s="1" t="s">
        <v>66</v>
      </c>
      <c r="AB221" s="10" t="s">
        <v>66</v>
      </c>
      <c r="AC221" s="10" t="s">
        <v>68</v>
      </c>
      <c r="AD221" s="10" t="str">
        <f>IFERROR(VLOOKUP(B221,'Regiões Administrativas'!$A$1:$B$646,2,0),"")</f>
        <v>Sorocaba</v>
      </c>
      <c r="AE221" s="10">
        <f>IFERROR(VLOOKUP(Form_Responses[[#This Row],[Município]],'Regiões Administrativas'!$A$1:$I$646,3,0),"")</f>
        <v>15409</v>
      </c>
      <c r="AF221" s="10">
        <f>IFERROR(VLOOKUP(Form_Responses[[#This Row],[Município]],'Regiões Administrativas'!$A$1:$I$646,4,0),"")</f>
        <v>350275405000001</v>
      </c>
      <c r="AG221" s="10">
        <f>IFERROR(VLOOKUP(Form_Responses[[#This Row],[Município]],'Regiões Administrativas'!$A$1:$I$646,4,0),"")</f>
        <v>350275405000001</v>
      </c>
      <c r="AH221" s="10">
        <f>IFERROR(VLOOKUP(B221,'Regiões Administrativas'!$A$1:$I$646,5,0),"")</f>
        <v>3502754</v>
      </c>
      <c r="AI221" s="10">
        <f>IFERROR(VLOOKUP(B221,'Regiões Administrativas'!$A$1:$I$646,6,0),"")</f>
        <v>-47.071547600000002</v>
      </c>
      <c r="AJ221" s="10">
        <f>IFERROR(VLOOKUP(B221,'Regiões Administrativas'!$A$1:$I$646,8,0),"")</f>
        <v>710.676513</v>
      </c>
      <c r="AK221" s="10" t="str">
        <f>IFERROR(VLOOKUP(Form_Responses[[#This Row],[Município]],'Regiões Administrativas'!$A$1:$I$646,9,0),"")</f>
        <v>1J6tLXMX\W&lt;p</v>
      </c>
    </row>
    <row r="222" spans="1:37" ht="22.5" customHeight="1">
      <c r="A222" s="5">
        <v>46028.704411087965</v>
      </c>
      <c r="B222" s="1" t="s">
        <v>1256</v>
      </c>
      <c r="C222" s="1" t="s">
        <v>811</v>
      </c>
      <c r="D222" s="1" t="s">
        <v>1257</v>
      </c>
      <c r="E222" s="1" t="s">
        <v>1258</v>
      </c>
      <c r="F222" s="1"/>
      <c r="G222" s="1" t="s">
        <v>1259</v>
      </c>
      <c r="H222" s="6" t="s">
        <v>1260</v>
      </c>
      <c r="I222" s="1" t="s">
        <v>89</v>
      </c>
      <c r="J222" s="7">
        <v>46067</v>
      </c>
      <c r="K222" s="7">
        <v>46070</v>
      </c>
      <c r="L222" s="11">
        <v>0.875</v>
      </c>
      <c r="M222" s="11">
        <v>8.3333333335758653E-2</v>
      </c>
      <c r="N222" s="1" t="s">
        <v>44</v>
      </c>
      <c r="O222" s="1" t="s">
        <v>45</v>
      </c>
      <c r="P222" s="1" t="s">
        <v>90</v>
      </c>
      <c r="Q222" s="1" t="s">
        <v>47</v>
      </c>
      <c r="R222" s="1" t="s">
        <v>48</v>
      </c>
      <c r="S222" s="1">
        <v>6000</v>
      </c>
      <c r="T222" s="1">
        <v>6000</v>
      </c>
      <c r="U222" s="1">
        <v>6000</v>
      </c>
      <c r="V222" s="1">
        <v>6000</v>
      </c>
      <c r="W222" s="1" t="s">
        <v>1261</v>
      </c>
      <c r="X222" s="1"/>
      <c r="Y222" s="1" t="s">
        <v>1262</v>
      </c>
      <c r="Z222" s="1" t="s">
        <v>66</v>
      </c>
      <c r="AA222" s="1" t="s">
        <v>66</v>
      </c>
      <c r="AB222" s="10" t="s">
        <v>66</v>
      </c>
      <c r="AC222" s="10" t="s">
        <v>55</v>
      </c>
      <c r="AD222" s="10" t="str">
        <f>IFERROR(VLOOKUP(B222,'Regiões Administrativas'!$A$1:$B$646,2,0),"")</f>
        <v>Campinas</v>
      </c>
      <c r="AE222" s="10">
        <f>IFERROR(VLOOKUP(Form_Responses[[#This Row],[Município]],'Regiões Administrativas'!$A$1:$I$646,3,0),"")</f>
        <v>16360</v>
      </c>
      <c r="AF222" s="10">
        <f>IFERROR(VLOOKUP(Form_Responses[[#This Row],[Município]],'Regiões Administrativas'!$A$1:$I$646,4,0),"")</f>
        <v>352700905000001</v>
      </c>
      <c r="AG222" s="10">
        <f>IFERROR(VLOOKUP(Form_Responses[[#This Row],[Município]],'Regiões Administrativas'!$A$1:$I$646,4,0),"")</f>
        <v>352700905000001</v>
      </c>
      <c r="AH222" s="10">
        <f>IFERROR(VLOOKUP(B222,'Regiões Administrativas'!$A$1:$I$646,5,0),"")</f>
        <v>3527009</v>
      </c>
      <c r="AI222" s="10">
        <f>IFERROR(VLOOKUP(B222,'Regiões Administrativas'!$A$1:$I$646,6,0),"")</f>
        <v>-46.661483599999997</v>
      </c>
      <c r="AJ222" s="10">
        <f>IFERROR(VLOOKUP(B222,'Regiões Administrativas'!$A$1:$I$646,8,0),"")</f>
        <v>717.27232600000002</v>
      </c>
      <c r="AK222" s="10" t="str">
        <f>IFERROR(VLOOKUP(Form_Responses[[#This Row],[Município]],'Regiões Administrativas'!$A$1:$I$646,9,0),"")</f>
        <v>1J6tj&lt;X:3n6p</v>
      </c>
    </row>
    <row r="223" spans="1:37" ht="22.5" customHeight="1">
      <c r="A223" s="13">
        <v>46029.408926307871</v>
      </c>
      <c r="B223" s="1" t="s">
        <v>1108</v>
      </c>
      <c r="C223" s="1" t="s">
        <v>1109</v>
      </c>
      <c r="D223" s="1" t="s">
        <v>1263</v>
      </c>
      <c r="E223" s="1" t="s">
        <v>1264</v>
      </c>
      <c r="F223" s="1"/>
      <c r="G223" s="1" t="s">
        <v>1265</v>
      </c>
      <c r="H223" s="1"/>
      <c r="I223" s="1" t="s">
        <v>197</v>
      </c>
      <c r="J223" s="7">
        <v>46353</v>
      </c>
      <c r="K223" s="7">
        <v>46355</v>
      </c>
      <c r="L223" s="1"/>
      <c r="M223" s="1"/>
      <c r="N223" s="1" t="s">
        <v>73</v>
      </c>
      <c r="O223" s="1" t="s">
        <v>190</v>
      </c>
      <c r="P223" s="1" t="s">
        <v>63</v>
      </c>
      <c r="Q223" s="1" t="s">
        <v>47</v>
      </c>
      <c r="R223" s="1" t="s">
        <v>74</v>
      </c>
      <c r="S223" s="1">
        <v>12000</v>
      </c>
      <c r="T223" s="1">
        <v>9000</v>
      </c>
      <c r="U223" s="1">
        <v>9000</v>
      </c>
      <c r="V223" s="1">
        <v>10000</v>
      </c>
      <c r="W223" s="1" t="s">
        <v>1266</v>
      </c>
      <c r="X223" s="1"/>
      <c r="Y223" s="1" t="s">
        <v>1179</v>
      </c>
      <c r="Z223" s="1" t="s">
        <v>361</v>
      </c>
      <c r="AA223" s="1" t="s">
        <v>93</v>
      </c>
      <c r="AB223" s="10" t="s">
        <v>66</v>
      </c>
      <c r="AC223" s="10" t="s">
        <v>68</v>
      </c>
      <c r="AD223" s="10" t="str">
        <f>IFERROR(VLOOKUP(B223,'Regiões Administrativas'!$A$1:$B$646,2,0),"")</f>
        <v>Campinas</v>
      </c>
      <c r="AE223" s="10">
        <f>IFERROR(VLOOKUP(Form_Responses[[#This Row],[Município]],'Regiões Administrativas'!$A$1:$I$646,3,0),"")</f>
        <v>16800</v>
      </c>
      <c r="AF223" s="10">
        <f>IFERROR(VLOOKUP(Form_Responses[[#This Row],[Município]],'Regiões Administrativas'!$A$1:$I$646,4,0),"")</f>
        <v>353870905000001</v>
      </c>
      <c r="AG223" s="10">
        <f>IFERROR(VLOOKUP(Form_Responses[[#This Row],[Município]],'Regiões Administrativas'!$A$1:$I$646,4,0),"")</f>
        <v>353870905000001</v>
      </c>
      <c r="AH223" s="10">
        <f>IFERROR(VLOOKUP(B223,'Regiões Administrativas'!$A$1:$I$646,5,0),"")</f>
        <v>3538709</v>
      </c>
      <c r="AI223" s="10">
        <f>IFERROR(VLOOKUP(B223,'Regiões Administrativas'!$A$1:$I$646,6,0),"")</f>
        <v>-47.646846199999999</v>
      </c>
      <c r="AJ223" s="10">
        <f>IFERROR(VLOOKUP(B223,'Regiões Administrativas'!$A$1:$I$646,8,0),"")</f>
        <v>527.09938799999998</v>
      </c>
      <c r="AK223" s="10" t="str">
        <f>IFERROR(VLOOKUP(Form_Responses[[#This Row],[Município]],'Regiões Administrativas'!$A$1:$I$646,9,0),"")</f>
        <v>1J6tHWQje+W-</v>
      </c>
    </row>
    <row r="224" spans="1:37" ht="22.5" customHeight="1">
      <c r="A224" s="13">
        <v>46029.412161597225</v>
      </c>
      <c r="B224" s="1" t="s">
        <v>1108</v>
      </c>
      <c r="C224" s="1" t="s">
        <v>1109</v>
      </c>
      <c r="D224" s="1" t="s">
        <v>1267</v>
      </c>
      <c r="E224" s="1" t="s">
        <v>1268</v>
      </c>
      <c r="F224" s="1"/>
      <c r="G224" s="1" t="s">
        <v>1269</v>
      </c>
      <c r="H224" s="1"/>
      <c r="I224" s="1" t="s">
        <v>81</v>
      </c>
      <c r="J224" s="1"/>
      <c r="K224" s="1"/>
      <c r="L224" s="1"/>
      <c r="M224" s="1"/>
      <c r="N224" s="1" t="s">
        <v>98</v>
      </c>
      <c r="O224" s="1" t="s">
        <v>62</v>
      </c>
      <c r="P224" s="1" t="s">
        <v>63</v>
      </c>
      <c r="Q224" s="1" t="s">
        <v>47</v>
      </c>
      <c r="R224" s="1" t="s">
        <v>74</v>
      </c>
      <c r="S224" s="1">
        <v>1500</v>
      </c>
      <c r="T224" s="1">
        <v>1000</v>
      </c>
      <c r="U224" s="1">
        <v>700</v>
      </c>
      <c r="V224" s="1"/>
      <c r="W224" s="1" t="s">
        <v>1270</v>
      </c>
      <c r="X224" s="1"/>
      <c r="Y224" s="1" t="s">
        <v>1179</v>
      </c>
      <c r="Z224" s="1" t="s">
        <v>66</v>
      </c>
      <c r="AA224" s="1" t="s">
        <v>67</v>
      </c>
      <c r="AB224" s="10" t="s">
        <v>66</v>
      </c>
      <c r="AC224" s="10" t="s">
        <v>68</v>
      </c>
      <c r="AD224" s="10" t="str">
        <f>IFERROR(VLOOKUP(B224,'Regiões Administrativas'!$A$1:$B$646,2,0),"")</f>
        <v>Campinas</v>
      </c>
      <c r="AE224" s="10">
        <f>IFERROR(VLOOKUP(Form_Responses[[#This Row],[Município]],'Regiões Administrativas'!$A$1:$I$646,3,0),"")</f>
        <v>16800</v>
      </c>
      <c r="AF224" s="10">
        <f>IFERROR(VLOOKUP(Form_Responses[[#This Row],[Município]],'Regiões Administrativas'!$A$1:$I$646,4,0),"")</f>
        <v>353870905000001</v>
      </c>
      <c r="AG224" s="10">
        <f>IFERROR(VLOOKUP(Form_Responses[[#This Row],[Município]],'Regiões Administrativas'!$A$1:$I$646,4,0),"")</f>
        <v>353870905000001</v>
      </c>
      <c r="AH224" s="10">
        <f>IFERROR(VLOOKUP(B224,'Regiões Administrativas'!$A$1:$I$646,5,0),"")</f>
        <v>3538709</v>
      </c>
      <c r="AI224" s="10">
        <f>IFERROR(VLOOKUP(B224,'Regiões Administrativas'!$A$1:$I$646,6,0),"")</f>
        <v>-47.646846199999999</v>
      </c>
      <c r="AJ224" s="10">
        <f>IFERROR(VLOOKUP(B224,'Regiões Administrativas'!$A$1:$I$646,8,0),"")</f>
        <v>527.09938799999998</v>
      </c>
      <c r="AK224" s="10" t="str">
        <f>IFERROR(VLOOKUP(Form_Responses[[#This Row],[Município]],'Regiões Administrativas'!$A$1:$I$646,9,0),"")</f>
        <v>1J6tHWQje+W-</v>
      </c>
    </row>
    <row r="225" spans="1:37" ht="22.5" customHeight="1">
      <c r="A225" s="13">
        <v>46029.422377094903</v>
      </c>
      <c r="B225" s="1" t="s">
        <v>1108</v>
      </c>
      <c r="C225" s="1" t="s">
        <v>1109</v>
      </c>
      <c r="D225" s="1" t="s">
        <v>734</v>
      </c>
      <c r="E225" s="1" t="s">
        <v>1271</v>
      </c>
      <c r="F225" s="1"/>
      <c r="G225" s="1" t="s">
        <v>1228</v>
      </c>
      <c r="H225" s="1"/>
      <c r="I225" s="1" t="s">
        <v>162</v>
      </c>
      <c r="J225" s="7">
        <v>46387</v>
      </c>
      <c r="K225" s="1"/>
      <c r="L225" s="1"/>
      <c r="M225" s="1"/>
      <c r="N225" s="1" t="s">
        <v>44</v>
      </c>
      <c r="O225" s="1" t="s">
        <v>45</v>
      </c>
      <c r="P225" s="1" t="s">
        <v>180</v>
      </c>
      <c r="Q225" s="1" t="s">
        <v>47</v>
      </c>
      <c r="R225" s="1" t="s">
        <v>48</v>
      </c>
      <c r="S225" s="1">
        <v>5000</v>
      </c>
      <c r="T225" s="1">
        <v>2000</v>
      </c>
      <c r="U225" s="1"/>
      <c r="V225" s="1"/>
      <c r="W225" s="1" t="s">
        <v>1272</v>
      </c>
      <c r="X225" s="1"/>
      <c r="Y225" s="1" t="s">
        <v>1179</v>
      </c>
      <c r="Z225" s="1" t="s">
        <v>361</v>
      </c>
      <c r="AA225" s="1" t="s">
        <v>206</v>
      </c>
      <c r="AB225" s="10" t="s">
        <v>66</v>
      </c>
      <c r="AC225" s="10" t="s">
        <v>68</v>
      </c>
      <c r="AD225" s="10" t="str">
        <f>IFERROR(VLOOKUP(B225,'Regiões Administrativas'!$A$1:$B$646,2,0),"")</f>
        <v>Campinas</v>
      </c>
      <c r="AE225" s="10">
        <f>IFERROR(VLOOKUP(Form_Responses[[#This Row],[Município]],'Regiões Administrativas'!$A$1:$I$646,3,0),"")</f>
        <v>16800</v>
      </c>
      <c r="AF225" s="10">
        <f>IFERROR(VLOOKUP(Form_Responses[[#This Row],[Município]],'Regiões Administrativas'!$A$1:$I$646,4,0),"")</f>
        <v>353870905000001</v>
      </c>
      <c r="AG225" s="10">
        <f>IFERROR(VLOOKUP(Form_Responses[[#This Row],[Município]],'Regiões Administrativas'!$A$1:$I$646,4,0),"")</f>
        <v>353870905000001</v>
      </c>
      <c r="AH225" s="10">
        <f>IFERROR(VLOOKUP(B225,'Regiões Administrativas'!$A$1:$I$646,5,0),"")</f>
        <v>3538709</v>
      </c>
      <c r="AI225" s="10">
        <f>IFERROR(VLOOKUP(B225,'Regiões Administrativas'!$A$1:$I$646,6,0),"")</f>
        <v>-47.646846199999999</v>
      </c>
      <c r="AJ225" s="10">
        <f>IFERROR(VLOOKUP(B225,'Regiões Administrativas'!$A$1:$I$646,8,0),"")</f>
        <v>527.09938799999998</v>
      </c>
      <c r="AK225" s="10" t="str">
        <f>IFERROR(VLOOKUP(Form_Responses[[#This Row],[Município]],'Regiões Administrativas'!$A$1:$I$646,9,0),"")</f>
        <v>1J6tHWQje+W-</v>
      </c>
    </row>
    <row r="226" spans="1:37" ht="22.5" customHeight="1">
      <c r="A226" s="5">
        <v>46029.471021886573</v>
      </c>
      <c r="B226" s="1" t="s">
        <v>1273</v>
      </c>
      <c r="C226" s="1" t="s">
        <v>1274</v>
      </c>
      <c r="D226" s="1" t="s">
        <v>1275</v>
      </c>
      <c r="E226" s="1" t="s">
        <v>1276</v>
      </c>
      <c r="F226" s="1"/>
      <c r="G226" s="1" t="s">
        <v>1277</v>
      </c>
      <c r="H226" s="1"/>
      <c r="I226" s="1" t="s">
        <v>267</v>
      </c>
      <c r="J226" s="7">
        <v>46046</v>
      </c>
      <c r="K226" s="7">
        <v>46047</v>
      </c>
      <c r="L226" s="11">
        <v>0.375</v>
      </c>
      <c r="M226" s="11">
        <v>0.70833333333575865</v>
      </c>
      <c r="N226" s="1" t="s">
        <v>73</v>
      </c>
      <c r="O226" s="1" t="s">
        <v>234</v>
      </c>
      <c r="P226" s="1" t="s">
        <v>63</v>
      </c>
      <c r="Q226" s="1" t="s">
        <v>47</v>
      </c>
      <c r="R226" s="1" t="s">
        <v>48</v>
      </c>
      <c r="S226" s="1">
        <v>1000</v>
      </c>
      <c r="T226" s="1"/>
      <c r="U226" s="1"/>
      <c r="V226" s="1"/>
      <c r="W226" s="1" t="s">
        <v>1278</v>
      </c>
      <c r="X226" s="1"/>
      <c r="Y226" s="1" t="s">
        <v>1279</v>
      </c>
      <c r="Z226" s="1" t="s">
        <v>66</v>
      </c>
      <c r="AA226" s="1" t="s">
        <v>225</v>
      </c>
      <c r="AB226" s="10" t="s">
        <v>66</v>
      </c>
      <c r="AC226" s="10" t="s">
        <v>68</v>
      </c>
      <c r="AD226" s="10" t="str">
        <f>IFERROR(VLOOKUP(B226,'Regiões Administrativas'!$A$1:$B$646,2,0),"")</f>
        <v>Sorocaba</v>
      </c>
      <c r="AE226" s="10">
        <f>IFERROR(VLOOKUP(Form_Responses[[#This Row],[Município]],'Regiões Administrativas'!$A$1:$I$646,3,0),"")</f>
        <v>16783</v>
      </c>
      <c r="AF226" s="10">
        <f>IFERROR(VLOOKUP(Form_Responses[[#This Row],[Município]],'Regiões Administrativas'!$A$1:$I$646,4,0),"")</f>
        <v>353780005000001</v>
      </c>
      <c r="AG226" s="10">
        <f>IFERROR(VLOOKUP(Form_Responses[[#This Row],[Município]],'Regiões Administrativas'!$A$1:$I$646,4,0),"")</f>
        <v>353780005000001</v>
      </c>
      <c r="AH226" s="10">
        <f>IFERROR(VLOOKUP(B226,'Regiões Administrativas'!$A$1:$I$646,5,0),"")</f>
        <v>3537800</v>
      </c>
      <c r="AI226" s="10">
        <f>IFERROR(VLOOKUP(B226,'Regiões Administrativas'!$A$1:$I$646,6,0),"")</f>
        <v>-47.418015199999999</v>
      </c>
      <c r="AJ226" s="10">
        <f>IFERROR(VLOOKUP(B226,'Regiões Administrativas'!$A$1:$I$646,8,0),"")</f>
        <v>805.44356400000004</v>
      </c>
      <c r="AK226" s="10" t="str">
        <f>IFERROR(VLOOKUP(Form_Responses[[#This Row],[Município]],'Regiões Administrativas'!$A$1:$I$646,9,0),"")</f>
        <v>1J6tM^v4t3;p</v>
      </c>
    </row>
    <row r="227" spans="1:37" ht="22.5" customHeight="1">
      <c r="A227" s="13">
        <v>46029.478208611108</v>
      </c>
      <c r="B227" s="1" t="s">
        <v>1108</v>
      </c>
      <c r="C227" s="1" t="s">
        <v>1109</v>
      </c>
      <c r="D227" s="1" t="s">
        <v>1280</v>
      </c>
      <c r="E227" s="1" t="s">
        <v>1281</v>
      </c>
      <c r="F227" s="1"/>
      <c r="G227" s="1" t="s">
        <v>1282</v>
      </c>
      <c r="H227" s="1"/>
      <c r="I227" s="1" t="s">
        <v>60</v>
      </c>
      <c r="J227" s="7">
        <v>46185</v>
      </c>
      <c r="K227" s="7">
        <v>46187</v>
      </c>
      <c r="L227" s="1"/>
      <c r="M227" s="1"/>
      <c r="N227" s="1" t="s">
        <v>73</v>
      </c>
      <c r="O227" s="1" t="s">
        <v>190</v>
      </c>
      <c r="P227" s="1" t="s">
        <v>135</v>
      </c>
      <c r="Q227" s="1" t="s">
        <v>47</v>
      </c>
      <c r="R227" s="1" t="s">
        <v>74</v>
      </c>
      <c r="S227" s="1">
        <v>20000</v>
      </c>
      <c r="T227" s="1">
        <v>18000</v>
      </c>
      <c r="U227" s="1"/>
      <c r="V227" s="1"/>
      <c r="W227" s="1" t="s">
        <v>1283</v>
      </c>
      <c r="X227" s="1"/>
      <c r="Y227" s="1" t="s">
        <v>1179</v>
      </c>
      <c r="Z227" s="1" t="s">
        <v>361</v>
      </c>
      <c r="AA227" s="1" t="s">
        <v>206</v>
      </c>
      <c r="AB227" s="10" t="s">
        <v>66</v>
      </c>
      <c r="AC227" s="10" t="s">
        <v>68</v>
      </c>
      <c r="AD227" s="10" t="str">
        <f>IFERROR(VLOOKUP(B227,'Regiões Administrativas'!$A$1:$B$646,2,0),"")</f>
        <v>Campinas</v>
      </c>
      <c r="AE227" s="10">
        <f>IFERROR(VLOOKUP(Form_Responses[[#This Row],[Município]],'Regiões Administrativas'!$A$1:$I$646,3,0),"")</f>
        <v>16800</v>
      </c>
      <c r="AF227" s="10">
        <f>IFERROR(VLOOKUP(Form_Responses[[#This Row],[Município]],'Regiões Administrativas'!$A$1:$I$646,4,0),"")</f>
        <v>353870905000001</v>
      </c>
      <c r="AG227" s="10">
        <f>IFERROR(VLOOKUP(Form_Responses[[#This Row],[Município]],'Regiões Administrativas'!$A$1:$I$646,4,0),"")</f>
        <v>353870905000001</v>
      </c>
      <c r="AH227" s="10">
        <f>IFERROR(VLOOKUP(B227,'Regiões Administrativas'!$A$1:$I$646,5,0),"")</f>
        <v>3538709</v>
      </c>
      <c r="AI227" s="10">
        <f>IFERROR(VLOOKUP(B227,'Regiões Administrativas'!$A$1:$I$646,6,0),"")</f>
        <v>-47.646846199999999</v>
      </c>
      <c r="AJ227" s="10">
        <f>IFERROR(VLOOKUP(B227,'Regiões Administrativas'!$A$1:$I$646,8,0),"")</f>
        <v>527.09938799999998</v>
      </c>
      <c r="AK227" s="10" t="str">
        <f>IFERROR(VLOOKUP(Form_Responses[[#This Row],[Município]],'Regiões Administrativas'!$A$1:$I$646,9,0),"")</f>
        <v>1J6tHWQje+W-</v>
      </c>
    </row>
    <row r="228" spans="1:37" ht="22.5" customHeight="1">
      <c r="A228" s="13">
        <v>46029.480904525466</v>
      </c>
      <c r="B228" s="1" t="s">
        <v>1108</v>
      </c>
      <c r="C228" s="1" t="s">
        <v>1109</v>
      </c>
      <c r="D228" s="1" t="s">
        <v>1284</v>
      </c>
      <c r="E228" s="1" t="s">
        <v>1285</v>
      </c>
      <c r="F228" s="1"/>
      <c r="G228" s="1" t="s">
        <v>1228</v>
      </c>
      <c r="H228" s="1"/>
      <c r="I228" s="1" t="s">
        <v>81</v>
      </c>
      <c r="J228" s="7">
        <v>46276</v>
      </c>
      <c r="K228" s="7">
        <v>46278</v>
      </c>
      <c r="L228" s="1"/>
      <c r="M228" s="1"/>
      <c r="N228" s="1" t="s">
        <v>73</v>
      </c>
      <c r="O228" s="1" t="s">
        <v>190</v>
      </c>
      <c r="P228" s="1" t="s">
        <v>63</v>
      </c>
      <c r="Q228" s="1" t="s">
        <v>47</v>
      </c>
      <c r="R228" s="1" t="s">
        <v>74</v>
      </c>
      <c r="S228" s="1">
        <v>10000</v>
      </c>
      <c r="T228" s="1">
        <v>9000</v>
      </c>
      <c r="U228" s="1"/>
      <c r="V228" s="1"/>
      <c r="W228" s="1" t="s">
        <v>1286</v>
      </c>
      <c r="X228" s="1"/>
      <c r="Y228" s="1" t="s">
        <v>1179</v>
      </c>
      <c r="Z228" s="1" t="s">
        <v>361</v>
      </c>
      <c r="AA228" s="1" t="s">
        <v>206</v>
      </c>
      <c r="AB228" s="10" t="s">
        <v>66</v>
      </c>
      <c r="AC228" s="10" t="s">
        <v>68</v>
      </c>
      <c r="AD228" s="10" t="str">
        <f>IFERROR(VLOOKUP(B228,'Regiões Administrativas'!$A$1:$B$646,2,0),"")</f>
        <v>Campinas</v>
      </c>
      <c r="AE228" s="10">
        <f>IFERROR(VLOOKUP(Form_Responses[[#This Row],[Município]],'Regiões Administrativas'!$A$1:$I$646,3,0),"")</f>
        <v>16800</v>
      </c>
      <c r="AF228" s="10">
        <f>IFERROR(VLOOKUP(Form_Responses[[#This Row],[Município]],'Regiões Administrativas'!$A$1:$I$646,4,0),"")</f>
        <v>353870905000001</v>
      </c>
      <c r="AG228" s="10">
        <f>IFERROR(VLOOKUP(Form_Responses[[#This Row],[Município]],'Regiões Administrativas'!$A$1:$I$646,4,0),"")</f>
        <v>353870905000001</v>
      </c>
      <c r="AH228" s="10">
        <f>IFERROR(VLOOKUP(B228,'Regiões Administrativas'!$A$1:$I$646,5,0),"")</f>
        <v>3538709</v>
      </c>
      <c r="AI228" s="10">
        <f>IFERROR(VLOOKUP(B228,'Regiões Administrativas'!$A$1:$I$646,6,0),"")</f>
        <v>-47.646846199999999</v>
      </c>
      <c r="AJ228" s="10">
        <f>IFERROR(VLOOKUP(B228,'Regiões Administrativas'!$A$1:$I$646,8,0),"")</f>
        <v>527.09938799999998</v>
      </c>
      <c r="AK228" s="10" t="str">
        <f>IFERROR(VLOOKUP(Form_Responses[[#This Row],[Município]],'Regiões Administrativas'!$A$1:$I$646,9,0),"")</f>
        <v>1J6tHWQje+W-</v>
      </c>
    </row>
    <row r="229" spans="1:37" ht="22.5" customHeight="1">
      <c r="A229" s="5">
        <v>46029.486334317131</v>
      </c>
      <c r="B229" s="1" t="s">
        <v>1273</v>
      </c>
      <c r="C229" s="1" t="s">
        <v>1274</v>
      </c>
      <c r="D229" s="1" t="s">
        <v>1287</v>
      </c>
      <c r="E229" s="1" t="s">
        <v>1288</v>
      </c>
      <c r="F229" s="1"/>
      <c r="G229" s="1" t="s">
        <v>1289</v>
      </c>
      <c r="H229" s="1"/>
      <c r="I229" s="1" t="s">
        <v>267</v>
      </c>
      <c r="J229" s="7">
        <v>46046</v>
      </c>
      <c r="K229" s="7">
        <v>46047</v>
      </c>
      <c r="L229" s="1"/>
      <c r="M229" s="1"/>
      <c r="N229" s="1" t="s">
        <v>44</v>
      </c>
      <c r="O229" s="1" t="s">
        <v>190</v>
      </c>
      <c r="P229" s="1" t="s">
        <v>63</v>
      </c>
      <c r="Q229" s="1" t="s">
        <v>47</v>
      </c>
      <c r="R229" s="1" t="s">
        <v>48</v>
      </c>
      <c r="S229" s="1">
        <v>3000</v>
      </c>
      <c r="T229" s="1"/>
      <c r="U229" s="1"/>
      <c r="V229" s="1"/>
      <c r="W229" s="1" t="s">
        <v>1290</v>
      </c>
      <c r="X229" s="1"/>
      <c r="Y229" s="1" t="s">
        <v>1279</v>
      </c>
      <c r="Z229" s="1" t="s">
        <v>296</v>
      </c>
      <c r="AA229" s="1" t="s">
        <v>113</v>
      </c>
      <c r="AB229" s="10" t="s">
        <v>66</v>
      </c>
      <c r="AC229" s="10" t="s">
        <v>68</v>
      </c>
      <c r="AD229" s="10" t="str">
        <f>IFERROR(VLOOKUP(B229,'Regiões Administrativas'!$A$1:$B$646,2,0),"")</f>
        <v>Sorocaba</v>
      </c>
      <c r="AE229" s="10">
        <f>IFERROR(VLOOKUP(Form_Responses[[#This Row],[Município]],'Regiões Administrativas'!$A$1:$I$646,3,0),"")</f>
        <v>16783</v>
      </c>
      <c r="AF229" s="10">
        <f>IFERROR(VLOOKUP(Form_Responses[[#This Row],[Município]],'Regiões Administrativas'!$A$1:$I$646,4,0),"")</f>
        <v>353780005000001</v>
      </c>
      <c r="AG229" s="10">
        <f>IFERROR(VLOOKUP(Form_Responses[[#This Row],[Município]],'Regiões Administrativas'!$A$1:$I$646,4,0),"")</f>
        <v>353780005000001</v>
      </c>
      <c r="AH229" s="10">
        <f>IFERROR(VLOOKUP(B229,'Regiões Administrativas'!$A$1:$I$646,5,0),"")</f>
        <v>3537800</v>
      </c>
      <c r="AI229" s="10">
        <f>IFERROR(VLOOKUP(B229,'Regiões Administrativas'!$A$1:$I$646,6,0),"")</f>
        <v>-47.418015199999999</v>
      </c>
      <c r="AJ229" s="10">
        <f>IFERROR(VLOOKUP(B229,'Regiões Administrativas'!$A$1:$I$646,8,0),"")</f>
        <v>805.44356400000004</v>
      </c>
      <c r="AK229" s="10" t="str">
        <f>IFERROR(VLOOKUP(Form_Responses[[#This Row],[Município]],'Regiões Administrativas'!$A$1:$I$646,9,0),"")</f>
        <v>1J6tM^v4t3;p</v>
      </c>
    </row>
    <row r="230" spans="1:37" ht="22.5" customHeight="1">
      <c r="A230" s="13">
        <v>46029.492594513889</v>
      </c>
      <c r="B230" s="1" t="s">
        <v>1108</v>
      </c>
      <c r="C230" s="1" t="s">
        <v>1109</v>
      </c>
      <c r="D230" s="1" t="s">
        <v>1291</v>
      </c>
      <c r="E230" s="1" t="s">
        <v>1292</v>
      </c>
      <c r="F230" s="1"/>
      <c r="G230" s="1" t="s">
        <v>1293</v>
      </c>
      <c r="H230" s="1"/>
      <c r="I230" s="1" t="s">
        <v>162</v>
      </c>
      <c r="J230" s="7">
        <v>46361</v>
      </c>
      <c r="K230" s="7">
        <v>46362</v>
      </c>
      <c r="L230" s="1"/>
      <c r="M230" s="1"/>
      <c r="N230" s="1" t="s">
        <v>73</v>
      </c>
      <c r="O230" s="1" t="s">
        <v>45</v>
      </c>
      <c r="P230" s="1" t="s">
        <v>63</v>
      </c>
      <c r="Q230" s="1" t="s">
        <v>47</v>
      </c>
      <c r="R230" s="1" t="s">
        <v>74</v>
      </c>
      <c r="S230" s="1">
        <v>16000</v>
      </c>
      <c r="T230" s="1">
        <v>15000</v>
      </c>
      <c r="U230" s="1">
        <v>13000</v>
      </c>
      <c r="V230" s="1"/>
      <c r="W230" s="1" t="s">
        <v>1294</v>
      </c>
      <c r="X230" s="1"/>
      <c r="Y230" s="1" t="s">
        <v>1295</v>
      </c>
      <c r="Z230" s="1" t="s">
        <v>361</v>
      </c>
      <c r="AA230" s="1" t="s">
        <v>206</v>
      </c>
      <c r="AB230" s="10" t="s">
        <v>66</v>
      </c>
      <c r="AC230" s="10" t="s">
        <v>68</v>
      </c>
      <c r="AD230" s="10" t="str">
        <f>IFERROR(VLOOKUP(B230,'Regiões Administrativas'!$A$1:$B$646,2,0),"")</f>
        <v>Campinas</v>
      </c>
      <c r="AE230" s="10">
        <f>IFERROR(VLOOKUP(Form_Responses[[#This Row],[Município]],'Regiões Administrativas'!$A$1:$I$646,3,0),"")</f>
        <v>16800</v>
      </c>
      <c r="AF230" s="10">
        <f>IFERROR(VLOOKUP(Form_Responses[[#This Row],[Município]],'Regiões Administrativas'!$A$1:$I$646,4,0),"")</f>
        <v>353870905000001</v>
      </c>
      <c r="AG230" s="10">
        <f>IFERROR(VLOOKUP(Form_Responses[[#This Row],[Município]],'Regiões Administrativas'!$A$1:$I$646,4,0),"")</f>
        <v>353870905000001</v>
      </c>
      <c r="AH230" s="10">
        <f>IFERROR(VLOOKUP(B230,'Regiões Administrativas'!$A$1:$I$646,5,0),"")</f>
        <v>3538709</v>
      </c>
      <c r="AI230" s="10">
        <f>IFERROR(VLOOKUP(B230,'Regiões Administrativas'!$A$1:$I$646,6,0),"")</f>
        <v>-47.646846199999999</v>
      </c>
      <c r="AJ230" s="10">
        <f>IFERROR(VLOOKUP(B230,'Regiões Administrativas'!$A$1:$I$646,8,0),"")</f>
        <v>527.09938799999998</v>
      </c>
      <c r="AK230" s="10" t="str">
        <f>IFERROR(VLOOKUP(Form_Responses[[#This Row],[Município]],'Regiões Administrativas'!$A$1:$I$646,9,0),"")</f>
        <v>1J6tHWQje+W-</v>
      </c>
    </row>
    <row r="231" spans="1:37" ht="22.5" customHeight="1">
      <c r="A231" s="5">
        <v>46029.495504571758</v>
      </c>
      <c r="B231" s="1" t="s">
        <v>1247</v>
      </c>
      <c r="C231" s="1" t="s">
        <v>115</v>
      </c>
      <c r="D231" s="1" t="s">
        <v>1296</v>
      </c>
      <c r="E231" s="1" t="s">
        <v>1297</v>
      </c>
      <c r="F231" s="1"/>
      <c r="G231" s="1" t="s">
        <v>1250</v>
      </c>
      <c r="H231" s="1"/>
      <c r="I231" s="1" t="s">
        <v>89</v>
      </c>
      <c r="J231" s="7">
        <v>46066</v>
      </c>
      <c r="K231" s="7">
        <v>46069</v>
      </c>
      <c r="L231" s="11">
        <v>0.875</v>
      </c>
      <c r="M231" s="11">
        <v>8.3333333335758653E-2</v>
      </c>
      <c r="N231" s="1" t="s">
        <v>44</v>
      </c>
      <c r="O231" s="1" t="s">
        <v>45</v>
      </c>
      <c r="P231" s="1" t="s">
        <v>90</v>
      </c>
      <c r="Q231" s="1" t="s">
        <v>47</v>
      </c>
      <c r="R231" s="1" t="s">
        <v>48</v>
      </c>
      <c r="S231" s="8">
        <v>15000</v>
      </c>
      <c r="T231" s="8">
        <v>12000</v>
      </c>
      <c r="U231" s="8">
        <v>10000</v>
      </c>
      <c r="V231" s="8">
        <v>10000</v>
      </c>
      <c r="W231" s="1" t="s">
        <v>1298</v>
      </c>
      <c r="X231" s="1"/>
      <c r="Y231" s="1" t="s">
        <v>1251</v>
      </c>
      <c r="Z231" s="1" t="s">
        <v>76</v>
      </c>
      <c r="AA231" s="1" t="s">
        <v>67</v>
      </c>
      <c r="AB231" s="10" t="s">
        <v>66</v>
      </c>
      <c r="AC231" s="10" t="s">
        <v>68</v>
      </c>
      <c r="AD231" s="10" t="str">
        <f>IFERROR(VLOOKUP(B231,'Regiões Administrativas'!$A$1:$B$646,2,0),"")</f>
        <v>Itapeva</v>
      </c>
      <c r="AE231" s="10">
        <f>IFERROR(VLOOKUP(Form_Responses[[#This Row],[Município]],'Regiões Administrativas'!$A$1:$I$646,3,0),"")</f>
        <v>16818</v>
      </c>
      <c r="AF231" s="10">
        <f>IFERROR(VLOOKUP(Form_Responses[[#This Row],[Município]],'Regiões Administrativas'!$A$1:$I$646,4,0),"")</f>
        <v>353880805000001</v>
      </c>
      <c r="AG231" s="10">
        <f>IFERROR(VLOOKUP(Form_Responses[[#This Row],[Município]],'Regiões Administrativas'!$A$1:$I$646,4,0),"")</f>
        <v>353880805000001</v>
      </c>
      <c r="AH231" s="10">
        <f>IFERROR(VLOOKUP(B231,'Regiões Administrativas'!$A$1:$I$646,5,0),"")</f>
        <v>3538808</v>
      </c>
      <c r="AI231" s="10">
        <f>IFERROR(VLOOKUP(B231,'Regiões Administrativas'!$A$1:$I$646,6,0),"")</f>
        <v>-49.383974500000001</v>
      </c>
      <c r="AJ231" s="10">
        <f>IFERROR(VLOOKUP(B231,'Regiões Administrativas'!$A$1:$I$646,8,0),"")</f>
        <v>555.89249900000004</v>
      </c>
      <c r="AK231" s="10" t="str">
        <f>IFERROR(VLOOKUP(Form_Responses[[#This Row],[Município]],'Regiões Administrativas'!$A$1:$I$646,9,0),"")</f>
        <v>1J6RWtOj+j^f</v>
      </c>
    </row>
    <row r="232" spans="1:37" ht="22.5" customHeight="1">
      <c r="A232" s="13">
        <v>46029.496357175929</v>
      </c>
      <c r="B232" s="1" t="s">
        <v>1108</v>
      </c>
      <c r="C232" s="1" t="s">
        <v>1109</v>
      </c>
      <c r="D232" s="1" t="s">
        <v>1299</v>
      </c>
      <c r="E232" s="1" t="s">
        <v>1300</v>
      </c>
      <c r="F232" s="1"/>
      <c r="G232" s="1" t="s">
        <v>1301</v>
      </c>
      <c r="H232" s="1"/>
      <c r="I232" s="1" t="s">
        <v>162</v>
      </c>
      <c r="J232" s="1"/>
      <c r="K232" s="1"/>
      <c r="L232" s="1"/>
      <c r="M232" s="1"/>
      <c r="N232" s="1" t="s">
        <v>98</v>
      </c>
      <c r="O232" s="1" t="s">
        <v>45</v>
      </c>
      <c r="P232" s="1" t="s">
        <v>251</v>
      </c>
      <c r="Q232" s="1" t="s">
        <v>47</v>
      </c>
      <c r="R232" s="1" t="s">
        <v>74</v>
      </c>
      <c r="S232" s="1">
        <v>50000</v>
      </c>
      <c r="T232" s="1">
        <v>43000</v>
      </c>
      <c r="U232" s="1">
        <v>43000</v>
      </c>
      <c r="V232" s="1"/>
      <c r="W232" s="1" t="s">
        <v>1302</v>
      </c>
      <c r="X232" s="1"/>
      <c r="Y232" s="1" t="s">
        <v>1179</v>
      </c>
      <c r="Z232" s="1" t="s">
        <v>361</v>
      </c>
      <c r="AA232" s="1" t="s">
        <v>206</v>
      </c>
      <c r="AB232" s="10" t="s">
        <v>66</v>
      </c>
      <c r="AC232" s="10" t="s">
        <v>68</v>
      </c>
      <c r="AD232" s="10" t="str">
        <f>IFERROR(VLOOKUP(B232,'Regiões Administrativas'!$A$1:$B$646,2,0),"")</f>
        <v>Campinas</v>
      </c>
      <c r="AE232" s="10">
        <f>IFERROR(VLOOKUP(Form_Responses[[#This Row],[Município]],'Regiões Administrativas'!$A$1:$I$646,3,0),"")</f>
        <v>16800</v>
      </c>
      <c r="AF232" s="10">
        <f>IFERROR(VLOOKUP(Form_Responses[[#This Row],[Município]],'Regiões Administrativas'!$A$1:$I$646,4,0),"")</f>
        <v>353870905000001</v>
      </c>
      <c r="AG232" s="10">
        <f>IFERROR(VLOOKUP(Form_Responses[[#This Row],[Município]],'Regiões Administrativas'!$A$1:$I$646,4,0),"")</f>
        <v>353870905000001</v>
      </c>
      <c r="AH232" s="10">
        <f>IFERROR(VLOOKUP(B232,'Regiões Administrativas'!$A$1:$I$646,5,0),"")</f>
        <v>3538709</v>
      </c>
      <c r="AI232" s="10">
        <f>IFERROR(VLOOKUP(B232,'Regiões Administrativas'!$A$1:$I$646,6,0),"")</f>
        <v>-47.646846199999999</v>
      </c>
      <c r="AJ232" s="10">
        <f>IFERROR(VLOOKUP(B232,'Regiões Administrativas'!$A$1:$I$646,8,0),"")</f>
        <v>527.09938799999998</v>
      </c>
      <c r="AK232" s="10" t="str">
        <f>IFERROR(VLOOKUP(Form_Responses[[#This Row],[Município]],'Regiões Administrativas'!$A$1:$I$646,9,0),"")</f>
        <v>1J6tHWQje+W-</v>
      </c>
    </row>
    <row r="233" spans="1:37" ht="22.5" customHeight="1">
      <c r="A233" s="5">
        <v>46029.504831550927</v>
      </c>
      <c r="B233" s="1" t="s">
        <v>1303</v>
      </c>
      <c r="C233" s="1" t="s">
        <v>1304</v>
      </c>
      <c r="D233" s="1" t="s">
        <v>1305</v>
      </c>
      <c r="E233" s="1" t="s">
        <v>1306</v>
      </c>
      <c r="F233" s="1"/>
      <c r="G233" s="1" t="s">
        <v>1307</v>
      </c>
      <c r="H233" s="6" t="s">
        <v>1308</v>
      </c>
      <c r="I233" s="1" t="s">
        <v>220</v>
      </c>
      <c r="J233" s="7">
        <v>46160</v>
      </c>
      <c r="K233" s="7">
        <v>46163</v>
      </c>
      <c r="L233" s="11">
        <v>0.33333333333575865</v>
      </c>
      <c r="M233" s="11">
        <v>0.83333333333575865</v>
      </c>
      <c r="N233" s="1" t="s">
        <v>73</v>
      </c>
      <c r="O233" s="1" t="s">
        <v>142</v>
      </c>
      <c r="P233" s="1" t="s">
        <v>63</v>
      </c>
      <c r="Q233" s="1" t="s">
        <v>47</v>
      </c>
      <c r="R233" s="1" t="s">
        <v>230</v>
      </c>
      <c r="S233" s="1">
        <v>160000</v>
      </c>
      <c r="T233" s="1">
        <v>151984</v>
      </c>
      <c r="U233" s="1">
        <v>137487</v>
      </c>
      <c r="V233" s="1"/>
      <c r="W233" s="1" t="s">
        <v>1309</v>
      </c>
      <c r="X233" s="6" t="s">
        <v>1310</v>
      </c>
      <c r="Y233" s="1" t="s">
        <v>1311</v>
      </c>
      <c r="Z233" s="1" t="s">
        <v>361</v>
      </c>
      <c r="AA233" s="1" t="s">
        <v>1312</v>
      </c>
      <c r="AB233" s="10" t="s">
        <v>344</v>
      </c>
      <c r="AC233" s="10" t="s">
        <v>55</v>
      </c>
      <c r="AD233" s="10" t="str">
        <f>IFERROR(VLOOKUP(B233,'Regiões Administrativas'!$A$1:$B$646,2,0),"")</f>
        <v>RMSP</v>
      </c>
      <c r="AE233" s="10">
        <f>IFERROR(VLOOKUP(Form_Responses[[#This Row],[Município]],'Regiões Administrativas'!$A$1:$I$646,3,0),"")</f>
        <v>17200</v>
      </c>
      <c r="AF233" s="10">
        <f>IFERROR(VLOOKUP(Form_Responses[[#This Row],[Município]],'Regiões Administrativas'!$A$1:$I$646,4,0),"")</f>
        <v>355030801000001</v>
      </c>
      <c r="AG233" s="10">
        <f>IFERROR(VLOOKUP(Form_Responses[[#This Row],[Município]],'Regiões Administrativas'!$A$1:$I$646,4,0),"")</f>
        <v>355030801000001</v>
      </c>
      <c r="AH233" s="10">
        <f>IFERROR(VLOOKUP(B233,'Regiões Administrativas'!$A$1:$I$646,5,0),"")</f>
        <v>3550308</v>
      </c>
      <c r="AI233" s="10">
        <f>IFERROR(VLOOKUP(B233,'Regiões Administrativas'!$A$1:$I$646,6,0),"")</f>
        <v>-46.570383200000002</v>
      </c>
      <c r="AJ233" s="10">
        <f>IFERROR(VLOOKUP(B233,'Regiões Administrativas'!$A$1:$I$646,8,0),"")</f>
        <v>783.61512700000003</v>
      </c>
      <c r="AK233" s="10" t="str">
        <f>IFERROR(VLOOKUP(Form_Responses[[#This Row],[Município]],'Regiões Administrativas'!$A$1:$I$646,9,0),"")</f>
        <v>1J6to@yg_@Q&gt;</v>
      </c>
    </row>
    <row r="234" spans="1:37" ht="22.5" customHeight="1">
      <c r="A234" s="5">
        <v>46029.604562511573</v>
      </c>
      <c r="B234" s="1" t="s">
        <v>1273</v>
      </c>
      <c r="C234" s="1" t="s">
        <v>1274</v>
      </c>
      <c r="D234" s="1" t="s">
        <v>90</v>
      </c>
      <c r="E234" s="1" t="s">
        <v>1313</v>
      </c>
      <c r="F234" s="1"/>
      <c r="G234" s="1" t="s">
        <v>1314</v>
      </c>
      <c r="H234" s="1"/>
      <c r="I234" s="1" t="s">
        <v>89</v>
      </c>
      <c r="J234" s="7">
        <v>46066</v>
      </c>
      <c r="K234" s="7">
        <v>46070</v>
      </c>
      <c r="L234" s="1"/>
      <c r="M234" s="1"/>
      <c r="N234" s="1" t="s">
        <v>44</v>
      </c>
      <c r="O234" s="1" t="s">
        <v>45</v>
      </c>
      <c r="P234" s="1" t="s">
        <v>90</v>
      </c>
      <c r="Q234" s="1" t="s">
        <v>47</v>
      </c>
      <c r="R234" s="1" t="s">
        <v>74</v>
      </c>
      <c r="S234" s="1">
        <v>10000</v>
      </c>
      <c r="T234" s="1"/>
      <c r="U234" s="1"/>
      <c r="V234" s="1"/>
      <c r="W234" s="1" t="s">
        <v>1315</v>
      </c>
      <c r="X234" s="1"/>
      <c r="Y234" s="1" t="s">
        <v>1279</v>
      </c>
      <c r="Z234" s="1" t="s">
        <v>76</v>
      </c>
      <c r="AA234" s="1" t="s">
        <v>225</v>
      </c>
      <c r="AB234" s="10" t="s">
        <v>66</v>
      </c>
      <c r="AC234" s="10" t="s">
        <v>733</v>
      </c>
      <c r="AD234" s="10" t="str">
        <f>IFERROR(VLOOKUP(B234,'Regiões Administrativas'!$A$1:$B$646,2,0),"")</f>
        <v>Sorocaba</v>
      </c>
      <c r="AE234" s="10">
        <f>IFERROR(VLOOKUP(Form_Responses[[#This Row],[Município]],'Regiões Administrativas'!$A$1:$I$646,3,0),"")</f>
        <v>16783</v>
      </c>
      <c r="AF234" s="10">
        <f>IFERROR(VLOOKUP(Form_Responses[[#This Row],[Município]],'Regiões Administrativas'!$A$1:$I$646,4,0),"")</f>
        <v>353780005000001</v>
      </c>
      <c r="AG234" s="10">
        <f>IFERROR(VLOOKUP(Form_Responses[[#This Row],[Município]],'Regiões Administrativas'!$A$1:$I$646,4,0),"")</f>
        <v>353780005000001</v>
      </c>
      <c r="AH234" s="10">
        <f>IFERROR(VLOOKUP(B234,'Regiões Administrativas'!$A$1:$I$646,5,0),"")</f>
        <v>3537800</v>
      </c>
      <c r="AI234" s="10">
        <f>IFERROR(VLOOKUP(B234,'Regiões Administrativas'!$A$1:$I$646,6,0),"")</f>
        <v>-47.418015199999999</v>
      </c>
      <c r="AJ234" s="10">
        <f>IFERROR(VLOOKUP(B234,'Regiões Administrativas'!$A$1:$I$646,8,0),"")</f>
        <v>805.44356400000004</v>
      </c>
      <c r="AK234" s="10" t="str">
        <f>IFERROR(VLOOKUP(Form_Responses[[#This Row],[Município]],'Regiões Administrativas'!$A$1:$I$646,9,0),"")</f>
        <v>1J6tM^v4t3;p</v>
      </c>
    </row>
    <row r="235" spans="1:37" ht="22.5" customHeight="1">
      <c r="A235" s="5">
        <v>46029.650374594908</v>
      </c>
      <c r="B235" s="1" t="s">
        <v>1316</v>
      </c>
      <c r="C235" s="1" t="s">
        <v>417</v>
      </c>
      <c r="D235" s="1" t="s">
        <v>1317</v>
      </c>
      <c r="E235" s="1" t="s">
        <v>1318</v>
      </c>
      <c r="F235" s="1" t="s">
        <v>169</v>
      </c>
      <c r="G235" s="1" t="s">
        <v>1319</v>
      </c>
      <c r="H235" s="6" t="s">
        <v>1320</v>
      </c>
      <c r="I235" s="1" t="s">
        <v>267</v>
      </c>
      <c r="J235" s="7">
        <v>46038</v>
      </c>
      <c r="K235" s="7">
        <v>46070</v>
      </c>
      <c r="L235" s="1"/>
      <c r="M235" s="1"/>
      <c r="N235" s="1" t="s">
        <v>73</v>
      </c>
      <c r="O235" s="1" t="s">
        <v>45</v>
      </c>
      <c r="P235" s="1" t="s">
        <v>90</v>
      </c>
      <c r="Q235" s="1" t="s">
        <v>47</v>
      </c>
      <c r="R235" s="1" t="s">
        <v>48</v>
      </c>
      <c r="S235" s="1">
        <v>25000</v>
      </c>
      <c r="T235" s="1">
        <v>25000</v>
      </c>
      <c r="U235" s="1">
        <v>20000</v>
      </c>
      <c r="V235" s="1">
        <v>20000</v>
      </c>
      <c r="W235" s="1" t="s">
        <v>1321</v>
      </c>
      <c r="X235" s="1"/>
      <c r="Y235" s="1" t="s">
        <v>1322</v>
      </c>
      <c r="Z235" s="1" t="s">
        <v>76</v>
      </c>
      <c r="AA235" s="1" t="s">
        <v>93</v>
      </c>
      <c r="AB235" s="10" t="s">
        <v>66</v>
      </c>
      <c r="AC235" s="10" t="s">
        <v>68</v>
      </c>
      <c r="AD235" s="10" t="str">
        <f>IFERROR(VLOOKUP(B235,'Regiões Administrativas'!$A$1:$B$646,2,0),"")</f>
        <v>São José dos Campos</v>
      </c>
      <c r="AE235" s="10">
        <f>IFERROR(VLOOKUP(Form_Responses[[#This Row],[Município]],'Regiões Administrativas'!$A$1:$I$646,3,0),"")</f>
        <v>15968</v>
      </c>
      <c r="AF235" s="10">
        <f>IFERROR(VLOOKUP(Form_Responses[[#This Row],[Município]],'Regiões Administrativas'!$A$1:$I$646,4,0),"")</f>
        <v>351840405000001</v>
      </c>
      <c r="AG235" s="10">
        <f>IFERROR(VLOOKUP(Form_Responses[[#This Row],[Município]],'Regiões Administrativas'!$A$1:$I$646,4,0),"")</f>
        <v>351840405000001</v>
      </c>
      <c r="AH235" s="10">
        <f>IFERROR(VLOOKUP(B235,'Regiões Administrativas'!$A$1:$I$646,5,0),"")</f>
        <v>3518404</v>
      </c>
      <c r="AI235" s="10">
        <f>IFERROR(VLOOKUP(B235,'Regiões Administrativas'!$A$1:$I$646,6,0),"")</f>
        <v>-45.191600100000002</v>
      </c>
      <c r="AJ235" s="10">
        <f>IFERROR(VLOOKUP(B235,'Regiões Administrativas'!$A$1:$I$646,8,0),"")</f>
        <v>544.17856900000004</v>
      </c>
      <c r="AK235" s="10" t="str">
        <f>IFERROR(VLOOKUP(Form_Responses[[#This Row],[Município]],'Regiões Administrativas'!$A$1:$I$646,9,0),"")</f>
        <v>1J6trZLu]3bp</v>
      </c>
    </row>
    <row r="236" spans="1:37" ht="22.5" customHeight="1">
      <c r="A236" s="5">
        <v>46029.668605567131</v>
      </c>
      <c r="B236" s="1" t="s">
        <v>1323</v>
      </c>
      <c r="C236" s="1" t="s">
        <v>1324</v>
      </c>
      <c r="D236" s="1" t="s">
        <v>1325</v>
      </c>
      <c r="E236" s="1" t="s">
        <v>1326</v>
      </c>
      <c r="F236" s="1"/>
      <c r="G236" s="1" t="s">
        <v>1327</v>
      </c>
      <c r="H236" s="6" t="s">
        <v>1328</v>
      </c>
      <c r="I236" s="1" t="s">
        <v>128</v>
      </c>
      <c r="J236" s="7">
        <v>46122</v>
      </c>
      <c r="K236" s="7">
        <v>46124</v>
      </c>
      <c r="L236" s="11">
        <v>0.5</v>
      </c>
      <c r="M236" s="11">
        <v>0.91666666666424135</v>
      </c>
      <c r="N236" s="1" t="s">
        <v>268</v>
      </c>
      <c r="O236" s="1" t="s">
        <v>190</v>
      </c>
      <c r="P236" s="1" t="s">
        <v>99</v>
      </c>
      <c r="Q236" s="1" t="s">
        <v>47</v>
      </c>
      <c r="R236" s="1" t="s">
        <v>74</v>
      </c>
      <c r="S236" s="8">
        <v>100000</v>
      </c>
      <c r="T236" s="8">
        <v>100000</v>
      </c>
      <c r="U236" s="8">
        <v>70000</v>
      </c>
      <c r="V236" s="8">
        <v>60000</v>
      </c>
      <c r="W236" s="1" t="s">
        <v>1329</v>
      </c>
      <c r="X236" s="1"/>
      <c r="Y236" s="1" t="s">
        <v>1330</v>
      </c>
      <c r="Z236" s="1" t="s">
        <v>76</v>
      </c>
      <c r="AA236" s="1" t="s">
        <v>113</v>
      </c>
      <c r="AB236" s="10" t="s">
        <v>54</v>
      </c>
      <c r="AC236" s="10" t="s">
        <v>68</v>
      </c>
      <c r="AD236" s="10" t="str">
        <f>IFERROR(VLOOKUP(B236,'Regiões Administrativas'!$A$1:$B$646,2,0),"")</f>
        <v>RMSP</v>
      </c>
      <c r="AE236" s="10">
        <f>IFERROR(VLOOKUP(Form_Responses[[#This Row],[Município]],'Regiões Administrativas'!$A$1:$I$646,3,0),"")</f>
        <v>17109</v>
      </c>
      <c r="AF236" s="10">
        <f>IFERROR(VLOOKUP(Form_Responses[[#This Row],[Município]],'Regiões Administrativas'!$A$1:$I$646,4,0),"")</f>
        <v>354780905000001</v>
      </c>
      <c r="AG236" s="10">
        <f>IFERROR(VLOOKUP(Form_Responses[[#This Row],[Município]],'Regiões Administrativas'!$A$1:$I$646,4,0),"")</f>
        <v>354780905000001</v>
      </c>
      <c r="AH236" s="10">
        <f>IFERROR(VLOOKUP(B236,'Regiões Administrativas'!$A$1:$I$646,5,0),"")</f>
        <v>3547809</v>
      </c>
      <c r="AI236" s="10">
        <f>IFERROR(VLOOKUP(B236,'Regiões Administrativas'!$A$1:$I$646,6,0),"")</f>
        <v>-46.530874300000001</v>
      </c>
      <c r="AJ236" s="10">
        <f>IFERROR(VLOOKUP(B236,'Regiões Administrativas'!$A$1:$I$646,8,0),"")</f>
        <v>764.09666800000002</v>
      </c>
      <c r="AK236" s="10" t="str">
        <f>IFERROR(VLOOKUP(Form_Responses[[#This Row],[Município]],'Regiões Administrativas'!$A$1:$I$646,9,0),"")</f>
        <v>1J6tob;.8U1-</v>
      </c>
    </row>
    <row r="237" spans="1:37" ht="22.5" customHeight="1">
      <c r="A237" s="5">
        <v>46029.677381296293</v>
      </c>
      <c r="B237" s="1" t="s">
        <v>1323</v>
      </c>
      <c r="C237" s="1" t="s">
        <v>1324</v>
      </c>
      <c r="D237" s="1" t="s">
        <v>1331</v>
      </c>
      <c r="E237" s="1" t="s">
        <v>1332</v>
      </c>
      <c r="F237" s="1"/>
      <c r="G237" s="1" t="s">
        <v>1333</v>
      </c>
      <c r="H237" s="6" t="s">
        <v>1334</v>
      </c>
      <c r="I237" s="1" t="s">
        <v>220</v>
      </c>
      <c r="J237" s="7">
        <v>46153</v>
      </c>
      <c r="K237" s="7">
        <v>46184</v>
      </c>
      <c r="L237" s="1"/>
      <c r="M237" s="1"/>
      <c r="N237" s="1" t="s">
        <v>73</v>
      </c>
      <c r="O237" s="1" t="s">
        <v>190</v>
      </c>
      <c r="P237" s="1" t="s">
        <v>63</v>
      </c>
      <c r="Q237" s="1" t="s">
        <v>47</v>
      </c>
      <c r="R237" s="1" t="s">
        <v>74</v>
      </c>
      <c r="S237" s="8">
        <v>60000</v>
      </c>
      <c r="T237" s="8">
        <v>50000</v>
      </c>
      <c r="U237" s="8">
        <v>25000</v>
      </c>
      <c r="V237" s="8">
        <v>0</v>
      </c>
      <c r="W237" s="1" t="s">
        <v>1335</v>
      </c>
      <c r="X237" s="1"/>
      <c r="Y237" s="1" t="s">
        <v>1330</v>
      </c>
      <c r="Z237" s="1" t="s">
        <v>66</v>
      </c>
      <c r="AA237" s="1" t="s">
        <v>334</v>
      </c>
      <c r="AB237" s="10" t="s">
        <v>66</v>
      </c>
      <c r="AC237" s="10" t="s">
        <v>68</v>
      </c>
      <c r="AD237" s="10" t="str">
        <f>IFERROR(VLOOKUP(B237,'Regiões Administrativas'!$A$1:$B$646,2,0),"")</f>
        <v>RMSP</v>
      </c>
      <c r="AE237" s="10">
        <f>IFERROR(VLOOKUP(Form_Responses[[#This Row],[Município]],'Regiões Administrativas'!$A$1:$I$646,3,0),"")</f>
        <v>17109</v>
      </c>
      <c r="AF237" s="10">
        <f>IFERROR(VLOOKUP(Form_Responses[[#This Row],[Município]],'Regiões Administrativas'!$A$1:$I$646,4,0),"")</f>
        <v>354780905000001</v>
      </c>
      <c r="AG237" s="10">
        <f>IFERROR(VLOOKUP(Form_Responses[[#This Row],[Município]],'Regiões Administrativas'!$A$1:$I$646,4,0),"")</f>
        <v>354780905000001</v>
      </c>
      <c r="AH237" s="10">
        <f>IFERROR(VLOOKUP(B237,'Regiões Administrativas'!$A$1:$I$646,5,0),"")</f>
        <v>3547809</v>
      </c>
      <c r="AI237" s="10">
        <f>IFERROR(VLOOKUP(B237,'Regiões Administrativas'!$A$1:$I$646,6,0),"")</f>
        <v>-46.530874300000001</v>
      </c>
      <c r="AJ237" s="10">
        <f>IFERROR(VLOOKUP(B237,'Regiões Administrativas'!$A$1:$I$646,8,0),"")</f>
        <v>764.09666800000002</v>
      </c>
      <c r="AK237" s="10" t="str">
        <f>IFERROR(VLOOKUP(Form_Responses[[#This Row],[Município]],'Regiões Administrativas'!$A$1:$I$646,9,0),"")</f>
        <v>1J6tob;.8U1-</v>
      </c>
    </row>
    <row r="238" spans="1:37" ht="22.5" customHeight="1">
      <c r="A238" s="13">
        <v>46029.685294803239</v>
      </c>
      <c r="B238" s="1" t="s">
        <v>1323</v>
      </c>
      <c r="C238" s="1" t="s">
        <v>1324</v>
      </c>
      <c r="D238" s="1" t="s">
        <v>1336</v>
      </c>
      <c r="E238" s="1" t="s">
        <v>1337</v>
      </c>
      <c r="F238" s="1"/>
      <c r="G238" s="1" t="s">
        <v>1338</v>
      </c>
      <c r="H238" s="6" t="s">
        <v>1339</v>
      </c>
      <c r="I238" s="1" t="s">
        <v>60</v>
      </c>
      <c r="J238" s="7">
        <v>46185</v>
      </c>
      <c r="K238" s="7">
        <v>46187</v>
      </c>
      <c r="L238" s="11">
        <v>0.5</v>
      </c>
      <c r="M238" s="11">
        <v>0.91666666666424135</v>
      </c>
      <c r="N238" s="1" t="s">
        <v>44</v>
      </c>
      <c r="O238" s="1" t="s">
        <v>45</v>
      </c>
      <c r="P238" s="1" t="s">
        <v>135</v>
      </c>
      <c r="Q238" s="1" t="s">
        <v>47</v>
      </c>
      <c r="R238" s="1" t="s">
        <v>74</v>
      </c>
      <c r="S238" s="8">
        <v>150000</v>
      </c>
      <c r="T238" s="8">
        <v>150000</v>
      </c>
      <c r="U238" s="8">
        <v>100000</v>
      </c>
      <c r="V238" s="8">
        <v>60000</v>
      </c>
      <c r="W238" s="1" t="s">
        <v>1340</v>
      </c>
      <c r="X238" s="1"/>
      <c r="Y238" s="1" t="s">
        <v>1341</v>
      </c>
      <c r="Z238" s="1" t="s">
        <v>76</v>
      </c>
      <c r="AA238" s="1" t="s">
        <v>113</v>
      </c>
      <c r="AB238" s="10" t="s">
        <v>54</v>
      </c>
      <c r="AC238" s="10" t="s">
        <v>68</v>
      </c>
      <c r="AD238" s="10" t="str">
        <f>IFERROR(VLOOKUP(B238,'Regiões Administrativas'!$A$1:$B$646,2,0),"")</f>
        <v>RMSP</v>
      </c>
      <c r="AE238" s="10">
        <f>IFERROR(VLOOKUP(Form_Responses[[#This Row],[Município]],'Regiões Administrativas'!$A$1:$I$646,3,0),"")</f>
        <v>17109</v>
      </c>
      <c r="AF238" s="10">
        <f>IFERROR(VLOOKUP(Form_Responses[[#This Row],[Município]],'Regiões Administrativas'!$A$1:$I$646,4,0),"")</f>
        <v>354780905000001</v>
      </c>
      <c r="AG238" s="10">
        <f>IFERROR(VLOOKUP(Form_Responses[[#This Row],[Município]],'Regiões Administrativas'!$A$1:$I$646,4,0),"")</f>
        <v>354780905000001</v>
      </c>
      <c r="AH238" s="10">
        <f>IFERROR(VLOOKUP(B238,'Regiões Administrativas'!$A$1:$I$646,5,0),"")</f>
        <v>3547809</v>
      </c>
      <c r="AI238" s="10">
        <f>IFERROR(VLOOKUP(B238,'Regiões Administrativas'!$A$1:$I$646,6,0),"")</f>
        <v>-46.530874300000001</v>
      </c>
      <c r="AJ238" s="10">
        <f>IFERROR(VLOOKUP(B238,'Regiões Administrativas'!$A$1:$I$646,8,0),"")</f>
        <v>764.09666800000002</v>
      </c>
      <c r="AK238" s="10" t="str">
        <f>IFERROR(VLOOKUP(Form_Responses[[#This Row],[Município]],'Regiões Administrativas'!$A$1:$I$646,9,0),"")</f>
        <v>1J6tob;.8U1-</v>
      </c>
    </row>
    <row r="239" spans="1:37" ht="22.5" customHeight="1">
      <c r="A239" s="5">
        <v>46029.688965300928</v>
      </c>
      <c r="B239" s="1" t="s">
        <v>1273</v>
      </c>
      <c r="C239" s="1" t="s">
        <v>1274</v>
      </c>
      <c r="D239" s="1" t="s">
        <v>1342</v>
      </c>
      <c r="E239" s="1" t="s">
        <v>1343</v>
      </c>
      <c r="F239" s="1"/>
      <c r="G239" s="1" t="s">
        <v>1344</v>
      </c>
      <c r="H239" s="1"/>
      <c r="I239" s="1" t="s">
        <v>109</v>
      </c>
      <c r="J239" s="7">
        <v>46095</v>
      </c>
      <c r="K239" s="7">
        <v>46117</v>
      </c>
      <c r="L239" s="11">
        <v>0.33333333333575865</v>
      </c>
      <c r="M239" s="11">
        <v>0.70833333333575865</v>
      </c>
      <c r="N239" s="1" t="s">
        <v>268</v>
      </c>
      <c r="O239" s="1" t="s">
        <v>234</v>
      </c>
      <c r="P239" s="1" t="s">
        <v>63</v>
      </c>
      <c r="Q239" s="1" t="s">
        <v>47</v>
      </c>
      <c r="R239" s="1" t="s">
        <v>74</v>
      </c>
      <c r="S239" s="8">
        <v>5000</v>
      </c>
      <c r="T239" s="8"/>
      <c r="U239" s="8"/>
      <c r="V239" s="8"/>
      <c r="W239" s="1" t="s">
        <v>1345</v>
      </c>
      <c r="X239" s="1"/>
      <c r="Y239" s="1" t="s">
        <v>1279</v>
      </c>
      <c r="Z239" s="1" t="s">
        <v>66</v>
      </c>
      <c r="AA239" s="1" t="s">
        <v>66</v>
      </c>
      <c r="AB239" s="10" t="s">
        <v>66</v>
      </c>
      <c r="AC239" s="10" t="s">
        <v>68</v>
      </c>
      <c r="AD239" s="10" t="str">
        <f>IFERROR(VLOOKUP(B239,'Regiões Administrativas'!$A$1:$B$646,2,0),"")</f>
        <v>Sorocaba</v>
      </c>
      <c r="AE239" s="10">
        <f>IFERROR(VLOOKUP(Form_Responses[[#This Row],[Município]],'Regiões Administrativas'!$A$1:$I$646,3,0),"")</f>
        <v>16783</v>
      </c>
      <c r="AF239" s="10">
        <f>IFERROR(VLOOKUP(Form_Responses[[#This Row],[Município]],'Regiões Administrativas'!$A$1:$I$646,4,0),"")</f>
        <v>353780005000001</v>
      </c>
      <c r="AG239" s="10">
        <f>IFERROR(VLOOKUP(Form_Responses[[#This Row],[Município]],'Regiões Administrativas'!$A$1:$I$646,4,0),"")</f>
        <v>353780005000001</v>
      </c>
      <c r="AH239" s="10">
        <f>IFERROR(VLOOKUP(B239,'Regiões Administrativas'!$A$1:$I$646,5,0),"")</f>
        <v>3537800</v>
      </c>
      <c r="AI239" s="10">
        <f>IFERROR(VLOOKUP(B239,'Regiões Administrativas'!$A$1:$I$646,6,0),"")</f>
        <v>-47.418015199999999</v>
      </c>
      <c r="AJ239" s="10">
        <f>IFERROR(VLOOKUP(B239,'Regiões Administrativas'!$A$1:$I$646,8,0),"")</f>
        <v>805.44356400000004</v>
      </c>
      <c r="AK239" s="10" t="str">
        <f>IFERROR(VLOOKUP(Form_Responses[[#This Row],[Município]],'Regiões Administrativas'!$A$1:$I$646,9,0),"")</f>
        <v>1J6tM^v4t3;p</v>
      </c>
    </row>
    <row r="240" spans="1:37" ht="22.5" customHeight="1">
      <c r="A240" s="13">
        <v>46029.693362523147</v>
      </c>
      <c r="B240" s="1" t="s">
        <v>1323</v>
      </c>
      <c r="C240" s="1" t="s">
        <v>1324</v>
      </c>
      <c r="D240" s="1" t="s">
        <v>1346</v>
      </c>
      <c r="E240" s="1" t="s">
        <v>1347</v>
      </c>
      <c r="F240" s="1"/>
      <c r="G240" s="1" t="s">
        <v>1348</v>
      </c>
      <c r="H240" s="6" t="s">
        <v>1349</v>
      </c>
      <c r="I240" s="1" t="s">
        <v>72</v>
      </c>
      <c r="J240" s="7">
        <v>46207</v>
      </c>
      <c r="K240" s="7">
        <v>46208</v>
      </c>
      <c r="L240" s="11">
        <v>0.45833333333575865</v>
      </c>
      <c r="M240" s="11">
        <v>0.875</v>
      </c>
      <c r="N240" s="1" t="s">
        <v>73</v>
      </c>
      <c r="O240" s="1" t="s">
        <v>45</v>
      </c>
      <c r="P240" s="1" t="s">
        <v>63</v>
      </c>
      <c r="Q240" s="1" t="s">
        <v>47</v>
      </c>
      <c r="R240" s="1" t="s">
        <v>74</v>
      </c>
      <c r="S240" s="8">
        <v>5000</v>
      </c>
      <c r="T240" s="8">
        <v>5000</v>
      </c>
      <c r="U240" s="8">
        <v>5000</v>
      </c>
      <c r="V240" s="8">
        <v>4000</v>
      </c>
      <c r="W240" s="1" t="s">
        <v>1350</v>
      </c>
      <c r="X240" s="1"/>
      <c r="Y240" s="1" t="s">
        <v>1351</v>
      </c>
      <c r="Z240" s="1" t="s">
        <v>76</v>
      </c>
      <c r="AA240" s="1" t="s">
        <v>66</v>
      </c>
      <c r="AB240" s="10" t="s">
        <v>66</v>
      </c>
      <c r="AC240" s="10" t="s">
        <v>68</v>
      </c>
      <c r="AD240" s="10" t="str">
        <f>IFERROR(VLOOKUP(B240,'Regiões Administrativas'!$A$1:$B$646,2,0),"")</f>
        <v>RMSP</v>
      </c>
      <c r="AE240" s="10">
        <f>IFERROR(VLOOKUP(Form_Responses[[#This Row],[Município]],'Regiões Administrativas'!$A$1:$I$646,3,0),"")</f>
        <v>17109</v>
      </c>
      <c r="AF240" s="10">
        <f>IFERROR(VLOOKUP(Form_Responses[[#This Row],[Município]],'Regiões Administrativas'!$A$1:$I$646,4,0),"")</f>
        <v>354780905000001</v>
      </c>
      <c r="AG240" s="10">
        <f>IFERROR(VLOOKUP(Form_Responses[[#This Row],[Município]],'Regiões Administrativas'!$A$1:$I$646,4,0),"")</f>
        <v>354780905000001</v>
      </c>
      <c r="AH240" s="10">
        <f>IFERROR(VLOOKUP(B240,'Regiões Administrativas'!$A$1:$I$646,5,0),"")</f>
        <v>3547809</v>
      </c>
      <c r="AI240" s="10">
        <f>IFERROR(VLOOKUP(B240,'Regiões Administrativas'!$A$1:$I$646,6,0),"")</f>
        <v>-46.530874300000001</v>
      </c>
      <c r="AJ240" s="10">
        <f>IFERROR(VLOOKUP(B240,'Regiões Administrativas'!$A$1:$I$646,8,0),"")</f>
        <v>764.09666800000002</v>
      </c>
      <c r="AK240" s="10" t="str">
        <f>IFERROR(VLOOKUP(Form_Responses[[#This Row],[Município]],'Regiões Administrativas'!$A$1:$I$646,9,0),"")</f>
        <v>1J6tob;.8U1-</v>
      </c>
    </row>
    <row r="241" spans="1:37" ht="22.5" customHeight="1">
      <c r="A241" s="5">
        <v>46030.374095983796</v>
      </c>
      <c r="B241" s="1" t="s">
        <v>1273</v>
      </c>
      <c r="C241" s="1" t="s">
        <v>1274</v>
      </c>
      <c r="D241" s="1" t="s">
        <v>1352</v>
      </c>
      <c r="E241" s="1" t="s">
        <v>1353</v>
      </c>
      <c r="F241" s="1"/>
      <c r="G241" s="1" t="s">
        <v>1354</v>
      </c>
      <c r="H241" s="1"/>
      <c r="I241" s="1" t="s">
        <v>128</v>
      </c>
      <c r="J241" s="7">
        <v>46130</v>
      </c>
      <c r="K241" s="1"/>
      <c r="L241" s="11">
        <v>0.83333333333575865</v>
      </c>
      <c r="M241" s="1"/>
      <c r="N241" s="1" t="s">
        <v>73</v>
      </c>
      <c r="O241" s="1" t="s">
        <v>45</v>
      </c>
      <c r="P241" s="1" t="s">
        <v>63</v>
      </c>
      <c r="Q241" s="1" t="s">
        <v>47</v>
      </c>
      <c r="R241" s="1" t="s">
        <v>74</v>
      </c>
      <c r="S241" s="8">
        <v>1500</v>
      </c>
      <c r="T241" s="8"/>
      <c r="U241" s="8"/>
      <c r="V241" s="8"/>
      <c r="W241" s="1" t="s">
        <v>1315</v>
      </c>
      <c r="X241" s="1"/>
      <c r="Y241" s="1" t="s">
        <v>1279</v>
      </c>
      <c r="Z241" s="1" t="s">
        <v>76</v>
      </c>
      <c r="AA241" s="1" t="s">
        <v>93</v>
      </c>
      <c r="AB241" s="10" t="s">
        <v>66</v>
      </c>
      <c r="AC241" s="10" t="s">
        <v>354</v>
      </c>
      <c r="AD241" s="10" t="str">
        <f>IFERROR(VLOOKUP(B241,'Regiões Administrativas'!$A$1:$B$646,2,0),"")</f>
        <v>Sorocaba</v>
      </c>
      <c r="AE241" s="10">
        <f>IFERROR(VLOOKUP(Form_Responses[[#This Row],[Município]],'Regiões Administrativas'!$A$1:$I$646,3,0),"")</f>
        <v>16783</v>
      </c>
      <c r="AF241" s="10">
        <f>IFERROR(VLOOKUP(Form_Responses[[#This Row],[Município]],'Regiões Administrativas'!$A$1:$I$646,4,0),"")</f>
        <v>353780005000001</v>
      </c>
      <c r="AG241" s="10">
        <f>IFERROR(VLOOKUP(Form_Responses[[#This Row],[Município]],'Regiões Administrativas'!$A$1:$I$646,4,0),"")</f>
        <v>353780005000001</v>
      </c>
      <c r="AH241" s="10">
        <f>IFERROR(VLOOKUP(B241,'Regiões Administrativas'!$A$1:$I$646,5,0),"")</f>
        <v>3537800</v>
      </c>
      <c r="AI241" s="10">
        <f>IFERROR(VLOOKUP(B241,'Regiões Administrativas'!$A$1:$I$646,6,0),"")</f>
        <v>-47.418015199999999</v>
      </c>
      <c r="AJ241" s="10">
        <f>IFERROR(VLOOKUP(B241,'Regiões Administrativas'!$A$1:$I$646,8,0),"")</f>
        <v>805.44356400000004</v>
      </c>
      <c r="AK241" s="10" t="str">
        <f>IFERROR(VLOOKUP(Form_Responses[[#This Row],[Município]],'Regiões Administrativas'!$A$1:$I$646,9,0),"")</f>
        <v>1J6tM^v4t3;p</v>
      </c>
    </row>
    <row r="242" spans="1:37" ht="22.5" customHeight="1">
      <c r="A242" s="13">
        <v>46030.384181770831</v>
      </c>
      <c r="B242" s="1" t="s">
        <v>1355</v>
      </c>
      <c r="C242" s="1" t="s">
        <v>1356</v>
      </c>
      <c r="D242" s="1" t="s">
        <v>1357</v>
      </c>
      <c r="E242" s="1" t="s">
        <v>1358</v>
      </c>
      <c r="F242" s="1" t="s">
        <v>1359</v>
      </c>
      <c r="G242" s="1" t="s">
        <v>1360</v>
      </c>
      <c r="H242" s="1"/>
      <c r="I242" s="1" t="s">
        <v>255</v>
      </c>
      <c r="J242" s="7">
        <v>46302</v>
      </c>
      <c r="K242" s="7">
        <v>46306</v>
      </c>
      <c r="L242" s="11">
        <v>0.79166666666424135</v>
      </c>
      <c r="M242" s="1"/>
      <c r="N242" s="1" t="s">
        <v>44</v>
      </c>
      <c r="O242" s="1" t="s">
        <v>45</v>
      </c>
      <c r="P242" s="1" t="s">
        <v>46</v>
      </c>
      <c r="Q242" s="1" t="s">
        <v>47</v>
      </c>
      <c r="R242" s="1" t="s">
        <v>48</v>
      </c>
      <c r="S242" s="8">
        <v>60000</v>
      </c>
      <c r="T242" s="8">
        <v>55000</v>
      </c>
      <c r="U242" s="8">
        <v>50000</v>
      </c>
      <c r="V242" s="8">
        <v>40000</v>
      </c>
      <c r="W242" s="1" t="s">
        <v>1361</v>
      </c>
      <c r="X242" s="1"/>
      <c r="Y242" s="1" t="s">
        <v>1362</v>
      </c>
      <c r="Z242" s="1" t="s">
        <v>76</v>
      </c>
      <c r="AA242" s="1" t="s">
        <v>244</v>
      </c>
      <c r="AB242" s="10" t="s">
        <v>66</v>
      </c>
      <c r="AC242" s="10" t="s">
        <v>68</v>
      </c>
      <c r="AD242" s="10" t="str">
        <f>IFERROR(VLOOKUP(B242,'Regiões Administrativas'!$A$1:$B$646,2,0),"")</f>
        <v>São José do Rio Preto</v>
      </c>
      <c r="AE242" s="10">
        <f>IFERROR(VLOOKUP(Form_Responses[[#This Row],[Município]],'Regiões Administrativas'!$A$1:$I$646,3,0),"")</f>
        <v>16654</v>
      </c>
      <c r="AF242" s="10">
        <f>IFERROR(VLOOKUP(Form_Responses[[#This Row],[Município]],'Regiões Administrativas'!$A$1:$I$646,4,0),"")</f>
        <v>353350205000001</v>
      </c>
      <c r="AG242" s="10">
        <f>IFERROR(VLOOKUP(Form_Responses[[#This Row],[Município]],'Regiões Administrativas'!$A$1:$I$646,4,0),"")</f>
        <v>353350205000001</v>
      </c>
      <c r="AH242" s="10">
        <f>IFERROR(VLOOKUP(B242,'Regiões Administrativas'!$A$1:$I$646,5,0),"")</f>
        <v>3533502</v>
      </c>
      <c r="AI242" s="10">
        <f>IFERROR(VLOOKUP(B242,'Regiões Administrativas'!$A$1:$I$646,6,0),"")</f>
        <v>-49.221749500000001</v>
      </c>
      <c r="AJ242" s="10">
        <f>IFERROR(VLOOKUP(B242,'Regiões Administrativas'!$A$1:$I$646,8,0),"")</f>
        <v>457.48877499999998</v>
      </c>
      <c r="AK242" s="10" t="str">
        <f>IFERROR(VLOOKUP(Form_Responses[[#This Row],[Município]],'Regiões Administrativas'!$A$1:$I$646,9,0),"")</f>
        <v>1J6ReHvwS&lt;H-</v>
      </c>
    </row>
    <row r="243" spans="1:37" ht="22.5" customHeight="1">
      <c r="A243" s="13">
        <v>46030.387034803236</v>
      </c>
      <c r="B243" s="1" t="s">
        <v>1355</v>
      </c>
      <c r="C243" s="1" t="s">
        <v>1356</v>
      </c>
      <c r="D243" s="1" t="s">
        <v>1363</v>
      </c>
      <c r="E243" s="1" t="s">
        <v>1364</v>
      </c>
      <c r="F243" s="1"/>
      <c r="G243" s="1" t="s">
        <v>1365</v>
      </c>
      <c r="H243" s="1"/>
      <c r="I243" s="1" t="s">
        <v>197</v>
      </c>
      <c r="J243" s="7">
        <v>46340</v>
      </c>
      <c r="K243" s="7">
        <v>46397</v>
      </c>
      <c r="L243" s="11">
        <v>0.79166666666424135</v>
      </c>
      <c r="M243" s="11">
        <v>0.95833333333575865</v>
      </c>
      <c r="N243" s="1" t="s">
        <v>44</v>
      </c>
      <c r="O243" s="1" t="s">
        <v>45</v>
      </c>
      <c r="P243" s="1" t="s">
        <v>251</v>
      </c>
      <c r="Q243" s="1" t="s">
        <v>47</v>
      </c>
      <c r="R243" s="1" t="s">
        <v>74</v>
      </c>
      <c r="S243" s="8">
        <v>12000</v>
      </c>
      <c r="T243" s="8">
        <v>10000</v>
      </c>
      <c r="U243" s="8">
        <v>10000</v>
      </c>
      <c r="V243" s="8">
        <v>6000</v>
      </c>
      <c r="W243" s="1" t="s">
        <v>1361</v>
      </c>
      <c r="X243" s="1"/>
      <c r="Y243" s="1" t="s">
        <v>1362</v>
      </c>
      <c r="Z243" s="1" t="s">
        <v>632</v>
      </c>
      <c r="AA243" s="1" t="s">
        <v>1366</v>
      </c>
      <c r="AB243" s="10" t="s">
        <v>54</v>
      </c>
      <c r="AC243" s="10" t="s">
        <v>68</v>
      </c>
      <c r="AD243" s="10" t="str">
        <f>IFERROR(VLOOKUP(B243,'Regiões Administrativas'!$A$1:$B$646,2,0),"")</f>
        <v>São José do Rio Preto</v>
      </c>
      <c r="AE243" s="10">
        <f>IFERROR(VLOOKUP(Form_Responses[[#This Row],[Município]],'Regiões Administrativas'!$A$1:$I$646,3,0),"")</f>
        <v>16654</v>
      </c>
      <c r="AF243" s="10">
        <f>IFERROR(VLOOKUP(Form_Responses[[#This Row],[Município]],'Regiões Administrativas'!$A$1:$I$646,4,0),"")</f>
        <v>353350205000001</v>
      </c>
      <c r="AG243" s="10">
        <f>IFERROR(VLOOKUP(Form_Responses[[#This Row],[Município]],'Regiões Administrativas'!$A$1:$I$646,4,0),"")</f>
        <v>353350205000001</v>
      </c>
      <c r="AH243" s="10">
        <f>IFERROR(VLOOKUP(B243,'Regiões Administrativas'!$A$1:$I$646,5,0),"")</f>
        <v>3533502</v>
      </c>
      <c r="AI243" s="10">
        <f>IFERROR(VLOOKUP(B243,'Regiões Administrativas'!$A$1:$I$646,6,0),"")</f>
        <v>-49.221749500000001</v>
      </c>
      <c r="AJ243" s="10">
        <f>IFERROR(VLOOKUP(B243,'Regiões Administrativas'!$A$1:$I$646,8,0),"")</f>
        <v>457.48877499999998</v>
      </c>
      <c r="AK243" s="10" t="str">
        <f>IFERROR(VLOOKUP(Form_Responses[[#This Row],[Município]],'Regiões Administrativas'!$A$1:$I$646,9,0),"")</f>
        <v>1J6ReHvwS&lt;H-</v>
      </c>
    </row>
    <row r="244" spans="1:37" ht="22.5" customHeight="1">
      <c r="A244" s="13">
        <v>46030.390428831015</v>
      </c>
      <c r="B244" s="1" t="s">
        <v>1355</v>
      </c>
      <c r="C244" s="1" t="s">
        <v>1356</v>
      </c>
      <c r="D244" s="1" t="s">
        <v>1367</v>
      </c>
      <c r="E244" s="1" t="s">
        <v>1368</v>
      </c>
      <c r="F244" s="1"/>
      <c r="G244" s="1" t="s">
        <v>1369</v>
      </c>
      <c r="H244" s="1"/>
      <c r="I244" s="1" t="s">
        <v>162</v>
      </c>
      <c r="J244" s="7">
        <v>46387</v>
      </c>
      <c r="K244" s="7">
        <v>46388</v>
      </c>
      <c r="L244" s="11">
        <v>0.85416666666424135</v>
      </c>
      <c r="M244" s="11">
        <v>0.16666666666424135</v>
      </c>
      <c r="N244" s="1" t="s">
        <v>44</v>
      </c>
      <c r="O244" s="1" t="s">
        <v>45</v>
      </c>
      <c r="P244" s="1" t="s">
        <v>180</v>
      </c>
      <c r="Q244" s="1" t="s">
        <v>47</v>
      </c>
      <c r="R244" s="1" t="s">
        <v>74</v>
      </c>
      <c r="S244" s="8">
        <v>10000</v>
      </c>
      <c r="T244" s="8">
        <v>8000</v>
      </c>
      <c r="U244" s="8">
        <v>5000</v>
      </c>
      <c r="V244" s="8">
        <v>5000</v>
      </c>
      <c r="W244" s="1" t="s">
        <v>1370</v>
      </c>
      <c r="X244" s="1"/>
      <c r="Y244" s="1" t="s">
        <v>1362</v>
      </c>
      <c r="Z244" s="1" t="s">
        <v>66</v>
      </c>
      <c r="AA244" s="1" t="s">
        <v>66</v>
      </c>
      <c r="AB244" s="10" t="s">
        <v>66</v>
      </c>
      <c r="AC244" s="10" t="s">
        <v>68</v>
      </c>
      <c r="AD244" s="10" t="str">
        <f>IFERROR(VLOOKUP(B244,'Regiões Administrativas'!$A$1:$B$646,2,0),"")</f>
        <v>São José do Rio Preto</v>
      </c>
      <c r="AE244" s="10">
        <f>IFERROR(VLOOKUP(Form_Responses[[#This Row],[Município]],'Regiões Administrativas'!$A$1:$I$646,3,0),"")</f>
        <v>16654</v>
      </c>
      <c r="AF244" s="10">
        <f>IFERROR(VLOOKUP(Form_Responses[[#This Row],[Município]],'Regiões Administrativas'!$A$1:$I$646,4,0),"")</f>
        <v>353350205000001</v>
      </c>
      <c r="AG244" s="10">
        <f>IFERROR(VLOOKUP(Form_Responses[[#This Row],[Município]],'Regiões Administrativas'!$A$1:$I$646,4,0),"")</f>
        <v>353350205000001</v>
      </c>
      <c r="AH244" s="10">
        <f>IFERROR(VLOOKUP(B244,'Regiões Administrativas'!$A$1:$I$646,5,0),"")</f>
        <v>3533502</v>
      </c>
      <c r="AI244" s="10">
        <f>IFERROR(VLOOKUP(B244,'Regiões Administrativas'!$A$1:$I$646,6,0),"")</f>
        <v>-49.221749500000001</v>
      </c>
      <c r="AJ244" s="10">
        <f>IFERROR(VLOOKUP(B244,'Regiões Administrativas'!$A$1:$I$646,8,0),"")</f>
        <v>457.48877499999998</v>
      </c>
      <c r="AK244" s="10" t="str">
        <f>IFERROR(VLOOKUP(Form_Responses[[#This Row],[Município]],'Regiões Administrativas'!$A$1:$I$646,9,0),"")</f>
        <v>1J6ReHvwS&lt;H-</v>
      </c>
    </row>
    <row r="245" spans="1:37" ht="22.5" customHeight="1">
      <c r="A245" s="13">
        <v>46030.396870717595</v>
      </c>
      <c r="B245" s="1" t="s">
        <v>1355</v>
      </c>
      <c r="C245" s="1" t="s">
        <v>1356</v>
      </c>
      <c r="D245" s="1" t="s">
        <v>1371</v>
      </c>
      <c r="E245" s="1" t="s">
        <v>1372</v>
      </c>
      <c r="F245" s="1"/>
      <c r="G245" s="1" t="s">
        <v>1373</v>
      </c>
      <c r="H245" s="1"/>
      <c r="I245" s="1" t="s">
        <v>60</v>
      </c>
      <c r="J245" s="7">
        <v>46178</v>
      </c>
      <c r="K245" s="7">
        <v>46199</v>
      </c>
      <c r="L245" s="11">
        <v>0.79166666666424135</v>
      </c>
      <c r="M245" s="11">
        <v>0.95833333333575865</v>
      </c>
      <c r="N245" s="1" t="s">
        <v>44</v>
      </c>
      <c r="O245" s="1" t="s">
        <v>45</v>
      </c>
      <c r="P245" s="1" t="s">
        <v>135</v>
      </c>
      <c r="Q245" s="1" t="s">
        <v>47</v>
      </c>
      <c r="R245" s="1" t="s">
        <v>74</v>
      </c>
      <c r="S245" s="8">
        <v>20000</v>
      </c>
      <c r="T245" s="8">
        <v>16000</v>
      </c>
      <c r="U245" s="8">
        <v>0</v>
      </c>
      <c r="V245" s="8">
        <v>0</v>
      </c>
      <c r="W245" s="1" t="s">
        <v>1370</v>
      </c>
      <c r="X245" s="1"/>
      <c r="Y245" s="1" t="s">
        <v>1362</v>
      </c>
      <c r="Z245" s="1" t="s">
        <v>76</v>
      </c>
      <c r="AA245" s="1" t="s">
        <v>463</v>
      </c>
      <c r="AB245" s="10" t="s">
        <v>66</v>
      </c>
      <c r="AC245" s="10" t="s">
        <v>68</v>
      </c>
      <c r="AD245" s="10" t="str">
        <f>IFERROR(VLOOKUP(B245,'Regiões Administrativas'!$A$1:$B$646,2,0),"")</f>
        <v>São José do Rio Preto</v>
      </c>
      <c r="AE245" s="10">
        <f>IFERROR(VLOOKUP(Form_Responses[[#This Row],[Município]],'Regiões Administrativas'!$A$1:$I$646,3,0),"")</f>
        <v>16654</v>
      </c>
      <c r="AF245" s="10">
        <f>IFERROR(VLOOKUP(Form_Responses[[#This Row],[Município]],'Regiões Administrativas'!$A$1:$I$646,4,0),"")</f>
        <v>353350205000001</v>
      </c>
      <c r="AG245" s="10">
        <f>IFERROR(VLOOKUP(Form_Responses[[#This Row],[Município]],'Regiões Administrativas'!$A$1:$I$646,4,0),"")</f>
        <v>353350205000001</v>
      </c>
      <c r="AH245" s="10">
        <f>IFERROR(VLOOKUP(B245,'Regiões Administrativas'!$A$1:$I$646,5,0),"")</f>
        <v>3533502</v>
      </c>
      <c r="AI245" s="10">
        <f>IFERROR(VLOOKUP(B245,'Regiões Administrativas'!$A$1:$I$646,6,0),"")</f>
        <v>-49.221749500000001</v>
      </c>
      <c r="AJ245" s="10">
        <f>IFERROR(VLOOKUP(B245,'Regiões Administrativas'!$A$1:$I$646,8,0),"")</f>
        <v>457.48877499999998</v>
      </c>
      <c r="AK245" s="10" t="str">
        <f>IFERROR(VLOOKUP(Form_Responses[[#This Row],[Município]],'Regiões Administrativas'!$A$1:$I$646,9,0),"")</f>
        <v>1J6ReHvwS&lt;H-</v>
      </c>
    </row>
    <row r="246" spans="1:37" ht="22.5" customHeight="1">
      <c r="A246" s="5">
        <v>46030.408349004632</v>
      </c>
      <c r="B246" s="1" t="s">
        <v>1355</v>
      </c>
      <c r="C246" s="1" t="s">
        <v>1356</v>
      </c>
      <c r="D246" s="1" t="s">
        <v>1374</v>
      </c>
      <c r="E246" s="1" t="s">
        <v>1375</v>
      </c>
      <c r="F246" s="1"/>
      <c r="G246" s="1" t="s">
        <v>1373</v>
      </c>
      <c r="H246" s="1"/>
      <c r="I246" s="1" t="s">
        <v>89</v>
      </c>
      <c r="J246" s="7">
        <v>46066</v>
      </c>
      <c r="K246" s="7">
        <v>46069</v>
      </c>
      <c r="L246" s="11">
        <v>0.75</v>
      </c>
      <c r="M246" s="11">
        <v>0</v>
      </c>
      <c r="N246" s="1" t="s">
        <v>44</v>
      </c>
      <c r="O246" s="1" t="s">
        <v>45</v>
      </c>
      <c r="P246" s="1" t="s">
        <v>90</v>
      </c>
      <c r="Q246" s="1" t="s">
        <v>47</v>
      </c>
      <c r="R246" s="1" t="s">
        <v>74</v>
      </c>
      <c r="S246" s="8">
        <v>15000</v>
      </c>
      <c r="T246" s="8">
        <v>10000</v>
      </c>
      <c r="U246" s="8">
        <v>12000</v>
      </c>
      <c r="V246" s="8">
        <v>12000</v>
      </c>
      <c r="W246" s="1" t="s">
        <v>1370</v>
      </c>
      <c r="X246" s="1"/>
      <c r="Y246" s="1" t="s">
        <v>1376</v>
      </c>
      <c r="Z246" s="1" t="s">
        <v>66</v>
      </c>
      <c r="AA246" s="1" t="s">
        <v>66</v>
      </c>
      <c r="AB246" s="10" t="s">
        <v>66</v>
      </c>
      <c r="AC246" s="10" t="s">
        <v>68</v>
      </c>
      <c r="AD246" s="10" t="str">
        <f>IFERROR(VLOOKUP(B246,'Regiões Administrativas'!$A$1:$B$646,2,0),"")</f>
        <v>São José do Rio Preto</v>
      </c>
      <c r="AE246" s="10">
        <f>IFERROR(VLOOKUP(Form_Responses[[#This Row],[Município]],'Regiões Administrativas'!$A$1:$I$646,3,0),"")</f>
        <v>16654</v>
      </c>
      <c r="AF246" s="10">
        <f>IFERROR(VLOOKUP(Form_Responses[[#This Row],[Município]],'Regiões Administrativas'!$A$1:$I$646,4,0),"")</f>
        <v>353350205000001</v>
      </c>
      <c r="AG246" s="10">
        <f>IFERROR(VLOOKUP(Form_Responses[[#This Row],[Município]],'Regiões Administrativas'!$A$1:$I$646,4,0),"")</f>
        <v>353350205000001</v>
      </c>
      <c r="AH246" s="10">
        <f>IFERROR(VLOOKUP(B246,'Regiões Administrativas'!$A$1:$I$646,5,0),"")</f>
        <v>3533502</v>
      </c>
      <c r="AI246" s="10">
        <f>IFERROR(VLOOKUP(B246,'Regiões Administrativas'!$A$1:$I$646,6,0),"")</f>
        <v>-49.221749500000001</v>
      </c>
      <c r="AJ246" s="10">
        <f>IFERROR(VLOOKUP(B246,'Regiões Administrativas'!$A$1:$I$646,8,0),"")</f>
        <v>457.48877499999998</v>
      </c>
      <c r="AK246" s="10" t="str">
        <f>IFERROR(VLOOKUP(Form_Responses[[#This Row],[Município]],'Regiões Administrativas'!$A$1:$I$646,9,0),"")</f>
        <v>1J6ReHvwS&lt;H-</v>
      </c>
    </row>
    <row r="247" spans="1:37" ht="22.5" customHeight="1">
      <c r="A247" s="5">
        <v>46030.433422939816</v>
      </c>
      <c r="B247" s="1" t="s">
        <v>1377</v>
      </c>
      <c r="C247" s="1" t="s">
        <v>1236</v>
      </c>
      <c r="D247" s="1" t="s">
        <v>1378</v>
      </c>
      <c r="E247" s="1" t="s">
        <v>1379</v>
      </c>
      <c r="F247" s="1"/>
      <c r="G247" s="1" t="s">
        <v>1380</v>
      </c>
      <c r="H247" s="6" t="s">
        <v>1381</v>
      </c>
      <c r="I247" s="1" t="s">
        <v>89</v>
      </c>
      <c r="J247" s="7">
        <v>46060</v>
      </c>
      <c r="K247" s="7">
        <v>46060</v>
      </c>
      <c r="L247" s="11">
        <v>0.54166666666424135</v>
      </c>
      <c r="M247" s="1"/>
      <c r="N247" s="1" t="s">
        <v>421</v>
      </c>
      <c r="O247" s="1" t="s">
        <v>45</v>
      </c>
      <c r="P247" s="1" t="s">
        <v>90</v>
      </c>
      <c r="Q247" s="1" t="s">
        <v>47</v>
      </c>
      <c r="R247" s="1" t="s">
        <v>74</v>
      </c>
      <c r="S247" s="8">
        <v>2500</v>
      </c>
      <c r="T247" s="8">
        <v>2000</v>
      </c>
      <c r="U247" s="8"/>
      <c r="V247" s="8"/>
      <c r="W247" s="1" t="s">
        <v>1378</v>
      </c>
      <c r="X247" s="1"/>
      <c r="Y247" s="1" t="s">
        <v>1382</v>
      </c>
      <c r="Z247" s="1" t="s">
        <v>296</v>
      </c>
      <c r="AA247" s="1" t="s">
        <v>113</v>
      </c>
      <c r="AB247" s="10" t="s">
        <v>66</v>
      </c>
      <c r="AC247" s="10" t="s">
        <v>68</v>
      </c>
      <c r="AD247" s="10" t="str">
        <f>IFERROR(VLOOKUP(B247,'Regiões Administrativas'!$A$1:$B$646,2,0),"")</f>
        <v>RMSP</v>
      </c>
      <c r="AE247" s="10">
        <f>IFERROR(VLOOKUP(Form_Responses[[#This Row],[Município]],'Regiões Administrativas'!$A$1:$I$646,3,0),"")</f>
        <v>15685</v>
      </c>
      <c r="AF247" s="10">
        <f>IFERROR(VLOOKUP(Form_Responses[[#This Row],[Município]],'Regiões Administrativas'!$A$1:$I$646,4,0),"")</f>
        <v>350900705000001</v>
      </c>
      <c r="AG247" s="10">
        <f>IFERROR(VLOOKUP(Form_Responses[[#This Row],[Município]],'Regiões Administrativas'!$A$1:$I$646,4,0),"")</f>
        <v>350900705000001</v>
      </c>
      <c r="AH247" s="10">
        <f>IFERROR(VLOOKUP(B247,'Regiões Administrativas'!$A$1:$I$646,5,0),"")</f>
        <v>3509007</v>
      </c>
      <c r="AI247" s="10">
        <f>IFERROR(VLOOKUP(B247,'Regiões Administrativas'!$A$1:$I$646,6,0),"")</f>
        <v>-46.744101399999998</v>
      </c>
      <c r="AJ247" s="10">
        <f>IFERROR(VLOOKUP(B247,'Regiões Administrativas'!$A$1:$I$646,8,0),"")</f>
        <v>763.63096599999994</v>
      </c>
      <c r="AK247" s="10" t="str">
        <f>IFERROR(VLOOKUP(Form_Responses[[#This Row],[Município]],'Regiões Administrativas'!$A$1:$I$646,9,0),"")</f>
        <v>1J6tnM1r_HY-</v>
      </c>
    </row>
    <row r="248" spans="1:37" ht="22.5" customHeight="1">
      <c r="A248" s="5">
        <v>46030.435598344906</v>
      </c>
      <c r="B248" s="1" t="s">
        <v>1273</v>
      </c>
      <c r="C248" s="1" t="s">
        <v>1274</v>
      </c>
      <c r="D248" s="1" t="s">
        <v>679</v>
      </c>
      <c r="E248" s="1" t="s">
        <v>1383</v>
      </c>
      <c r="F248" s="1" t="s">
        <v>1384</v>
      </c>
      <c r="G248" s="1" t="s">
        <v>1385</v>
      </c>
      <c r="H248" s="1"/>
      <c r="I248" s="1" t="s">
        <v>128</v>
      </c>
      <c r="J248" s="7">
        <v>46138</v>
      </c>
      <c r="K248" s="1"/>
      <c r="L248" s="11">
        <v>0.33333333333575865</v>
      </c>
      <c r="M248" s="1"/>
      <c r="N248" s="1" t="s">
        <v>268</v>
      </c>
      <c r="O248" s="1" t="s">
        <v>45</v>
      </c>
      <c r="P248" s="1" t="s">
        <v>63</v>
      </c>
      <c r="Q248" s="1" t="s">
        <v>47</v>
      </c>
      <c r="R248" s="1" t="s">
        <v>74</v>
      </c>
      <c r="S248" s="8">
        <v>10000</v>
      </c>
      <c r="T248" s="8"/>
      <c r="U248" s="8"/>
      <c r="V248" s="8"/>
      <c r="W248" s="1" t="s">
        <v>1386</v>
      </c>
      <c r="X248" s="1"/>
      <c r="Y248" s="1" t="s">
        <v>1279</v>
      </c>
      <c r="Z248" s="1" t="s">
        <v>66</v>
      </c>
      <c r="AA248" s="1" t="s">
        <v>66</v>
      </c>
      <c r="AB248" s="10" t="s">
        <v>66</v>
      </c>
      <c r="AC248" s="10" t="s">
        <v>68</v>
      </c>
      <c r="AD248" s="10" t="str">
        <f>IFERROR(VLOOKUP(B248,'Regiões Administrativas'!$A$1:$B$646,2,0),"")</f>
        <v>Sorocaba</v>
      </c>
      <c r="AE248" s="10">
        <f>IFERROR(VLOOKUP(Form_Responses[[#This Row],[Município]],'Regiões Administrativas'!$A$1:$I$646,3,0),"")</f>
        <v>16783</v>
      </c>
      <c r="AF248" s="10">
        <f>IFERROR(VLOOKUP(Form_Responses[[#This Row],[Município]],'Regiões Administrativas'!$A$1:$I$646,4,0),"")</f>
        <v>353780005000001</v>
      </c>
      <c r="AG248" s="10">
        <f>IFERROR(VLOOKUP(Form_Responses[[#This Row],[Município]],'Regiões Administrativas'!$A$1:$I$646,4,0),"")</f>
        <v>353780005000001</v>
      </c>
      <c r="AH248" s="10">
        <f>IFERROR(VLOOKUP(B248,'Regiões Administrativas'!$A$1:$I$646,5,0),"")</f>
        <v>3537800</v>
      </c>
      <c r="AI248" s="10">
        <f>IFERROR(VLOOKUP(B248,'Regiões Administrativas'!$A$1:$I$646,6,0),"")</f>
        <v>-47.418015199999999</v>
      </c>
      <c r="AJ248" s="10">
        <f>IFERROR(VLOOKUP(B248,'Regiões Administrativas'!$A$1:$I$646,8,0),"")</f>
        <v>805.44356400000004</v>
      </c>
      <c r="AK248" s="10" t="str">
        <f>IFERROR(VLOOKUP(Form_Responses[[#This Row],[Município]],'Regiões Administrativas'!$A$1:$I$646,9,0),"")</f>
        <v>1J6tM^v4t3;p</v>
      </c>
    </row>
    <row r="249" spans="1:37" ht="22.5" customHeight="1">
      <c r="A249" s="13">
        <v>46030.442332384264</v>
      </c>
      <c r="B249" s="1" t="s">
        <v>655</v>
      </c>
      <c r="C249" s="1" t="s">
        <v>656</v>
      </c>
      <c r="D249" s="1" t="s">
        <v>1387</v>
      </c>
      <c r="E249" s="1" t="s">
        <v>1388</v>
      </c>
      <c r="F249" s="1"/>
      <c r="G249" s="1" t="s">
        <v>1389</v>
      </c>
      <c r="H249" s="1"/>
      <c r="I249" s="1" t="s">
        <v>60</v>
      </c>
      <c r="J249" s="7">
        <v>46174</v>
      </c>
      <c r="K249" s="7">
        <v>46203</v>
      </c>
      <c r="L249" s="11">
        <v>0.79166666666424135</v>
      </c>
      <c r="M249" s="11">
        <v>0.91666666666424135</v>
      </c>
      <c r="N249" s="1" t="s">
        <v>44</v>
      </c>
      <c r="O249" s="1" t="s">
        <v>45</v>
      </c>
      <c r="P249" s="1" t="s">
        <v>135</v>
      </c>
      <c r="Q249" s="1" t="s">
        <v>47</v>
      </c>
      <c r="R249" s="1" t="s">
        <v>74</v>
      </c>
      <c r="S249" s="8">
        <v>20000</v>
      </c>
      <c r="T249" s="8">
        <v>19000</v>
      </c>
      <c r="U249" s="8">
        <v>18000</v>
      </c>
      <c r="V249" s="8">
        <v>17000</v>
      </c>
      <c r="W249" s="1" t="s">
        <v>1390</v>
      </c>
      <c r="X249" s="1"/>
      <c r="Y249" s="1" t="s">
        <v>1246</v>
      </c>
      <c r="Z249" s="1" t="s">
        <v>76</v>
      </c>
      <c r="AA249" s="1" t="s">
        <v>225</v>
      </c>
      <c r="AB249" s="10" t="s">
        <v>66</v>
      </c>
      <c r="AC249" s="10" t="s">
        <v>68</v>
      </c>
      <c r="AD249" s="10" t="str">
        <f>IFERROR(VLOOKUP(B249,'Regiões Administrativas'!$A$1:$B$646,2,0),"")</f>
        <v>Itapeva</v>
      </c>
      <c r="AE249" s="10">
        <f>IFERROR(VLOOKUP(Form_Responses[[#This Row],[Município]],'Regiões Administrativas'!$A$1:$I$646,3,0),"")</f>
        <v>16130</v>
      </c>
      <c r="AF249" s="10">
        <f>IFERROR(VLOOKUP(Form_Responses[[#This Row],[Município]],'Regiões Administrativas'!$A$1:$I$646,4,0),"")</f>
        <v>352320605000001</v>
      </c>
      <c r="AG249" s="10">
        <f>IFERROR(VLOOKUP(Form_Responses[[#This Row],[Município]],'Regiões Administrativas'!$A$1:$I$646,4,0),"")</f>
        <v>352320605000001</v>
      </c>
      <c r="AH249" s="10">
        <f>IFERROR(VLOOKUP(B249,'Regiões Administrativas'!$A$1:$I$646,5,0),"")</f>
        <v>3523206</v>
      </c>
      <c r="AI249" s="10">
        <f>IFERROR(VLOOKUP(B249,'Regiões Administrativas'!$A$1:$I$646,6,0),"")</f>
        <v>-49.336119699999998</v>
      </c>
      <c r="AJ249" s="10">
        <f>IFERROR(VLOOKUP(B249,'Regiões Administrativas'!$A$1:$I$646,8,0),"")</f>
        <v>734.12665600000003</v>
      </c>
      <c r="AK249" s="10" t="str">
        <f>IFERROR(VLOOKUP(Form_Responses[[#This Row],[Município]],'Regiões Administrativas'!$A$1:$I$646,9,0),"")</f>
        <v>1J6S29)Jh3)p</v>
      </c>
    </row>
    <row r="250" spans="1:37" ht="22.5" customHeight="1">
      <c r="A250" s="5">
        <v>46030.47051219907</v>
      </c>
      <c r="B250" s="1" t="s">
        <v>655</v>
      </c>
      <c r="C250" s="1" t="s">
        <v>656</v>
      </c>
      <c r="D250" s="1" t="s">
        <v>1391</v>
      </c>
      <c r="E250" s="1" t="s">
        <v>1392</v>
      </c>
      <c r="F250" s="1"/>
      <c r="G250" s="1" t="s">
        <v>1393</v>
      </c>
      <c r="H250" s="1"/>
      <c r="I250" s="1" t="s">
        <v>267</v>
      </c>
      <c r="J250" s="7">
        <v>46038</v>
      </c>
      <c r="K250" s="7">
        <v>46040</v>
      </c>
      <c r="L250" s="11">
        <v>0.41666666666424135</v>
      </c>
      <c r="M250" s="11">
        <v>0.91666666666424135</v>
      </c>
      <c r="N250" s="1" t="s">
        <v>44</v>
      </c>
      <c r="O250" s="1" t="s">
        <v>190</v>
      </c>
      <c r="P250" s="1" t="s">
        <v>235</v>
      </c>
      <c r="Q250" s="1" t="s">
        <v>47</v>
      </c>
      <c r="R250" s="1" t="s">
        <v>74</v>
      </c>
      <c r="S250" s="8">
        <v>6000</v>
      </c>
      <c r="T250" s="8"/>
      <c r="U250" s="8"/>
      <c r="V250" s="8"/>
      <c r="W250" s="1" t="s">
        <v>1394</v>
      </c>
      <c r="X250" s="1"/>
      <c r="Y250" s="1" t="s">
        <v>1246</v>
      </c>
      <c r="Z250" s="1" t="s">
        <v>66</v>
      </c>
      <c r="AA250" s="1" t="s">
        <v>66</v>
      </c>
      <c r="AB250" s="10" t="s">
        <v>66</v>
      </c>
      <c r="AC250" s="10" t="s">
        <v>68</v>
      </c>
      <c r="AD250" s="10" t="str">
        <f>IFERROR(VLOOKUP(B250,'Regiões Administrativas'!$A$1:$B$646,2,0),"")</f>
        <v>Itapeva</v>
      </c>
      <c r="AE250" s="10">
        <f>IFERROR(VLOOKUP(Form_Responses[[#This Row],[Município]],'Regiões Administrativas'!$A$1:$I$646,3,0),"")</f>
        <v>16130</v>
      </c>
      <c r="AF250" s="10">
        <f>IFERROR(VLOOKUP(Form_Responses[[#This Row],[Município]],'Regiões Administrativas'!$A$1:$I$646,4,0),"")</f>
        <v>352320605000001</v>
      </c>
      <c r="AG250" s="10">
        <f>IFERROR(VLOOKUP(Form_Responses[[#This Row],[Município]],'Regiões Administrativas'!$A$1:$I$646,4,0),"")</f>
        <v>352320605000001</v>
      </c>
      <c r="AH250" s="10">
        <f>IFERROR(VLOOKUP(B250,'Regiões Administrativas'!$A$1:$I$646,5,0),"")</f>
        <v>3523206</v>
      </c>
      <c r="AI250" s="10">
        <f>IFERROR(VLOOKUP(B250,'Regiões Administrativas'!$A$1:$I$646,6,0),"")</f>
        <v>-49.336119699999998</v>
      </c>
      <c r="AJ250" s="10">
        <f>IFERROR(VLOOKUP(B250,'Regiões Administrativas'!$A$1:$I$646,8,0),"")</f>
        <v>734.12665600000003</v>
      </c>
      <c r="AK250" s="10" t="str">
        <f>IFERROR(VLOOKUP(Form_Responses[[#This Row],[Município]],'Regiões Administrativas'!$A$1:$I$646,9,0),"")</f>
        <v>1J6S29)Jh3)p</v>
      </c>
    </row>
    <row r="251" spans="1:37" ht="22.5" customHeight="1">
      <c r="A251" s="13">
        <v>46030.475246724542</v>
      </c>
      <c r="B251" s="1" t="s">
        <v>1323</v>
      </c>
      <c r="C251" s="1" t="s">
        <v>1324</v>
      </c>
      <c r="D251" s="1" t="s">
        <v>1395</v>
      </c>
      <c r="E251" s="1" t="s">
        <v>1396</v>
      </c>
      <c r="F251" s="1"/>
      <c r="G251" s="1" t="s">
        <v>1338</v>
      </c>
      <c r="H251" s="6" t="s">
        <v>1397</v>
      </c>
      <c r="I251" s="1" t="s">
        <v>162</v>
      </c>
      <c r="J251" s="7">
        <v>46353</v>
      </c>
      <c r="K251" s="7">
        <v>46376</v>
      </c>
      <c r="L251" s="11">
        <v>0.58333333333575865</v>
      </c>
      <c r="M251" s="11">
        <v>0.91666666666424135</v>
      </c>
      <c r="N251" s="1" t="s">
        <v>44</v>
      </c>
      <c r="O251" s="1" t="s">
        <v>221</v>
      </c>
      <c r="P251" s="1" t="s">
        <v>251</v>
      </c>
      <c r="Q251" s="1" t="s">
        <v>47</v>
      </c>
      <c r="R251" s="1" t="s">
        <v>74</v>
      </c>
      <c r="S251" s="8">
        <v>200000</v>
      </c>
      <c r="T251" s="8">
        <v>180000</v>
      </c>
      <c r="U251" s="8">
        <v>180000</v>
      </c>
      <c r="V251" s="8">
        <v>160000</v>
      </c>
      <c r="W251" s="1" t="s">
        <v>1340</v>
      </c>
      <c r="X251" s="1"/>
      <c r="Y251" s="1" t="s">
        <v>1341</v>
      </c>
      <c r="Z251" s="1" t="s">
        <v>76</v>
      </c>
      <c r="AA251" s="1" t="s">
        <v>113</v>
      </c>
      <c r="AB251" s="10" t="s">
        <v>54</v>
      </c>
      <c r="AC251" s="10" t="s">
        <v>68</v>
      </c>
      <c r="AD251" s="10" t="str">
        <f>IFERROR(VLOOKUP(B251,'Regiões Administrativas'!$A$1:$B$646,2,0),"")</f>
        <v>RMSP</v>
      </c>
      <c r="AE251" s="10">
        <f>IFERROR(VLOOKUP(Form_Responses[[#This Row],[Município]],'Regiões Administrativas'!$A$1:$I$646,3,0),"")</f>
        <v>17109</v>
      </c>
      <c r="AF251" s="10">
        <f>IFERROR(VLOOKUP(Form_Responses[[#This Row],[Município]],'Regiões Administrativas'!$A$1:$I$646,4,0),"")</f>
        <v>354780905000001</v>
      </c>
      <c r="AG251" s="10">
        <f>IFERROR(VLOOKUP(Form_Responses[[#This Row],[Município]],'Regiões Administrativas'!$A$1:$I$646,4,0),"")</f>
        <v>354780905000001</v>
      </c>
      <c r="AH251" s="10">
        <f>IFERROR(VLOOKUP(B251,'Regiões Administrativas'!$A$1:$I$646,5,0),"")</f>
        <v>3547809</v>
      </c>
      <c r="AI251" s="10">
        <f>IFERROR(VLOOKUP(B251,'Regiões Administrativas'!$A$1:$I$646,6,0),"")</f>
        <v>-46.530874300000001</v>
      </c>
      <c r="AJ251" s="10">
        <f>IFERROR(VLOOKUP(B251,'Regiões Administrativas'!$A$1:$I$646,8,0),"")</f>
        <v>764.09666800000002</v>
      </c>
      <c r="AK251" s="10" t="str">
        <f>IFERROR(VLOOKUP(Form_Responses[[#This Row],[Município]],'Regiões Administrativas'!$A$1:$I$646,9,0),"")</f>
        <v>1J6tob;.8U1-</v>
      </c>
    </row>
    <row r="252" spans="1:37" ht="22.5" customHeight="1">
      <c r="A252" s="5">
        <v>46030.484529988425</v>
      </c>
      <c r="B252" s="1" t="s">
        <v>1323</v>
      </c>
      <c r="C252" s="1" t="s">
        <v>1324</v>
      </c>
      <c r="D252" s="1" t="s">
        <v>1398</v>
      </c>
      <c r="E252" s="1" t="s">
        <v>1399</v>
      </c>
      <c r="F252" s="1"/>
      <c r="G252" s="1" t="s">
        <v>1400</v>
      </c>
      <c r="H252" s="1"/>
      <c r="I252" s="1" t="s">
        <v>128</v>
      </c>
      <c r="J252" s="7">
        <v>46123</v>
      </c>
      <c r="K252" s="7">
        <v>46124</v>
      </c>
      <c r="L252" s="11">
        <v>0.375</v>
      </c>
      <c r="M252" s="11">
        <v>0.66666666666424135</v>
      </c>
      <c r="N252" s="1" t="s">
        <v>268</v>
      </c>
      <c r="O252" s="1" t="s">
        <v>142</v>
      </c>
      <c r="P252" s="1" t="s">
        <v>63</v>
      </c>
      <c r="Q252" s="1" t="s">
        <v>47</v>
      </c>
      <c r="R252" s="1" t="s">
        <v>74</v>
      </c>
      <c r="S252" s="8">
        <v>5000</v>
      </c>
      <c r="T252" s="8">
        <v>5000</v>
      </c>
      <c r="U252" s="8">
        <v>4000</v>
      </c>
      <c r="V252" s="8">
        <v>4000</v>
      </c>
      <c r="W252" s="1" t="s">
        <v>1401</v>
      </c>
      <c r="X252" s="1"/>
      <c r="Y252" s="1" t="s">
        <v>1402</v>
      </c>
      <c r="Z252" s="1" t="s">
        <v>76</v>
      </c>
      <c r="AA252" s="1" t="s">
        <v>93</v>
      </c>
      <c r="AB252" s="10" t="s">
        <v>66</v>
      </c>
      <c r="AC252" s="10" t="s">
        <v>68</v>
      </c>
      <c r="AD252" s="10" t="str">
        <f>IFERROR(VLOOKUP(B252,'Regiões Administrativas'!$A$1:$B$646,2,0),"")</f>
        <v>RMSP</v>
      </c>
      <c r="AE252" s="10">
        <f>IFERROR(VLOOKUP(Form_Responses[[#This Row],[Município]],'Regiões Administrativas'!$A$1:$I$646,3,0),"")</f>
        <v>17109</v>
      </c>
      <c r="AF252" s="10">
        <f>IFERROR(VLOOKUP(Form_Responses[[#This Row],[Município]],'Regiões Administrativas'!$A$1:$I$646,4,0),"")</f>
        <v>354780905000001</v>
      </c>
      <c r="AG252" s="10">
        <f>IFERROR(VLOOKUP(Form_Responses[[#This Row],[Município]],'Regiões Administrativas'!$A$1:$I$646,4,0),"")</f>
        <v>354780905000001</v>
      </c>
      <c r="AH252" s="10">
        <f>IFERROR(VLOOKUP(B252,'Regiões Administrativas'!$A$1:$I$646,5,0),"")</f>
        <v>3547809</v>
      </c>
      <c r="AI252" s="10">
        <f>IFERROR(VLOOKUP(B252,'Regiões Administrativas'!$A$1:$I$646,6,0),"")</f>
        <v>-46.530874300000001</v>
      </c>
      <c r="AJ252" s="10">
        <f>IFERROR(VLOOKUP(B252,'Regiões Administrativas'!$A$1:$I$646,8,0),"")</f>
        <v>764.09666800000002</v>
      </c>
      <c r="AK252" s="10" t="str">
        <f>IFERROR(VLOOKUP(Form_Responses[[#This Row],[Município]],'Regiões Administrativas'!$A$1:$I$646,9,0),"")</f>
        <v>1J6tob;.8U1-</v>
      </c>
    </row>
    <row r="253" spans="1:37" ht="22.5" customHeight="1">
      <c r="A253" s="5">
        <v>46030.492783981477</v>
      </c>
      <c r="B253" s="1" t="s">
        <v>1273</v>
      </c>
      <c r="C253" s="1" t="s">
        <v>1274</v>
      </c>
      <c r="D253" s="1" t="s">
        <v>1403</v>
      </c>
      <c r="E253" s="1" t="s">
        <v>1404</v>
      </c>
      <c r="F253" s="1"/>
      <c r="G253" s="1" t="s">
        <v>1314</v>
      </c>
      <c r="H253" s="1"/>
      <c r="I253" s="1" t="s">
        <v>220</v>
      </c>
      <c r="J253" s="7">
        <v>46157</v>
      </c>
      <c r="K253" s="7">
        <v>46162</v>
      </c>
      <c r="L253" s="1"/>
      <c r="M253" s="1"/>
      <c r="N253" s="1" t="s">
        <v>110</v>
      </c>
      <c r="O253" s="1" t="s">
        <v>99</v>
      </c>
      <c r="P253" s="1" t="s">
        <v>99</v>
      </c>
      <c r="Q253" s="1" t="s">
        <v>47</v>
      </c>
      <c r="R253" s="1" t="s">
        <v>48</v>
      </c>
      <c r="S253" s="8">
        <v>25000</v>
      </c>
      <c r="T253" s="8"/>
      <c r="U253" s="8"/>
      <c r="V253" s="8"/>
      <c r="W253" s="1" t="s">
        <v>1315</v>
      </c>
      <c r="X253" s="1"/>
      <c r="Y253" s="1" t="s">
        <v>1279</v>
      </c>
      <c r="Z253" s="1" t="s">
        <v>76</v>
      </c>
      <c r="AA253" s="1" t="s">
        <v>113</v>
      </c>
      <c r="AB253" s="10" t="s">
        <v>66</v>
      </c>
      <c r="AC253" s="10" t="s">
        <v>68</v>
      </c>
      <c r="AD253" s="10" t="str">
        <f>IFERROR(VLOOKUP(B253,'Regiões Administrativas'!$A$1:$B$646,2,0),"")</f>
        <v>Sorocaba</v>
      </c>
      <c r="AE253" s="10">
        <f>IFERROR(VLOOKUP(Form_Responses[[#This Row],[Município]],'Regiões Administrativas'!$A$1:$I$646,3,0),"")</f>
        <v>16783</v>
      </c>
      <c r="AF253" s="10">
        <f>IFERROR(VLOOKUP(Form_Responses[[#This Row],[Município]],'Regiões Administrativas'!$A$1:$I$646,4,0),"")</f>
        <v>353780005000001</v>
      </c>
      <c r="AG253" s="10">
        <f>IFERROR(VLOOKUP(Form_Responses[[#This Row],[Município]],'Regiões Administrativas'!$A$1:$I$646,4,0),"")</f>
        <v>353780005000001</v>
      </c>
      <c r="AH253" s="10">
        <f>IFERROR(VLOOKUP(B253,'Regiões Administrativas'!$A$1:$I$646,5,0),"")</f>
        <v>3537800</v>
      </c>
      <c r="AI253" s="10">
        <f>IFERROR(VLOOKUP(B253,'Regiões Administrativas'!$A$1:$I$646,6,0),"")</f>
        <v>-47.418015199999999</v>
      </c>
      <c r="AJ253" s="10">
        <f>IFERROR(VLOOKUP(B253,'Regiões Administrativas'!$A$1:$I$646,8,0),"")</f>
        <v>805.44356400000004</v>
      </c>
      <c r="AK253" s="10" t="str">
        <f>IFERROR(VLOOKUP(Form_Responses[[#This Row],[Município]],'Regiões Administrativas'!$A$1:$I$646,9,0),"")</f>
        <v>1J6tM^v4t3;p</v>
      </c>
    </row>
    <row r="254" spans="1:37" ht="22.5" customHeight="1">
      <c r="A254" s="5">
        <v>46030.492973993052</v>
      </c>
      <c r="B254" s="1" t="s">
        <v>1323</v>
      </c>
      <c r="C254" s="1" t="s">
        <v>1324</v>
      </c>
      <c r="D254" s="1" t="s">
        <v>1405</v>
      </c>
      <c r="E254" s="1" t="s">
        <v>1406</v>
      </c>
      <c r="F254" s="1"/>
      <c r="G254" s="1" t="s">
        <v>1407</v>
      </c>
      <c r="H254" s="6" t="s">
        <v>1408</v>
      </c>
      <c r="I254" s="1" t="s">
        <v>89</v>
      </c>
      <c r="J254" s="7">
        <v>46067</v>
      </c>
      <c r="K254" s="7">
        <v>46070</v>
      </c>
      <c r="L254" s="11">
        <v>0.41666666666424135</v>
      </c>
      <c r="M254" s="11">
        <v>0.70833333333575865</v>
      </c>
      <c r="N254" s="1" t="s">
        <v>44</v>
      </c>
      <c r="O254" s="1" t="s">
        <v>45</v>
      </c>
      <c r="P254" s="1" t="s">
        <v>90</v>
      </c>
      <c r="Q254" s="1" t="s">
        <v>47</v>
      </c>
      <c r="R254" s="1" t="s">
        <v>74</v>
      </c>
      <c r="S254" s="8">
        <v>5000</v>
      </c>
      <c r="T254" s="8">
        <v>5000</v>
      </c>
      <c r="U254" s="8">
        <v>5000</v>
      </c>
      <c r="V254" s="8">
        <v>5000</v>
      </c>
      <c r="W254" s="1" t="s">
        <v>1409</v>
      </c>
      <c r="X254" s="1"/>
      <c r="Y254" s="1" t="s">
        <v>1341</v>
      </c>
      <c r="Z254" s="1" t="s">
        <v>66</v>
      </c>
      <c r="AA254" s="1" t="s">
        <v>66</v>
      </c>
      <c r="AB254" s="10" t="s">
        <v>66</v>
      </c>
      <c r="AC254" s="10" t="s">
        <v>68</v>
      </c>
      <c r="AD254" s="10" t="str">
        <f>IFERROR(VLOOKUP(B254,'Regiões Administrativas'!$A$1:$B$646,2,0),"")</f>
        <v>RMSP</v>
      </c>
      <c r="AE254" s="10">
        <f>IFERROR(VLOOKUP(Form_Responses[[#This Row],[Município]],'Regiões Administrativas'!$A$1:$I$646,3,0),"")</f>
        <v>17109</v>
      </c>
      <c r="AF254" s="10">
        <f>IFERROR(VLOOKUP(Form_Responses[[#This Row],[Município]],'Regiões Administrativas'!$A$1:$I$646,4,0),"")</f>
        <v>354780905000001</v>
      </c>
      <c r="AG254" s="10">
        <f>IFERROR(VLOOKUP(Form_Responses[[#This Row],[Município]],'Regiões Administrativas'!$A$1:$I$646,4,0),"")</f>
        <v>354780905000001</v>
      </c>
      <c r="AH254" s="10">
        <f>IFERROR(VLOOKUP(B254,'Regiões Administrativas'!$A$1:$I$646,5,0),"")</f>
        <v>3547809</v>
      </c>
      <c r="AI254" s="10">
        <f>IFERROR(VLOOKUP(B254,'Regiões Administrativas'!$A$1:$I$646,6,0),"")</f>
        <v>-46.530874300000001</v>
      </c>
      <c r="AJ254" s="10">
        <f>IFERROR(VLOOKUP(B254,'Regiões Administrativas'!$A$1:$I$646,8,0),"")</f>
        <v>764.09666800000002</v>
      </c>
      <c r="AK254" s="10" t="str">
        <f>IFERROR(VLOOKUP(Form_Responses[[#This Row],[Município]],'Regiões Administrativas'!$A$1:$I$646,9,0),"")</f>
        <v>1J6tob;.8U1-</v>
      </c>
    </row>
    <row r="255" spans="1:37" ht="22.5" customHeight="1">
      <c r="A255" s="13">
        <v>46030.496927881948</v>
      </c>
      <c r="B255" s="1" t="s">
        <v>1273</v>
      </c>
      <c r="C255" s="1" t="s">
        <v>1274</v>
      </c>
      <c r="D255" s="1" t="s">
        <v>1410</v>
      </c>
      <c r="E255" s="1" t="s">
        <v>1411</v>
      </c>
      <c r="F255" s="1"/>
      <c r="G255" s="1" t="s">
        <v>1412</v>
      </c>
      <c r="H255" s="1"/>
      <c r="I255" s="1" t="s">
        <v>72</v>
      </c>
      <c r="J255" s="7">
        <v>46214</v>
      </c>
      <c r="K255" s="1"/>
      <c r="L255" s="11">
        <v>0.66666666666424135</v>
      </c>
      <c r="M255" s="1"/>
      <c r="N255" s="1" t="s">
        <v>73</v>
      </c>
      <c r="O255" s="1" t="s">
        <v>45</v>
      </c>
      <c r="P255" s="1" t="s">
        <v>63</v>
      </c>
      <c r="Q255" s="1" t="s">
        <v>47</v>
      </c>
      <c r="R255" s="1" t="s">
        <v>74</v>
      </c>
      <c r="S255" s="8">
        <v>2000</v>
      </c>
      <c r="T255" s="8"/>
      <c r="U255" s="8"/>
      <c r="V255" s="8"/>
      <c r="W255" s="1" t="s">
        <v>1315</v>
      </c>
      <c r="X255" s="1"/>
      <c r="Y255" s="1" t="s">
        <v>1279</v>
      </c>
      <c r="Z255" s="1" t="s">
        <v>76</v>
      </c>
      <c r="AA255" s="1" t="s">
        <v>113</v>
      </c>
      <c r="AB255" s="10" t="s">
        <v>66</v>
      </c>
      <c r="AC255" s="10" t="s">
        <v>68</v>
      </c>
      <c r="AD255" s="10" t="str">
        <f>IFERROR(VLOOKUP(B255,'Regiões Administrativas'!$A$1:$B$646,2,0),"")</f>
        <v>Sorocaba</v>
      </c>
      <c r="AE255" s="10">
        <f>IFERROR(VLOOKUP(Form_Responses[[#This Row],[Município]],'Regiões Administrativas'!$A$1:$I$646,3,0),"")</f>
        <v>16783</v>
      </c>
      <c r="AF255" s="10">
        <f>IFERROR(VLOOKUP(Form_Responses[[#This Row],[Município]],'Regiões Administrativas'!$A$1:$I$646,4,0),"")</f>
        <v>353780005000001</v>
      </c>
      <c r="AG255" s="10">
        <f>IFERROR(VLOOKUP(Form_Responses[[#This Row],[Município]],'Regiões Administrativas'!$A$1:$I$646,4,0),"")</f>
        <v>353780005000001</v>
      </c>
      <c r="AH255" s="10">
        <f>IFERROR(VLOOKUP(B255,'Regiões Administrativas'!$A$1:$I$646,5,0),"")</f>
        <v>3537800</v>
      </c>
      <c r="AI255" s="10">
        <f>IFERROR(VLOOKUP(B255,'Regiões Administrativas'!$A$1:$I$646,6,0),"")</f>
        <v>-47.418015199999999</v>
      </c>
      <c r="AJ255" s="10">
        <f>IFERROR(VLOOKUP(B255,'Regiões Administrativas'!$A$1:$I$646,8,0),"")</f>
        <v>805.44356400000004</v>
      </c>
      <c r="AK255" s="10" t="str">
        <f>IFERROR(VLOOKUP(Form_Responses[[#This Row],[Município]],'Regiões Administrativas'!$A$1:$I$646,9,0),"")</f>
        <v>1J6tM^v4t3;p</v>
      </c>
    </row>
    <row r="256" spans="1:37" ht="22.5" customHeight="1">
      <c r="A256" s="5">
        <v>46030.504875960643</v>
      </c>
      <c r="B256" s="1" t="s">
        <v>1323</v>
      </c>
      <c r="C256" s="1" t="s">
        <v>1324</v>
      </c>
      <c r="D256" s="1" t="s">
        <v>1413</v>
      </c>
      <c r="E256" s="1" t="s">
        <v>1414</v>
      </c>
      <c r="F256" s="1"/>
      <c r="G256" s="1" t="s">
        <v>1415</v>
      </c>
      <c r="H256" s="6" t="s">
        <v>1408</v>
      </c>
      <c r="I256" s="1" t="s">
        <v>128</v>
      </c>
      <c r="J256" s="7">
        <v>46116</v>
      </c>
      <c r="K256" s="7">
        <v>46138</v>
      </c>
      <c r="L256" s="11">
        <v>0.41666666666424135</v>
      </c>
      <c r="M256" s="11">
        <v>0.75</v>
      </c>
      <c r="N256" s="1" t="s">
        <v>73</v>
      </c>
      <c r="O256" s="1" t="s">
        <v>190</v>
      </c>
      <c r="P256" s="1" t="s">
        <v>63</v>
      </c>
      <c r="Q256" s="1" t="s">
        <v>47</v>
      </c>
      <c r="R256" s="1" t="s">
        <v>74</v>
      </c>
      <c r="S256" s="8">
        <v>8000</v>
      </c>
      <c r="T256" s="8">
        <v>6000</v>
      </c>
      <c r="U256" s="8">
        <v>4500</v>
      </c>
      <c r="V256" s="8">
        <v>3000</v>
      </c>
      <c r="W256" s="1" t="s">
        <v>1416</v>
      </c>
      <c r="X256" s="1"/>
      <c r="Y256" s="1" t="s">
        <v>1341</v>
      </c>
      <c r="Z256" s="1" t="s">
        <v>66</v>
      </c>
      <c r="AA256" s="1" t="s">
        <v>66</v>
      </c>
      <c r="AB256" s="10" t="s">
        <v>66</v>
      </c>
      <c r="AC256" s="10" t="s">
        <v>68</v>
      </c>
      <c r="AD256" s="10" t="str">
        <f>IFERROR(VLOOKUP(B256,'Regiões Administrativas'!$A$1:$B$646,2,0),"")</f>
        <v>RMSP</v>
      </c>
      <c r="AE256" s="10">
        <f>IFERROR(VLOOKUP(Form_Responses[[#This Row],[Município]],'Regiões Administrativas'!$A$1:$I$646,3,0),"")</f>
        <v>17109</v>
      </c>
      <c r="AF256" s="10">
        <f>IFERROR(VLOOKUP(Form_Responses[[#This Row],[Município]],'Regiões Administrativas'!$A$1:$I$646,4,0),"")</f>
        <v>354780905000001</v>
      </c>
      <c r="AG256" s="10">
        <f>IFERROR(VLOOKUP(Form_Responses[[#This Row],[Município]],'Regiões Administrativas'!$A$1:$I$646,4,0),"")</f>
        <v>354780905000001</v>
      </c>
      <c r="AH256" s="10">
        <f>IFERROR(VLOOKUP(B256,'Regiões Administrativas'!$A$1:$I$646,5,0),"")</f>
        <v>3547809</v>
      </c>
      <c r="AI256" s="10">
        <f>IFERROR(VLOOKUP(B256,'Regiões Administrativas'!$A$1:$I$646,6,0),"")</f>
        <v>-46.530874300000001</v>
      </c>
      <c r="AJ256" s="10">
        <f>IFERROR(VLOOKUP(B256,'Regiões Administrativas'!$A$1:$I$646,8,0),"")</f>
        <v>764.09666800000002</v>
      </c>
      <c r="AK256" s="10" t="str">
        <f>IFERROR(VLOOKUP(Form_Responses[[#This Row],[Município]],'Regiões Administrativas'!$A$1:$I$646,9,0),"")</f>
        <v>1J6tob;.8U1-</v>
      </c>
    </row>
    <row r="257" spans="1:37" ht="22.5" customHeight="1">
      <c r="A257" s="5">
        <v>46030.518096828702</v>
      </c>
      <c r="B257" s="1" t="s">
        <v>1323</v>
      </c>
      <c r="C257" s="1" t="s">
        <v>1324</v>
      </c>
      <c r="D257" s="1" t="s">
        <v>1417</v>
      </c>
      <c r="E257" s="1" t="s">
        <v>1418</v>
      </c>
      <c r="F257" s="1"/>
      <c r="G257" s="1" t="s">
        <v>1407</v>
      </c>
      <c r="H257" s="6" t="s">
        <v>1419</v>
      </c>
      <c r="I257" s="1" t="s">
        <v>220</v>
      </c>
      <c r="J257" s="7">
        <v>46171</v>
      </c>
      <c r="K257" s="7">
        <v>46173</v>
      </c>
      <c r="L257" s="11">
        <v>0.41666666666424135</v>
      </c>
      <c r="M257" s="11">
        <v>0.83333333333575865</v>
      </c>
      <c r="N257" s="1" t="s">
        <v>73</v>
      </c>
      <c r="O257" s="1" t="s">
        <v>221</v>
      </c>
      <c r="P257" s="1" t="s">
        <v>221</v>
      </c>
      <c r="Q257" s="1" t="s">
        <v>47</v>
      </c>
      <c r="R257" s="1" t="s">
        <v>74</v>
      </c>
      <c r="S257" s="8">
        <v>30000</v>
      </c>
      <c r="T257" s="8">
        <v>50000</v>
      </c>
      <c r="U257" s="8">
        <v>25000</v>
      </c>
      <c r="V257" s="8">
        <v>40000</v>
      </c>
      <c r="W257" s="1" t="s">
        <v>1420</v>
      </c>
      <c r="X257" s="6" t="s">
        <v>1421</v>
      </c>
      <c r="Y257" s="1" t="s">
        <v>1422</v>
      </c>
      <c r="Z257" s="1" t="s">
        <v>66</v>
      </c>
      <c r="AA257" s="1" t="s">
        <v>66</v>
      </c>
      <c r="AB257" s="10" t="s">
        <v>66</v>
      </c>
      <c r="AC257" s="10" t="s">
        <v>68</v>
      </c>
      <c r="AD257" s="10" t="str">
        <f>IFERROR(VLOOKUP(B257,'Regiões Administrativas'!$A$1:$B$646,2,0),"")</f>
        <v>RMSP</v>
      </c>
      <c r="AE257" s="10">
        <f>IFERROR(VLOOKUP(Form_Responses[[#This Row],[Município]],'Regiões Administrativas'!$A$1:$I$646,3,0),"")</f>
        <v>17109</v>
      </c>
      <c r="AF257" s="10">
        <f>IFERROR(VLOOKUP(Form_Responses[[#This Row],[Município]],'Regiões Administrativas'!$A$1:$I$646,4,0),"")</f>
        <v>354780905000001</v>
      </c>
      <c r="AG257" s="10">
        <f>IFERROR(VLOOKUP(Form_Responses[[#This Row],[Município]],'Regiões Administrativas'!$A$1:$I$646,4,0),"")</f>
        <v>354780905000001</v>
      </c>
      <c r="AH257" s="10">
        <f>IFERROR(VLOOKUP(B257,'Regiões Administrativas'!$A$1:$I$646,5,0),"")</f>
        <v>3547809</v>
      </c>
      <c r="AI257" s="10">
        <f>IFERROR(VLOOKUP(B257,'Regiões Administrativas'!$A$1:$I$646,6,0),"")</f>
        <v>-46.530874300000001</v>
      </c>
      <c r="AJ257" s="10">
        <f>IFERROR(VLOOKUP(B257,'Regiões Administrativas'!$A$1:$I$646,8,0),"")</f>
        <v>764.09666800000002</v>
      </c>
      <c r="AK257" s="10" t="str">
        <f>IFERROR(VLOOKUP(Form_Responses[[#This Row],[Município]],'Regiões Administrativas'!$A$1:$I$646,9,0),"")</f>
        <v>1J6tob;.8U1-</v>
      </c>
    </row>
    <row r="258" spans="1:37" ht="22.5" customHeight="1">
      <c r="A258" s="13">
        <v>46030.526727893521</v>
      </c>
      <c r="B258" s="1" t="s">
        <v>1323</v>
      </c>
      <c r="C258" s="1" t="s">
        <v>1324</v>
      </c>
      <c r="D258" s="1" t="s">
        <v>1423</v>
      </c>
      <c r="E258" s="1" t="s">
        <v>1424</v>
      </c>
      <c r="F258" s="1"/>
      <c r="G258" s="1" t="s">
        <v>1425</v>
      </c>
      <c r="H258" s="6" t="s">
        <v>1426</v>
      </c>
      <c r="I258" s="1" t="s">
        <v>72</v>
      </c>
      <c r="J258" s="7">
        <v>46221</v>
      </c>
      <c r="K258" s="7">
        <v>46229</v>
      </c>
      <c r="L258" s="11">
        <v>0.41666666666424135</v>
      </c>
      <c r="M258" s="11">
        <v>0.75</v>
      </c>
      <c r="N258" s="1" t="s">
        <v>73</v>
      </c>
      <c r="O258" s="1" t="s">
        <v>45</v>
      </c>
      <c r="P258" s="1" t="s">
        <v>99</v>
      </c>
      <c r="Q258" s="1" t="s">
        <v>47</v>
      </c>
      <c r="R258" s="1" t="s">
        <v>74</v>
      </c>
      <c r="S258" s="8">
        <v>250000</v>
      </c>
      <c r="T258" s="8">
        <v>250000</v>
      </c>
      <c r="U258" s="8">
        <v>250000</v>
      </c>
      <c r="V258" s="8">
        <v>200000</v>
      </c>
      <c r="W258" s="1" t="s">
        <v>1427</v>
      </c>
      <c r="X258" s="1"/>
      <c r="Y258" s="1" t="s">
        <v>1341</v>
      </c>
      <c r="Z258" s="1" t="s">
        <v>66</v>
      </c>
      <c r="AA258" s="1" t="s">
        <v>66</v>
      </c>
      <c r="AB258" s="10" t="s">
        <v>54</v>
      </c>
      <c r="AC258" s="10" t="s">
        <v>68</v>
      </c>
      <c r="AD258" s="10" t="str">
        <f>IFERROR(VLOOKUP(B258,'Regiões Administrativas'!$A$1:$B$646,2,0),"")</f>
        <v>RMSP</v>
      </c>
      <c r="AE258" s="10">
        <f>IFERROR(VLOOKUP(Form_Responses[[#This Row],[Município]],'Regiões Administrativas'!$A$1:$I$646,3,0),"")</f>
        <v>17109</v>
      </c>
      <c r="AF258" s="10">
        <f>IFERROR(VLOOKUP(Form_Responses[[#This Row],[Município]],'Regiões Administrativas'!$A$1:$I$646,4,0),"")</f>
        <v>354780905000001</v>
      </c>
      <c r="AG258" s="10">
        <f>IFERROR(VLOOKUP(Form_Responses[[#This Row],[Município]],'Regiões Administrativas'!$A$1:$I$646,4,0),"")</f>
        <v>354780905000001</v>
      </c>
      <c r="AH258" s="10">
        <f>IFERROR(VLOOKUP(B258,'Regiões Administrativas'!$A$1:$I$646,5,0),"")</f>
        <v>3547809</v>
      </c>
      <c r="AI258" s="10">
        <f>IFERROR(VLOOKUP(B258,'Regiões Administrativas'!$A$1:$I$646,6,0),"")</f>
        <v>-46.530874300000001</v>
      </c>
      <c r="AJ258" s="10">
        <f>IFERROR(VLOOKUP(B258,'Regiões Administrativas'!$A$1:$I$646,8,0),"")</f>
        <v>764.09666800000002</v>
      </c>
      <c r="AK258" s="10" t="str">
        <f>IFERROR(VLOOKUP(Form_Responses[[#This Row],[Município]],'Regiões Administrativas'!$A$1:$I$646,9,0),"")</f>
        <v>1J6tob;.8U1-</v>
      </c>
    </row>
    <row r="259" spans="1:37" ht="22.5" customHeight="1">
      <c r="A259" s="13">
        <v>46030.533028645834</v>
      </c>
      <c r="B259" s="1" t="s">
        <v>1323</v>
      </c>
      <c r="C259" s="1" t="s">
        <v>1324</v>
      </c>
      <c r="D259" s="1" t="s">
        <v>1428</v>
      </c>
      <c r="E259" s="1" t="s">
        <v>1429</v>
      </c>
      <c r="F259" s="1"/>
      <c r="G259" s="1" t="s">
        <v>1407</v>
      </c>
      <c r="H259" s="6" t="s">
        <v>1430</v>
      </c>
      <c r="I259" s="1" t="s">
        <v>81</v>
      </c>
      <c r="J259" s="7">
        <v>46277</v>
      </c>
      <c r="K259" s="7">
        <v>46278</v>
      </c>
      <c r="L259" s="11">
        <v>0.41666666666424135</v>
      </c>
      <c r="M259" s="11">
        <v>0.75</v>
      </c>
      <c r="N259" s="1" t="s">
        <v>73</v>
      </c>
      <c r="O259" s="1" t="s">
        <v>45</v>
      </c>
      <c r="P259" s="1" t="s">
        <v>63</v>
      </c>
      <c r="Q259" s="1" t="s">
        <v>47</v>
      </c>
      <c r="R259" s="1" t="s">
        <v>48</v>
      </c>
      <c r="S259" s="8">
        <v>8000</v>
      </c>
      <c r="T259" s="8">
        <v>8000</v>
      </c>
      <c r="U259" s="8">
        <v>8000</v>
      </c>
      <c r="V259" s="8">
        <v>2000</v>
      </c>
      <c r="W259" s="1" t="s">
        <v>1431</v>
      </c>
      <c r="X259" s="1"/>
      <c r="Y259" s="1" t="s">
        <v>1432</v>
      </c>
      <c r="Z259" s="1" t="s">
        <v>76</v>
      </c>
      <c r="AA259" s="1" t="s">
        <v>113</v>
      </c>
      <c r="AB259" s="10" t="s">
        <v>66</v>
      </c>
      <c r="AC259" s="10" t="s">
        <v>68</v>
      </c>
      <c r="AD259" s="10" t="str">
        <f>IFERROR(VLOOKUP(B259,'Regiões Administrativas'!$A$1:$B$646,2,0),"")</f>
        <v>RMSP</v>
      </c>
      <c r="AE259" s="10">
        <f>IFERROR(VLOOKUP(Form_Responses[[#This Row],[Município]],'Regiões Administrativas'!$A$1:$I$646,3,0),"")</f>
        <v>17109</v>
      </c>
      <c r="AF259" s="10">
        <f>IFERROR(VLOOKUP(Form_Responses[[#This Row],[Município]],'Regiões Administrativas'!$A$1:$I$646,4,0),"")</f>
        <v>354780905000001</v>
      </c>
      <c r="AG259" s="10">
        <f>IFERROR(VLOOKUP(Form_Responses[[#This Row],[Município]],'Regiões Administrativas'!$A$1:$I$646,4,0),"")</f>
        <v>354780905000001</v>
      </c>
      <c r="AH259" s="10">
        <f>IFERROR(VLOOKUP(B259,'Regiões Administrativas'!$A$1:$I$646,5,0),"")</f>
        <v>3547809</v>
      </c>
      <c r="AI259" s="10">
        <f>IFERROR(VLOOKUP(B259,'Regiões Administrativas'!$A$1:$I$646,6,0),"")</f>
        <v>-46.530874300000001</v>
      </c>
      <c r="AJ259" s="10">
        <f>IFERROR(VLOOKUP(B259,'Regiões Administrativas'!$A$1:$I$646,8,0),"")</f>
        <v>764.09666800000002</v>
      </c>
      <c r="AK259" s="10" t="str">
        <f>IFERROR(VLOOKUP(Form_Responses[[#This Row],[Município]],'Regiões Administrativas'!$A$1:$I$646,9,0),"")</f>
        <v>1J6tob;.8U1-</v>
      </c>
    </row>
    <row r="260" spans="1:37" ht="22.5" customHeight="1">
      <c r="A260" s="13">
        <v>46030.602018287042</v>
      </c>
      <c r="B260" s="1" t="s">
        <v>1273</v>
      </c>
      <c r="C260" s="1" t="s">
        <v>1274</v>
      </c>
      <c r="D260" s="1" t="s">
        <v>1433</v>
      </c>
      <c r="E260" s="1" t="s">
        <v>1434</v>
      </c>
      <c r="F260" s="1"/>
      <c r="G260" s="1" t="s">
        <v>1435</v>
      </c>
      <c r="H260" s="1"/>
      <c r="I260" s="1" t="s">
        <v>72</v>
      </c>
      <c r="J260" s="7">
        <v>46220</v>
      </c>
      <c r="K260" s="7">
        <v>46222</v>
      </c>
      <c r="L260" s="11">
        <v>0.375</v>
      </c>
      <c r="M260" s="11">
        <v>0.70833333333575865</v>
      </c>
      <c r="N260" s="1" t="s">
        <v>268</v>
      </c>
      <c r="O260" s="1" t="s">
        <v>234</v>
      </c>
      <c r="P260" s="1" t="s">
        <v>63</v>
      </c>
      <c r="Q260" s="1" t="s">
        <v>47</v>
      </c>
      <c r="R260" s="1" t="s">
        <v>74</v>
      </c>
      <c r="S260" s="8">
        <v>1500</v>
      </c>
      <c r="T260" s="8"/>
      <c r="U260" s="8"/>
      <c r="V260" s="8"/>
      <c r="W260" s="1" t="s">
        <v>1278</v>
      </c>
      <c r="X260" s="1"/>
      <c r="Y260" s="1" t="s">
        <v>1279</v>
      </c>
      <c r="Z260" s="1" t="s">
        <v>76</v>
      </c>
      <c r="AA260" s="1" t="s">
        <v>113</v>
      </c>
      <c r="AB260" s="10" t="s">
        <v>66</v>
      </c>
      <c r="AC260" s="10" t="s">
        <v>68</v>
      </c>
      <c r="AD260" s="10" t="str">
        <f>IFERROR(VLOOKUP(B260,'Regiões Administrativas'!$A$1:$B$646,2,0),"")</f>
        <v>Sorocaba</v>
      </c>
      <c r="AE260" s="10">
        <f>IFERROR(VLOOKUP(Form_Responses[[#This Row],[Município]],'Regiões Administrativas'!$A$1:$I$646,3,0),"")</f>
        <v>16783</v>
      </c>
      <c r="AF260" s="10">
        <f>IFERROR(VLOOKUP(Form_Responses[[#This Row],[Município]],'Regiões Administrativas'!$A$1:$I$646,4,0),"")</f>
        <v>353780005000001</v>
      </c>
      <c r="AG260" s="10">
        <f>IFERROR(VLOOKUP(Form_Responses[[#This Row],[Município]],'Regiões Administrativas'!$A$1:$I$646,4,0),"")</f>
        <v>353780005000001</v>
      </c>
      <c r="AH260" s="10">
        <f>IFERROR(VLOOKUP(B260,'Regiões Administrativas'!$A$1:$I$646,5,0),"")</f>
        <v>3537800</v>
      </c>
      <c r="AI260" s="10">
        <f>IFERROR(VLOOKUP(B260,'Regiões Administrativas'!$A$1:$I$646,6,0),"")</f>
        <v>-47.418015199999999</v>
      </c>
      <c r="AJ260" s="10">
        <f>IFERROR(VLOOKUP(B260,'Regiões Administrativas'!$A$1:$I$646,8,0),"")</f>
        <v>805.44356400000004</v>
      </c>
      <c r="AK260" s="10" t="str">
        <f>IFERROR(VLOOKUP(Form_Responses[[#This Row],[Município]],'Regiões Administrativas'!$A$1:$I$646,9,0),"")</f>
        <v>1J6tM^v4t3;p</v>
      </c>
    </row>
    <row r="261" spans="1:37" ht="22.5" customHeight="1">
      <c r="A261" s="13">
        <v>46030.607324479162</v>
      </c>
      <c r="B261" s="1" t="s">
        <v>1273</v>
      </c>
      <c r="C261" s="1" t="s">
        <v>1274</v>
      </c>
      <c r="D261" s="1" t="s">
        <v>1436</v>
      </c>
      <c r="E261" s="1" t="s">
        <v>1437</v>
      </c>
      <c r="F261" s="1"/>
      <c r="G261" s="1" t="s">
        <v>1438</v>
      </c>
      <c r="H261" s="1"/>
      <c r="I261" s="1" t="s">
        <v>72</v>
      </c>
      <c r="J261" s="7">
        <v>46229</v>
      </c>
      <c r="K261" s="1"/>
      <c r="L261" s="11">
        <v>0.58333333333575865</v>
      </c>
      <c r="M261" s="1"/>
      <c r="N261" s="1" t="s">
        <v>421</v>
      </c>
      <c r="O261" s="1" t="s">
        <v>234</v>
      </c>
      <c r="P261" s="1" t="s">
        <v>63</v>
      </c>
      <c r="Q261" s="1" t="s">
        <v>47</v>
      </c>
      <c r="R261" s="1" t="s">
        <v>74</v>
      </c>
      <c r="S261" s="8">
        <v>3000</v>
      </c>
      <c r="T261" s="8"/>
      <c r="U261" s="8"/>
      <c r="V261" s="8"/>
      <c r="W261" s="1" t="s">
        <v>1315</v>
      </c>
      <c r="X261" s="1"/>
      <c r="Y261" s="1" t="s">
        <v>1279</v>
      </c>
      <c r="Z261" s="1" t="s">
        <v>66</v>
      </c>
      <c r="AA261" s="1" t="s">
        <v>66</v>
      </c>
      <c r="AB261" s="10" t="s">
        <v>66</v>
      </c>
      <c r="AC261" s="10" t="s">
        <v>68</v>
      </c>
      <c r="AD261" s="10" t="str">
        <f>IFERROR(VLOOKUP(B261,'Regiões Administrativas'!$A$1:$B$646,2,0),"")</f>
        <v>Sorocaba</v>
      </c>
      <c r="AE261" s="10">
        <f>IFERROR(VLOOKUP(Form_Responses[[#This Row],[Município]],'Regiões Administrativas'!$A$1:$I$646,3,0),"")</f>
        <v>16783</v>
      </c>
      <c r="AF261" s="10">
        <f>IFERROR(VLOOKUP(Form_Responses[[#This Row],[Município]],'Regiões Administrativas'!$A$1:$I$646,4,0),"")</f>
        <v>353780005000001</v>
      </c>
      <c r="AG261" s="10">
        <f>IFERROR(VLOOKUP(Form_Responses[[#This Row],[Município]],'Regiões Administrativas'!$A$1:$I$646,4,0),"")</f>
        <v>353780005000001</v>
      </c>
      <c r="AH261" s="10">
        <f>IFERROR(VLOOKUP(B261,'Regiões Administrativas'!$A$1:$I$646,5,0),"")</f>
        <v>3537800</v>
      </c>
      <c r="AI261" s="10">
        <f>IFERROR(VLOOKUP(B261,'Regiões Administrativas'!$A$1:$I$646,6,0),"")</f>
        <v>-47.418015199999999</v>
      </c>
      <c r="AJ261" s="10">
        <f>IFERROR(VLOOKUP(B261,'Regiões Administrativas'!$A$1:$I$646,8,0),"")</f>
        <v>805.44356400000004</v>
      </c>
      <c r="AK261" s="10" t="str">
        <f>IFERROR(VLOOKUP(Form_Responses[[#This Row],[Município]],'Regiões Administrativas'!$A$1:$I$646,9,0),"")</f>
        <v>1J6tM^v4t3;p</v>
      </c>
    </row>
    <row r="262" spans="1:37" ht="22.5" customHeight="1">
      <c r="A262" s="5">
        <v>46030.620210856483</v>
      </c>
      <c r="B262" s="1" t="s">
        <v>655</v>
      </c>
      <c r="C262" s="1" t="s">
        <v>656</v>
      </c>
      <c r="D262" s="1" t="s">
        <v>1439</v>
      </c>
      <c r="E262" s="1" t="s">
        <v>1440</v>
      </c>
      <c r="F262" s="1"/>
      <c r="G262" s="1" t="s">
        <v>1441</v>
      </c>
      <c r="H262" s="6" t="s">
        <v>1442</v>
      </c>
      <c r="I262" s="1" t="s">
        <v>267</v>
      </c>
      <c r="J262" s="7">
        <v>46045</v>
      </c>
      <c r="K262" s="7">
        <v>46048</v>
      </c>
      <c r="L262" s="1"/>
      <c r="M262" s="1"/>
      <c r="N262" s="1" t="s">
        <v>44</v>
      </c>
      <c r="O262" s="1" t="s">
        <v>45</v>
      </c>
      <c r="P262" s="1" t="s">
        <v>235</v>
      </c>
      <c r="Q262" s="1" t="s">
        <v>47</v>
      </c>
      <c r="R262" s="1" t="s">
        <v>74</v>
      </c>
      <c r="S262" s="8">
        <v>5000</v>
      </c>
      <c r="T262" s="8"/>
      <c r="U262" s="8"/>
      <c r="V262" s="8"/>
      <c r="W262" s="1" t="s">
        <v>1443</v>
      </c>
      <c r="X262" s="1"/>
      <c r="Y262" s="1" t="s">
        <v>1246</v>
      </c>
      <c r="Z262" s="1" t="s">
        <v>66</v>
      </c>
      <c r="AA262" s="1" t="s">
        <v>66</v>
      </c>
      <c r="AB262" s="10" t="s">
        <v>66</v>
      </c>
      <c r="AC262" s="10" t="s">
        <v>68</v>
      </c>
      <c r="AD262" s="10" t="str">
        <f>IFERROR(VLOOKUP(B262,'Regiões Administrativas'!$A$1:$B$646,2,0),"")</f>
        <v>Itapeva</v>
      </c>
      <c r="AE262" s="10">
        <f>IFERROR(VLOOKUP(Form_Responses[[#This Row],[Município]],'Regiões Administrativas'!$A$1:$I$646,3,0),"")</f>
        <v>16130</v>
      </c>
      <c r="AF262" s="10">
        <f>IFERROR(VLOOKUP(Form_Responses[[#This Row],[Município]],'Regiões Administrativas'!$A$1:$I$646,4,0),"")</f>
        <v>352320605000001</v>
      </c>
      <c r="AG262" s="10">
        <f>IFERROR(VLOOKUP(Form_Responses[[#This Row],[Município]],'Regiões Administrativas'!$A$1:$I$646,4,0),"")</f>
        <v>352320605000001</v>
      </c>
      <c r="AH262" s="10">
        <f>IFERROR(VLOOKUP(B262,'Regiões Administrativas'!$A$1:$I$646,5,0),"")</f>
        <v>3523206</v>
      </c>
      <c r="AI262" s="10">
        <f>IFERROR(VLOOKUP(B262,'Regiões Administrativas'!$A$1:$I$646,6,0),"")</f>
        <v>-49.336119699999998</v>
      </c>
      <c r="AJ262" s="10">
        <f>IFERROR(VLOOKUP(B262,'Regiões Administrativas'!$A$1:$I$646,8,0),"")</f>
        <v>734.12665600000003</v>
      </c>
      <c r="AK262" s="10" t="str">
        <f>IFERROR(VLOOKUP(Form_Responses[[#This Row],[Município]],'Regiões Administrativas'!$A$1:$I$646,9,0),"")</f>
        <v>1J6S29)Jh3)p</v>
      </c>
    </row>
    <row r="263" spans="1:37" ht="22.5" customHeight="1">
      <c r="A263" s="13">
        <v>46030.622647349534</v>
      </c>
      <c r="B263" s="1" t="s">
        <v>1273</v>
      </c>
      <c r="C263" s="1" t="s">
        <v>1274</v>
      </c>
      <c r="D263" s="1" t="s">
        <v>1444</v>
      </c>
      <c r="E263" s="1" t="s">
        <v>1445</v>
      </c>
      <c r="F263" s="1"/>
      <c r="G263" s="1" t="s">
        <v>1289</v>
      </c>
      <c r="H263" s="1"/>
      <c r="I263" s="1" t="s">
        <v>43</v>
      </c>
      <c r="J263" s="7">
        <v>46242</v>
      </c>
      <c r="K263" s="7">
        <v>46250</v>
      </c>
      <c r="L263" s="1"/>
      <c r="M263" s="1"/>
      <c r="N263" s="1" t="s">
        <v>44</v>
      </c>
      <c r="O263" s="1" t="s">
        <v>221</v>
      </c>
      <c r="P263" s="1" t="s">
        <v>221</v>
      </c>
      <c r="Q263" s="1" t="s">
        <v>47</v>
      </c>
      <c r="R263" s="1" t="s">
        <v>74</v>
      </c>
      <c r="S263" s="8">
        <v>3000</v>
      </c>
      <c r="T263" s="8"/>
      <c r="U263" s="8"/>
      <c r="V263" s="8"/>
      <c r="W263" s="1" t="s">
        <v>1446</v>
      </c>
      <c r="X263" s="1"/>
      <c r="Y263" s="1" t="s">
        <v>1279</v>
      </c>
      <c r="Z263" s="1" t="s">
        <v>76</v>
      </c>
      <c r="AA263" s="1" t="s">
        <v>225</v>
      </c>
      <c r="AB263" s="10" t="s">
        <v>66</v>
      </c>
      <c r="AC263" s="10" t="s">
        <v>68</v>
      </c>
      <c r="AD263" s="10" t="str">
        <f>IFERROR(VLOOKUP(B263,'Regiões Administrativas'!$A$1:$B$646,2,0),"")</f>
        <v>Sorocaba</v>
      </c>
      <c r="AE263" s="10">
        <f>IFERROR(VLOOKUP(Form_Responses[[#This Row],[Município]],'Regiões Administrativas'!$A$1:$I$646,3,0),"")</f>
        <v>16783</v>
      </c>
      <c r="AF263" s="10">
        <f>IFERROR(VLOOKUP(Form_Responses[[#This Row],[Município]],'Regiões Administrativas'!$A$1:$I$646,4,0),"")</f>
        <v>353780005000001</v>
      </c>
      <c r="AG263" s="10">
        <f>IFERROR(VLOOKUP(Form_Responses[[#This Row],[Município]],'Regiões Administrativas'!$A$1:$I$646,4,0),"")</f>
        <v>353780005000001</v>
      </c>
      <c r="AH263" s="10">
        <f>IFERROR(VLOOKUP(B263,'Regiões Administrativas'!$A$1:$I$646,5,0),"")</f>
        <v>3537800</v>
      </c>
      <c r="AI263" s="10">
        <f>IFERROR(VLOOKUP(B263,'Regiões Administrativas'!$A$1:$I$646,6,0),"")</f>
        <v>-47.418015199999999</v>
      </c>
      <c r="AJ263" s="10">
        <f>IFERROR(VLOOKUP(B263,'Regiões Administrativas'!$A$1:$I$646,8,0),"")</f>
        <v>805.44356400000004</v>
      </c>
      <c r="AK263" s="10" t="str">
        <f>IFERROR(VLOOKUP(Form_Responses[[#This Row],[Município]],'Regiões Administrativas'!$A$1:$I$646,9,0),"")</f>
        <v>1J6tM^v4t3;p</v>
      </c>
    </row>
    <row r="264" spans="1:37" ht="22.5" customHeight="1">
      <c r="A264" s="13">
        <v>46030.633381006948</v>
      </c>
      <c r="B264" s="1" t="s">
        <v>1273</v>
      </c>
      <c r="C264" s="1" t="s">
        <v>1274</v>
      </c>
      <c r="D264" s="1" t="s">
        <v>1447</v>
      </c>
      <c r="E264" s="1" t="s">
        <v>1448</v>
      </c>
      <c r="F264" s="1"/>
      <c r="G264" s="1" t="s">
        <v>1449</v>
      </c>
      <c r="H264" s="1"/>
      <c r="I264" s="1" t="s">
        <v>81</v>
      </c>
      <c r="J264" s="7">
        <v>46291</v>
      </c>
      <c r="K264" s="1"/>
      <c r="L264" s="11">
        <v>0.79166666666424135</v>
      </c>
      <c r="M264" s="1"/>
      <c r="N264" s="1" t="s">
        <v>110</v>
      </c>
      <c r="O264" s="1" t="s">
        <v>45</v>
      </c>
      <c r="P264" s="1" t="s">
        <v>63</v>
      </c>
      <c r="Q264" s="1" t="s">
        <v>47</v>
      </c>
      <c r="R264" s="1" t="s">
        <v>74</v>
      </c>
      <c r="S264" s="8">
        <v>1000</v>
      </c>
      <c r="T264" s="8"/>
      <c r="U264" s="8"/>
      <c r="V264" s="8"/>
      <c r="W264" s="1" t="s">
        <v>1450</v>
      </c>
      <c r="X264" s="1"/>
      <c r="Y264" s="1" t="s">
        <v>1279</v>
      </c>
      <c r="Z264" s="1" t="s">
        <v>76</v>
      </c>
      <c r="AA264" s="1" t="s">
        <v>225</v>
      </c>
      <c r="AB264" s="10" t="s">
        <v>66</v>
      </c>
      <c r="AC264" s="10" t="s">
        <v>68</v>
      </c>
      <c r="AD264" s="10" t="str">
        <f>IFERROR(VLOOKUP(B264,'Regiões Administrativas'!$A$1:$B$646,2,0),"")</f>
        <v>Sorocaba</v>
      </c>
      <c r="AE264" s="10">
        <f>IFERROR(VLOOKUP(Form_Responses[[#This Row],[Município]],'Regiões Administrativas'!$A$1:$I$646,3,0),"")</f>
        <v>16783</v>
      </c>
      <c r="AF264" s="10">
        <f>IFERROR(VLOOKUP(Form_Responses[[#This Row],[Município]],'Regiões Administrativas'!$A$1:$I$646,4,0),"")</f>
        <v>353780005000001</v>
      </c>
      <c r="AG264" s="10">
        <f>IFERROR(VLOOKUP(Form_Responses[[#This Row],[Município]],'Regiões Administrativas'!$A$1:$I$646,4,0),"")</f>
        <v>353780005000001</v>
      </c>
      <c r="AH264" s="10">
        <f>IFERROR(VLOOKUP(B264,'Regiões Administrativas'!$A$1:$I$646,5,0),"")</f>
        <v>3537800</v>
      </c>
      <c r="AI264" s="10">
        <f>IFERROR(VLOOKUP(B264,'Regiões Administrativas'!$A$1:$I$646,6,0),"")</f>
        <v>-47.418015199999999</v>
      </c>
      <c r="AJ264" s="10">
        <f>IFERROR(VLOOKUP(B264,'Regiões Administrativas'!$A$1:$I$646,8,0),"")</f>
        <v>805.44356400000004</v>
      </c>
      <c r="AK264" s="10" t="str">
        <f>IFERROR(VLOOKUP(Form_Responses[[#This Row],[Município]],'Regiões Administrativas'!$A$1:$I$646,9,0),"")</f>
        <v>1J6tM^v4t3;p</v>
      </c>
    </row>
    <row r="265" spans="1:37" ht="22.5" customHeight="1">
      <c r="A265" s="13">
        <v>46030.633914895836</v>
      </c>
      <c r="B265" s="1" t="s">
        <v>655</v>
      </c>
      <c r="C265" s="1" t="s">
        <v>656</v>
      </c>
      <c r="D265" s="1" t="s">
        <v>1451</v>
      </c>
      <c r="E265" s="1" t="s">
        <v>1452</v>
      </c>
      <c r="F265" s="1"/>
      <c r="G265" s="1" t="s">
        <v>1441</v>
      </c>
      <c r="H265" s="1"/>
      <c r="I265" s="1" t="s">
        <v>43</v>
      </c>
      <c r="J265" s="7">
        <v>46261</v>
      </c>
      <c r="K265" s="7">
        <v>46264</v>
      </c>
      <c r="L265" s="1"/>
      <c r="M265" s="1"/>
      <c r="N265" s="1" t="s">
        <v>44</v>
      </c>
      <c r="O265" s="1" t="s">
        <v>234</v>
      </c>
      <c r="P265" s="1" t="s">
        <v>46</v>
      </c>
      <c r="Q265" s="1" t="s">
        <v>47</v>
      </c>
      <c r="R265" s="1" t="s">
        <v>48</v>
      </c>
      <c r="S265" s="8">
        <v>20000</v>
      </c>
      <c r="T265" s="8">
        <v>19000</v>
      </c>
      <c r="U265" s="8">
        <v>18000</v>
      </c>
      <c r="V265" s="8">
        <v>15000</v>
      </c>
      <c r="W265" s="1" t="s">
        <v>1453</v>
      </c>
      <c r="X265" s="1"/>
      <c r="Y265" s="1" t="s">
        <v>1246</v>
      </c>
      <c r="Z265" s="1" t="s">
        <v>76</v>
      </c>
      <c r="AA265" s="1" t="s">
        <v>93</v>
      </c>
      <c r="AB265" s="10" t="s">
        <v>66</v>
      </c>
      <c r="AC265" s="10" t="s">
        <v>68</v>
      </c>
      <c r="AD265" s="10" t="str">
        <f>IFERROR(VLOOKUP(B265,'Regiões Administrativas'!$A$1:$B$646,2,0),"")</f>
        <v>Itapeva</v>
      </c>
      <c r="AE265" s="10">
        <f>IFERROR(VLOOKUP(Form_Responses[[#This Row],[Município]],'Regiões Administrativas'!$A$1:$I$646,3,0),"")</f>
        <v>16130</v>
      </c>
      <c r="AF265" s="10">
        <f>IFERROR(VLOOKUP(Form_Responses[[#This Row],[Município]],'Regiões Administrativas'!$A$1:$I$646,4,0),"")</f>
        <v>352320605000001</v>
      </c>
      <c r="AG265" s="10">
        <f>IFERROR(VLOOKUP(Form_Responses[[#This Row],[Município]],'Regiões Administrativas'!$A$1:$I$646,4,0),"")</f>
        <v>352320605000001</v>
      </c>
      <c r="AH265" s="10">
        <f>IFERROR(VLOOKUP(B265,'Regiões Administrativas'!$A$1:$I$646,5,0),"")</f>
        <v>3523206</v>
      </c>
      <c r="AI265" s="10">
        <f>IFERROR(VLOOKUP(B265,'Regiões Administrativas'!$A$1:$I$646,6,0),"")</f>
        <v>-49.336119699999998</v>
      </c>
      <c r="AJ265" s="10">
        <f>IFERROR(VLOOKUP(B265,'Regiões Administrativas'!$A$1:$I$646,8,0),"")</f>
        <v>734.12665600000003</v>
      </c>
      <c r="AK265" s="10" t="str">
        <f>IFERROR(VLOOKUP(Form_Responses[[#This Row],[Município]],'Regiões Administrativas'!$A$1:$I$646,9,0),"")</f>
        <v>1J6S29)Jh3)p</v>
      </c>
    </row>
    <row r="266" spans="1:37" ht="22.5" customHeight="1">
      <c r="A266" s="13">
        <v>46030.638490104167</v>
      </c>
      <c r="B266" s="1" t="s">
        <v>1273</v>
      </c>
      <c r="C266" s="1" t="s">
        <v>1274</v>
      </c>
      <c r="D266" s="1" t="s">
        <v>1454</v>
      </c>
      <c r="E266" s="1" t="s">
        <v>1455</v>
      </c>
      <c r="F266" s="1"/>
      <c r="G266" s="1" t="s">
        <v>1456</v>
      </c>
      <c r="H266" s="1"/>
      <c r="I266" s="1" t="s">
        <v>197</v>
      </c>
      <c r="J266" s="7">
        <v>46340</v>
      </c>
      <c r="K266" s="7">
        <v>46346</v>
      </c>
      <c r="L266" s="1"/>
      <c r="M266" s="1"/>
      <c r="N266" s="1" t="s">
        <v>98</v>
      </c>
      <c r="O266" s="1" t="s">
        <v>45</v>
      </c>
      <c r="P266" s="1" t="s">
        <v>63</v>
      </c>
      <c r="Q266" s="1" t="s">
        <v>47</v>
      </c>
      <c r="R266" s="1" t="s">
        <v>256</v>
      </c>
      <c r="S266" s="8">
        <v>1500</v>
      </c>
      <c r="T266" s="8"/>
      <c r="U266" s="8"/>
      <c r="V266" s="8"/>
      <c r="W266" s="1" t="s">
        <v>1315</v>
      </c>
      <c r="X266" s="1"/>
      <c r="Y266" s="1" t="s">
        <v>1279</v>
      </c>
      <c r="Z266" s="1" t="s">
        <v>76</v>
      </c>
      <c r="AA266" s="1" t="s">
        <v>225</v>
      </c>
      <c r="AB266" s="10" t="s">
        <v>66</v>
      </c>
      <c r="AC266" s="10" t="s">
        <v>733</v>
      </c>
      <c r="AD266" s="10" t="str">
        <f>IFERROR(VLOOKUP(B266,'Regiões Administrativas'!$A$1:$B$646,2,0),"")</f>
        <v>Sorocaba</v>
      </c>
      <c r="AE266" s="10">
        <f>IFERROR(VLOOKUP(Form_Responses[[#This Row],[Município]],'Regiões Administrativas'!$A$1:$I$646,3,0),"")</f>
        <v>16783</v>
      </c>
      <c r="AF266" s="10">
        <f>IFERROR(VLOOKUP(Form_Responses[[#This Row],[Município]],'Regiões Administrativas'!$A$1:$I$646,4,0),"")</f>
        <v>353780005000001</v>
      </c>
      <c r="AG266" s="10">
        <f>IFERROR(VLOOKUP(Form_Responses[[#This Row],[Município]],'Regiões Administrativas'!$A$1:$I$646,4,0),"")</f>
        <v>353780005000001</v>
      </c>
      <c r="AH266" s="10">
        <f>IFERROR(VLOOKUP(B266,'Regiões Administrativas'!$A$1:$I$646,5,0),"")</f>
        <v>3537800</v>
      </c>
      <c r="AI266" s="10">
        <f>IFERROR(VLOOKUP(B266,'Regiões Administrativas'!$A$1:$I$646,6,0),"")</f>
        <v>-47.418015199999999</v>
      </c>
      <c r="AJ266" s="10">
        <f>IFERROR(VLOOKUP(B266,'Regiões Administrativas'!$A$1:$I$646,8,0),"")</f>
        <v>805.44356400000004</v>
      </c>
      <c r="AK266" s="10" t="str">
        <f>IFERROR(VLOOKUP(Form_Responses[[#This Row],[Município]],'Regiões Administrativas'!$A$1:$I$646,9,0),"")</f>
        <v>1J6tM^v4t3;p</v>
      </c>
    </row>
    <row r="267" spans="1:37" ht="22.5" customHeight="1">
      <c r="A267" s="13">
        <v>46030.641500335652</v>
      </c>
      <c r="B267" s="1" t="s">
        <v>1273</v>
      </c>
      <c r="C267" s="1" t="s">
        <v>1274</v>
      </c>
      <c r="D267" s="1" t="s">
        <v>1457</v>
      </c>
      <c r="E267" s="1" t="s">
        <v>1458</v>
      </c>
      <c r="F267" s="1"/>
      <c r="G267" s="1" t="s">
        <v>1459</v>
      </c>
      <c r="H267" s="1"/>
      <c r="I267" s="1" t="s">
        <v>81</v>
      </c>
      <c r="J267" s="1"/>
      <c r="K267" s="1"/>
      <c r="L267" s="1"/>
      <c r="M267" s="1"/>
      <c r="N267" s="1" t="s">
        <v>268</v>
      </c>
      <c r="O267" s="1" t="s">
        <v>190</v>
      </c>
      <c r="P267" s="1" t="s">
        <v>63</v>
      </c>
      <c r="Q267" s="1" t="s">
        <v>47</v>
      </c>
      <c r="R267" s="1" t="s">
        <v>256</v>
      </c>
      <c r="S267" s="8">
        <v>1000</v>
      </c>
      <c r="T267" s="8"/>
      <c r="U267" s="8"/>
      <c r="V267" s="8"/>
      <c r="W267" s="1" t="s">
        <v>1459</v>
      </c>
      <c r="X267" s="1"/>
      <c r="Y267" s="1" t="s">
        <v>1460</v>
      </c>
      <c r="Z267" s="1" t="s">
        <v>66</v>
      </c>
      <c r="AA267" s="1" t="s">
        <v>66</v>
      </c>
      <c r="AB267" s="10" t="s">
        <v>66</v>
      </c>
      <c r="AC267" s="10" t="s">
        <v>68</v>
      </c>
      <c r="AD267" s="10" t="str">
        <f>IFERROR(VLOOKUP(B267,'Regiões Administrativas'!$A$1:$B$646,2,0),"")</f>
        <v>Sorocaba</v>
      </c>
      <c r="AE267" s="10">
        <f>IFERROR(VLOOKUP(Form_Responses[[#This Row],[Município]],'Regiões Administrativas'!$A$1:$I$646,3,0),"")</f>
        <v>16783</v>
      </c>
      <c r="AF267" s="10">
        <f>IFERROR(VLOOKUP(Form_Responses[[#This Row],[Município]],'Regiões Administrativas'!$A$1:$I$646,4,0),"")</f>
        <v>353780005000001</v>
      </c>
      <c r="AG267" s="10">
        <f>IFERROR(VLOOKUP(Form_Responses[[#This Row],[Município]],'Regiões Administrativas'!$A$1:$I$646,4,0),"")</f>
        <v>353780005000001</v>
      </c>
      <c r="AH267" s="10">
        <f>IFERROR(VLOOKUP(B267,'Regiões Administrativas'!$A$1:$I$646,5,0),"")</f>
        <v>3537800</v>
      </c>
      <c r="AI267" s="10">
        <f>IFERROR(VLOOKUP(B267,'Regiões Administrativas'!$A$1:$I$646,6,0),"")</f>
        <v>-47.418015199999999</v>
      </c>
      <c r="AJ267" s="10">
        <f>IFERROR(VLOOKUP(B267,'Regiões Administrativas'!$A$1:$I$646,8,0),"")</f>
        <v>805.44356400000004</v>
      </c>
      <c r="AK267" s="10" t="str">
        <f>IFERROR(VLOOKUP(Form_Responses[[#This Row],[Município]],'Regiões Administrativas'!$A$1:$I$646,9,0),"")</f>
        <v>1J6tM^v4t3;p</v>
      </c>
    </row>
    <row r="268" spans="1:37" ht="22.5" customHeight="1">
      <c r="A268" s="13">
        <v>46030.641993888887</v>
      </c>
      <c r="B268" s="1" t="s">
        <v>655</v>
      </c>
      <c r="C268" s="1" t="s">
        <v>656</v>
      </c>
      <c r="D268" s="1" t="s">
        <v>1461</v>
      </c>
      <c r="E268" s="1" t="s">
        <v>1462</v>
      </c>
      <c r="F268" s="1"/>
      <c r="G268" s="1" t="s">
        <v>1463</v>
      </c>
      <c r="H268" s="1"/>
      <c r="I268" s="1" t="s">
        <v>43</v>
      </c>
      <c r="J268" s="7">
        <v>46262</v>
      </c>
      <c r="K268" s="7">
        <v>46262</v>
      </c>
      <c r="L268" s="11">
        <v>0.375</v>
      </c>
      <c r="M268" s="11">
        <v>0.5</v>
      </c>
      <c r="N268" s="1" t="s">
        <v>421</v>
      </c>
      <c r="O268" s="1" t="s">
        <v>99</v>
      </c>
      <c r="P268" s="1" t="s">
        <v>99</v>
      </c>
      <c r="Q268" s="1" t="s">
        <v>47</v>
      </c>
      <c r="R268" s="1" t="s">
        <v>74</v>
      </c>
      <c r="S268" s="8">
        <v>6000</v>
      </c>
      <c r="T268" s="8"/>
      <c r="U268" s="8"/>
      <c r="V268" s="8"/>
      <c r="W268" s="1" t="s">
        <v>1464</v>
      </c>
      <c r="X268" s="1"/>
      <c r="Y268" s="1" t="s">
        <v>1246</v>
      </c>
      <c r="Z268" s="1" t="s">
        <v>76</v>
      </c>
      <c r="AA268" s="1" t="s">
        <v>93</v>
      </c>
      <c r="AB268" s="10" t="s">
        <v>66</v>
      </c>
      <c r="AC268" s="10" t="s">
        <v>68</v>
      </c>
      <c r="AD268" s="10" t="str">
        <f>IFERROR(VLOOKUP(B268,'Regiões Administrativas'!$A$1:$B$646,2,0),"")</f>
        <v>Itapeva</v>
      </c>
      <c r="AE268" s="10">
        <f>IFERROR(VLOOKUP(Form_Responses[[#This Row],[Município]],'Regiões Administrativas'!$A$1:$I$646,3,0),"")</f>
        <v>16130</v>
      </c>
      <c r="AF268" s="10">
        <f>IFERROR(VLOOKUP(Form_Responses[[#This Row],[Município]],'Regiões Administrativas'!$A$1:$I$646,4,0),"")</f>
        <v>352320605000001</v>
      </c>
      <c r="AG268" s="10">
        <f>IFERROR(VLOOKUP(Form_Responses[[#This Row],[Município]],'Regiões Administrativas'!$A$1:$I$646,4,0),"")</f>
        <v>352320605000001</v>
      </c>
      <c r="AH268" s="10">
        <f>IFERROR(VLOOKUP(B268,'Regiões Administrativas'!$A$1:$I$646,5,0),"")</f>
        <v>3523206</v>
      </c>
      <c r="AI268" s="10">
        <f>IFERROR(VLOOKUP(B268,'Regiões Administrativas'!$A$1:$I$646,6,0),"")</f>
        <v>-49.336119699999998</v>
      </c>
      <c r="AJ268" s="10">
        <f>IFERROR(VLOOKUP(B268,'Regiões Administrativas'!$A$1:$I$646,8,0),"")</f>
        <v>734.12665600000003</v>
      </c>
      <c r="AK268" s="10" t="str">
        <f>IFERROR(VLOOKUP(Form_Responses[[#This Row],[Município]],'Regiões Administrativas'!$A$1:$I$646,9,0),"")</f>
        <v>1J6S29)Jh3)p</v>
      </c>
    </row>
    <row r="269" spans="1:37" ht="22.5" customHeight="1">
      <c r="A269" s="13">
        <v>46030.650105127315</v>
      </c>
      <c r="B269" s="1" t="s">
        <v>1323</v>
      </c>
      <c r="C269" s="1" t="s">
        <v>1324</v>
      </c>
      <c r="D269" s="1" t="s">
        <v>1465</v>
      </c>
      <c r="E269" s="1" t="s">
        <v>1466</v>
      </c>
      <c r="F269" s="1"/>
      <c r="G269" s="1" t="s">
        <v>1407</v>
      </c>
      <c r="H269" s="1"/>
      <c r="I269" s="1" t="s">
        <v>255</v>
      </c>
      <c r="J269" s="7">
        <v>46326</v>
      </c>
      <c r="K269" s="7">
        <v>46327</v>
      </c>
      <c r="L269" s="11">
        <v>0.41666666666424135</v>
      </c>
      <c r="M269" s="11">
        <v>0.75</v>
      </c>
      <c r="N269" s="1" t="s">
        <v>44</v>
      </c>
      <c r="O269" s="1" t="s">
        <v>45</v>
      </c>
      <c r="P269" s="1" t="s">
        <v>63</v>
      </c>
      <c r="Q269" s="1" t="s">
        <v>47</v>
      </c>
      <c r="R269" s="1" t="s">
        <v>74</v>
      </c>
      <c r="S269" s="8">
        <v>150000</v>
      </c>
      <c r="T269" s="8">
        <v>150000</v>
      </c>
      <c r="U269" s="8">
        <v>120000</v>
      </c>
      <c r="V269" s="8"/>
      <c r="W269" s="1" t="s">
        <v>1467</v>
      </c>
      <c r="X269" s="1"/>
      <c r="Y269" s="1" t="s">
        <v>1341</v>
      </c>
      <c r="Z269" s="1" t="s">
        <v>66</v>
      </c>
      <c r="AA269" s="1" t="s">
        <v>66</v>
      </c>
      <c r="AB269" s="10" t="s">
        <v>66</v>
      </c>
      <c r="AC269" s="10" t="s">
        <v>68</v>
      </c>
      <c r="AD269" s="10" t="str">
        <f>IFERROR(VLOOKUP(B269,'Regiões Administrativas'!$A$1:$B$646,2,0),"")</f>
        <v>RMSP</v>
      </c>
      <c r="AE269" s="10">
        <f>IFERROR(VLOOKUP(Form_Responses[[#This Row],[Município]],'Regiões Administrativas'!$A$1:$I$646,3,0),"")</f>
        <v>17109</v>
      </c>
      <c r="AF269" s="10">
        <f>IFERROR(VLOOKUP(Form_Responses[[#This Row],[Município]],'Regiões Administrativas'!$A$1:$I$646,4,0),"")</f>
        <v>354780905000001</v>
      </c>
      <c r="AG269" s="10">
        <f>IFERROR(VLOOKUP(Form_Responses[[#This Row],[Município]],'Regiões Administrativas'!$A$1:$I$646,4,0),"")</f>
        <v>354780905000001</v>
      </c>
      <c r="AH269" s="10">
        <f>IFERROR(VLOOKUP(B269,'Regiões Administrativas'!$A$1:$I$646,5,0),"")</f>
        <v>3547809</v>
      </c>
      <c r="AI269" s="10">
        <f>IFERROR(VLOOKUP(B269,'Regiões Administrativas'!$A$1:$I$646,6,0),"")</f>
        <v>-46.530874300000001</v>
      </c>
      <c r="AJ269" s="10">
        <f>IFERROR(VLOOKUP(B269,'Regiões Administrativas'!$A$1:$I$646,8,0),"")</f>
        <v>764.09666800000002</v>
      </c>
      <c r="AK269" s="10" t="str">
        <f>IFERROR(VLOOKUP(Form_Responses[[#This Row],[Município]],'Regiões Administrativas'!$A$1:$I$646,9,0),"")</f>
        <v>1J6tob;.8U1-</v>
      </c>
    </row>
    <row r="270" spans="1:37" ht="22.5" customHeight="1">
      <c r="A270" s="13">
        <v>46030.650215810187</v>
      </c>
      <c r="B270" s="1" t="s">
        <v>655</v>
      </c>
      <c r="C270" s="1" t="s">
        <v>656</v>
      </c>
      <c r="D270" s="1" t="s">
        <v>1468</v>
      </c>
      <c r="E270" s="1" t="s">
        <v>1469</v>
      </c>
      <c r="F270" s="1"/>
      <c r="G270" s="1" t="s">
        <v>1470</v>
      </c>
      <c r="H270" s="1"/>
      <c r="I270" s="1" t="s">
        <v>72</v>
      </c>
      <c r="J270" s="7">
        <v>46212</v>
      </c>
      <c r="K270" s="1"/>
      <c r="L270" s="11">
        <v>0.375</v>
      </c>
      <c r="M270" s="1"/>
      <c r="N270" s="1" t="s">
        <v>268</v>
      </c>
      <c r="O270" s="1" t="s">
        <v>99</v>
      </c>
      <c r="P270" s="1" t="s">
        <v>99</v>
      </c>
      <c r="Q270" s="1" t="s">
        <v>47</v>
      </c>
      <c r="R270" s="1" t="s">
        <v>74</v>
      </c>
      <c r="S270" s="8">
        <v>2000</v>
      </c>
      <c r="T270" s="8"/>
      <c r="U270" s="8"/>
      <c r="V270" s="8"/>
      <c r="W270" s="1" t="s">
        <v>1464</v>
      </c>
      <c r="X270" s="1"/>
      <c r="Y270" s="1" t="s">
        <v>1246</v>
      </c>
      <c r="Z270" s="1" t="s">
        <v>66</v>
      </c>
      <c r="AA270" s="1" t="s">
        <v>66</v>
      </c>
      <c r="AB270" s="10" t="s">
        <v>66</v>
      </c>
      <c r="AC270" s="10" t="s">
        <v>68</v>
      </c>
      <c r="AD270" s="10" t="str">
        <f>IFERROR(VLOOKUP(B270,'Regiões Administrativas'!$A$1:$B$646,2,0),"")</f>
        <v>Itapeva</v>
      </c>
      <c r="AE270" s="10">
        <f>IFERROR(VLOOKUP(Form_Responses[[#This Row],[Município]],'Regiões Administrativas'!$A$1:$I$646,3,0),"")</f>
        <v>16130</v>
      </c>
      <c r="AF270" s="10">
        <f>IFERROR(VLOOKUP(Form_Responses[[#This Row],[Município]],'Regiões Administrativas'!$A$1:$I$646,4,0),"")</f>
        <v>352320605000001</v>
      </c>
      <c r="AG270" s="10">
        <f>IFERROR(VLOOKUP(Form_Responses[[#This Row],[Município]],'Regiões Administrativas'!$A$1:$I$646,4,0),"")</f>
        <v>352320605000001</v>
      </c>
      <c r="AH270" s="10">
        <f>IFERROR(VLOOKUP(B270,'Regiões Administrativas'!$A$1:$I$646,5,0),"")</f>
        <v>3523206</v>
      </c>
      <c r="AI270" s="10">
        <f>IFERROR(VLOOKUP(B270,'Regiões Administrativas'!$A$1:$I$646,6,0),"")</f>
        <v>-49.336119699999998</v>
      </c>
      <c r="AJ270" s="10">
        <f>IFERROR(VLOOKUP(B270,'Regiões Administrativas'!$A$1:$I$646,8,0),"")</f>
        <v>734.12665600000003</v>
      </c>
      <c r="AK270" s="10" t="str">
        <f>IFERROR(VLOOKUP(Form_Responses[[#This Row],[Município]],'Regiões Administrativas'!$A$1:$I$646,9,0),"")</f>
        <v>1J6S29)Jh3)p</v>
      </c>
    </row>
    <row r="271" spans="1:37" ht="22.5" customHeight="1">
      <c r="A271" s="13">
        <v>46030.650221527772</v>
      </c>
      <c r="B271" s="1" t="s">
        <v>1273</v>
      </c>
      <c r="C271" s="1" t="s">
        <v>1274</v>
      </c>
      <c r="D271" s="1" t="s">
        <v>1471</v>
      </c>
      <c r="E271" s="1" t="s">
        <v>1472</v>
      </c>
      <c r="F271" s="1"/>
      <c r="G271" s="1" t="s">
        <v>1314</v>
      </c>
      <c r="H271" s="1"/>
      <c r="I271" s="1" t="s">
        <v>255</v>
      </c>
      <c r="J271" s="1"/>
      <c r="K271" s="1"/>
      <c r="L271" s="1"/>
      <c r="M271" s="1"/>
      <c r="N271" s="1" t="s">
        <v>268</v>
      </c>
      <c r="O271" s="1" t="s">
        <v>190</v>
      </c>
      <c r="P271" s="1" t="s">
        <v>63</v>
      </c>
      <c r="Q271" s="1" t="s">
        <v>47</v>
      </c>
      <c r="R271" s="1" t="s">
        <v>256</v>
      </c>
      <c r="S271" s="8">
        <v>10000</v>
      </c>
      <c r="T271" s="8"/>
      <c r="U271" s="8"/>
      <c r="V271" s="8"/>
      <c r="W271" s="1" t="s">
        <v>1473</v>
      </c>
      <c r="X271" s="1"/>
      <c r="Y271" s="1" t="s">
        <v>1279</v>
      </c>
      <c r="Z271" s="1" t="s">
        <v>76</v>
      </c>
      <c r="AA271" s="1" t="s">
        <v>225</v>
      </c>
      <c r="AB271" s="10" t="s">
        <v>66</v>
      </c>
      <c r="AC271" s="10" t="s">
        <v>68</v>
      </c>
      <c r="AD271" s="10" t="str">
        <f>IFERROR(VLOOKUP(B271,'Regiões Administrativas'!$A$1:$B$646,2,0),"")</f>
        <v>Sorocaba</v>
      </c>
      <c r="AE271" s="10">
        <f>IFERROR(VLOOKUP(Form_Responses[[#This Row],[Município]],'Regiões Administrativas'!$A$1:$I$646,3,0),"")</f>
        <v>16783</v>
      </c>
      <c r="AF271" s="10">
        <f>IFERROR(VLOOKUP(Form_Responses[[#This Row],[Município]],'Regiões Administrativas'!$A$1:$I$646,4,0),"")</f>
        <v>353780005000001</v>
      </c>
      <c r="AG271" s="10">
        <f>IFERROR(VLOOKUP(Form_Responses[[#This Row],[Município]],'Regiões Administrativas'!$A$1:$I$646,4,0),"")</f>
        <v>353780005000001</v>
      </c>
      <c r="AH271" s="10">
        <f>IFERROR(VLOOKUP(B271,'Regiões Administrativas'!$A$1:$I$646,5,0),"")</f>
        <v>3537800</v>
      </c>
      <c r="AI271" s="10">
        <f>IFERROR(VLOOKUP(B271,'Regiões Administrativas'!$A$1:$I$646,6,0),"")</f>
        <v>-47.418015199999999</v>
      </c>
      <c r="AJ271" s="10">
        <f>IFERROR(VLOOKUP(B271,'Regiões Administrativas'!$A$1:$I$646,8,0),"")</f>
        <v>805.44356400000004</v>
      </c>
      <c r="AK271" s="10" t="str">
        <f>IFERROR(VLOOKUP(Form_Responses[[#This Row],[Município]],'Regiões Administrativas'!$A$1:$I$646,9,0),"")</f>
        <v>1J6tM^v4t3;p</v>
      </c>
    </row>
    <row r="272" spans="1:37" ht="22.5" customHeight="1">
      <c r="A272" s="13">
        <v>46030.652701770829</v>
      </c>
      <c r="B272" s="1" t="s">
        <v>1273</v>
      </c>
      <c r="C272" s="1" t="s">
        <v>1274</v>
      </c>
      <c r="D272" s="1" t="s">
        <v>1474</v>
      </c>
      <c r="E272" s="1" t="s">
        <v>1475</v>
      </c>
      <c r="F272" s="1"/>
      <c r="G272" s="1" t="s">
        <v>1385</v>
      </c>
      <c r="H272" s="1"/>
      <c r="I272" s="1" t="s">
        <v>162</v>
      </c>
      <c r="J272" s="7">
        <v>46368</v>
      </c>
      <c r="K272" s="7">
        <v>46375</v>
      </c>
      <c r="L272" s="1"/>
      <c r="M272" s="1"/>
      <c r="N272" s="1" t="s">
        <v>44</v>
      </c>
      <c r="O272" s="1" t="s">
        <v>45</v>
      </c>
      <c r="P272" s="1" t="s">
        <v>251</v>
      </c>
      <c r="Q272" s="1" t="s">
        <v>47</v>
      </c>
      <c r="R272" s="1" t="s">
        <v>74</v>
      </c>
      <c r="S272" s="8">
        <v>15000</v>
      </c>
      <c r="T272" s="8"/>
      <c r="U272" s="8"/>
      <c r="V272" s="8"/>
      <c r="W272" s="1" t="s">
        <v>1315</v>
      </c>
      <c r="X272" s="1"/>
      <c r="Y272" s="1" t="s">
        <v>1279</v>
      </c>
      <c r="Z272" s="1" t="s">
        <v>76</v>
      </c>
      <c r="AA272" s="1" t="s">
        <v>225</v>
      </c>
      <c r="AB272" s="10" t="s">
        <v>66</v>
      </c>
      <c r="AC272" s="10" t="s">
        <v>68</v>
      </c>
      <c r="AD272" s="10" t="str">
        <f>IFERROR(VLOOKUP(B272,'Regiões Administrativas'!$A$1:$B$646,2,0),"")</f>
        <v>Sorocaba</v>
      </c>
      <c r="AE272" s="10">
        <f>IFERROR(VLOOKUP(Form_Responses[[#This Row],[Município]],'Regiões Administrativas'!$A$1:$I$646,3,0),"")</f>
        <v>16783</v>
      </c>
      <c r="AF272" s="10">
        <f>IFERROR(VLOOKUP(Form_Responses[[#This Row],[Município]],'Regiões Administrativas'!$A$1:$I$646,4,0),"")</f>
        <v>353780005000001</v>
      </c>
      <c r="AG272" s="10">
        <f>IFERROR(VLOOKUP(Form_Responses[[#This Row],[Município]],'Regiões Administrativas'!$A$1:$I$646,4,0),"")</f>
        <v>353780005000001</v>
      </c>
      <c r="AH272" s="10">
        <f>IFERROR(VLOOKUP(B272,'Regiões Administrativas'!$A$1:$I$646,5,0),"")</f>
        <v>3537800</v>
      </c>
      <c r="AI272" s="10">
        <f>IFERROR(VLOOKUP(B272,'Regiões Administrativas'!$A$1:$I$646,6,0),"")</f>
        <v>-47.418015199999999</v>
      </c>
      <c r="AJ272" s="10">
        <f>IFERROR(VLOOKUP(B272,'Regiões Administrativas'!$A$1:$I$646,8,0),"")</f>
        <v>805.44356400000004</v>
      </c>
      <c r="AK272" s="10" t="str">
        <f>IFERROR(VLOOKUP(Form_Responses[[#This Row],[Município]],'Regiões Administrativas'!$A$1:$I$646,9,0),"")</f>
        <v>1J6tM^v4t3;p</v>
      </c>
    </row>
    <row r="273" spans="1:37" ht="22.5" customHeight="1">
      <c r="A273" s="5">
        <v>46030.654332430553</v>
      </c>
      <c r="B273" s="1" t="s">
        <v>655</v>
      </c>
      <c r="C273" s="1" t="s">
        <v>656</v>
      </c>
      <c r="D273" s="1" t="s">
        <v>1476</v>
      </c>
      <c r="E273" s="1" t="s">
        <v>1477</v>
      </c>
      <c r="F273" s="1"/>
      <c r="G273" s="1" t="s">
        <v>1478</v>
      </c>
      <c r="H273" s="1"/>
      <c r="I273" s="1" t="s">
        <v>220</v>
      </c>
      <c r="J273" s="1"/>
      <c r="K273" s="1"/>
      <c r="L273" s="1"/>
      <c r="M273" s="1"/>
      <c r="N273" s="1" t="s">
        <v>44</v>
      </c>
      <c r="O273" s="1" t="s">
        <v>234</v>
      </c>
      <c r="P273" s="1" t="s">
        <v>235</v>
      </c>
      <c r="Q273" s="1" t="s">
        <v>47</v>
      </c>
      <c r="R273" s="1" t="s">
        <v>48</v>
      </c>
      <c r="S273" s="8">
        <v>3000</v>
      </c>
      <c r="T273" s="8"/>
      <c r="U273" s="8"/>
      <c r="V273" s="8"/>
      <c r="W273" s="1" t="s">
        <v>1479</v>
      </c>
      <c r="X273" s="1"/>
      <c r="Y273" s="1" t="s">
        <v>1246</v>
      </c>
      <c r="Z273" s="1" t="s">
        <v>66</v>
      </c>
      <c r="AA273" s="1" t="s">
        <v>66</v>
      </c>
      <c r="AB273" s="10" t="s">
        <v>66</v>
      </c>
      <c r="AC273" s="10" t="s">
        <v>68</v>
      </c>
      <c r="AD273" s="10" t="str">
        <f>IFERROR(VLOOKUP(B273,'Regiões Administrativas'!$A$1:$B$646,2,0),"")</f>
        <v>Itapeva</v>
      </c>
      <c r="AE273" s="10">
        <f>IFERROR(VLOOKUP(Form_Responses[[#This Row],[Município]],'Regiões Administrativas'!$A$1:$I$646,3,0),"")</f>
        <v>16130</v>
      </c>
      <c r="AF273" s="10">
        <f>IFERROR(VLOOKUP(Form_Responses[[#This Row],[Município]],'Regiões Administrativas'!$A$1:$I$646,4,0),"")</f>
        <v>352320605000001</v>
      </c>
      <c r="AG273" s="10">
        <f>IFERROR(VLOOKUP(Form_Responses[[#This Row],[Município]],'Regiões Administrativas'!$A$1:$I$646,4,0),"")</f>
        <v>352320605000001</v>
      </c>
      <c r="AH273" s="10">
        <f>IFERROR(VLOOKUP(B273,'Regiões Administrativas'!$A$1:$I$646,5,0),"")</f>
        <v>3523206</v>
      </c>
      <c r="AI273" s="10">
        <f>IFERROR(VLOOKUP(B273,'Regiões Administrativas'!$A$1:$I$646,6,0),"")</f>
        <v>-49.336119699999998</v>
      </c>
      <c r="AJ273" s="10">
        <f>IFERROR(VLOOKUP(B273,'Regiões Administrativas'!$A$1:$I$646,8,0),"")</f>
        <v>734.12665600000003</v>
      </c>
      <c r="AK273" s="10" t="str">
        <f>IFERROR(VLOOKUP(Form_Responses[[#This Row],[Município]],'Regiões Administrativas'!$A$1:$I$646,9,0),"")</f>
        <v>1J6S29)Jh3)p</v>
      </c>
    </row>
    <row r="274" spans="1:37" ht="22.5" customHeight="1">
      <c r="A274" s="13">
        <v>46030.667875289349</v>
      </c>
      <c r="B274" s="1" t="s">
        <v>655</v>
      </c>
      <c r="C274" s="1" t="s">
        <v>656</v>
      </c>
      <c r="D274" s="1" t="s">
        <v>1480</v>
      </c>
      <c r="E274" s="1" t="s">
        <v>1481</v>
      </c>
      <c r="F274" s="1"/>
      <c r="G274" s="1" t="s">
        <v>1482</v>
      </c>
      <c r="H274" s="1"/>
      <c r="I274" s="1" t="s">
        <v>72</v>
      </c>
      <c r="J274" s="1"/>
      <c r="K274" s="1"/>
      <c r="L274" s="1"/>
      <c r="M274" s="1"/>
      <c r="N274" s="1" t="s">
        <v>61</v>
      </c>
      <c r="O274" s="1" t="s">
        <v>62</v>
      </c>
      <c r="P274" s="1" t="s">
        <v>63</v>
      </c>
      <c r="Q274" s="1" t="s">
        <v>47</v>
      </c>
      <c r="R274" s="1" t="s">
        <v>48</v>
      </c>
      <c r="S274" s="8">
        <v>600</v>
      </c>
      <c r="T274" s="8"/>
      <c r="U274" s="8"/>
      <c r="V274" s="8"/>
      <c r="W274" s="1" t="s">
        <v>1483</v>
      </c>
      <c r="X274" s="6" t="s">
        <v>1484</v>
      </c>
      <c r="Y274" s="1" t="s">
        <v>1246</v>
      </c>
      <c r="Z274" s="1" t="s">
        <v>66</v>
      </c>
      <c r="AA274" s="1" t="s">
        <v>66</v>
      </c>
      <c r="AB274" s="10" t="s">
        <v>66</v>
      </c>
      <c r="AC274" s="10" t="s">
        <v>68</v>
      </c>
      <c r="AD274" s="10" t="str">
        <f>IFERROR(VLOOKUP(B274,'Regiões Administrativas'!$A$1:$B$646,2,0),"")</f>
        <v>Itapeva</v>
      </c>
      <c r="AE274" s="10">
        <f>IFERROR(VLOOKUP(Form_Responses[[#This Row],[Município]],'Regiões Administrativas'!$A$1:$I$646,3,0),"")</f>
        <v>16130</v>
      </c>
      <c r="AF274" s="10">
        <f>IFERROR(VLOOKUP(Form_Responses[[#This Row],[Município]],'Regiões Administrativas'!$A$1:$I$646,4,0),"")</f>
        <v>352320605000001</v>
      </c>
      <c r="AG274" s="10">
        <f>IFERROR(VLOOKUP(Form_Responses[[#This Row],[Município]],'Regiões Administrativas'!$A$1:$I$646,4,0),"")</f>
        <v>352320605000001</v>
      </c>
      <c r="AH274" s="10">
        <f>IFERROR(VLOOKUP(B274,'Regiões Administrativas'!$A$1:$I$646,5,0),"")</f>
        <v>3523206</v>
      </c>
      <c r="AI274" s="10">
        <f>IFERROR(VLOOKUP(B274,'Regiões Administrativas'!$A$1:$I$646,6,0),"")</f>
        <v>-49.336119699999998</v>
      </c>
      <c r="AJ274" s="10">
        <f>IFERROR(VLOOKUP(B274,'Regiões Administrativas'!$A$1:$I$646,8,0),"")</f>
        <v>734.12665600000003</v>
      </c>
      <c r="AK274" s="10" t="str">
        <f>IFERROR(VLOOKUP(Form_Responses[[#This Row],[Município]],'Regiões Administrativas'!$A$1:$I$646,9,0),"")</f>
        <v>1J6S29)Jh3)p</v>
      </c>
    </row>
    <row r="275" spans="1:37" ht="22.5" customHeight="1">
      <c r="A275" s="13">
        <v>46031.466664479165</v>
      </c>
      <c r="B275" s="1" t="s">
        <v>655</v>
      </c>
      <c r="C275" s="1" t="s">
        <v>656</v>
      </c>
      <c r="D275" s="1" t="s">
        <v>1485</v>
      </c>
      <c r="E275" s="1" t="s">
        <v>1486</v>
      </c>
      <c r="F275" s="1"/>
      <c r="G275" s="1" t="s">
        <v>1487</v>
      </c>
      <c r="H275" s="1"/>
      <c r="I275" s="1" t="s">
        <v>197</v>
      </c>
      <c r="J275" s="1"/>
      <c r="K275" s="1"/>
      <c r="L275" s="11">
        <v>0.625</v>
      </c>
      <c r="M275" s="11">
        <v>0.91666666666424135</v>
      </c>
      <c r="N275" s="1" t="s">
        <v>98</v>
      </c>
      <c r="O275" s="1" t="s">
        <v>221</v>
      </c>
      <c r="P275" s="1" t="s">
        <v>221</v>
      </c>
      <c r="Q275" s="1" t="s">
        <v>47</v>
      </c>
      <c r="R275" s="1" t="s">
        <v>48</v>
      </c>
      <c r="S275" s="8">
        <v>5000</v>
      </c>
      <c r="T275" s="8"/>
      <c r="U275" s="8"/>
      <c r="V275" s="8"/>
      <c r="W275" s="1" t="s">
        <v>1488</v>
      </c>
      <c r="X275" s="1"/>
      <c r="Y275" s="1" t="s">
        <v>1489</v>
      </c>
      <c r="Z275" s="1" t="s">
        <v>76</v>
      </c>
      <c r="AA275" s="1" t="s">
        <v>113</v>
      </c>
      <c r="AB275" s="10" t="s">
        <v>66</v>
      </c>
      <c r="AC275" s="10" t="s">
        <v>68</v>
      </c>
      <c r="AD275" s="10" t="str">
        <f>IFERROR(VLOOKUP(B275,'Regiões Administrativas'!$A$1:$B$646,2,0),"")</f>
        <v>Itapeva</v>
      </c>
      <c r="AE275" s="10">
        <f>IFERROR(VLOOKUP(Form_Responses[[#This Row],[Município]],'Regiões Administrativas'!$A$1:$I$646,3,0),"")</f>
        <v>16130</v>
      </c>
      <c r="AF275" s="10">
        <f>IFERROR(VLOOKUP(Form_Responses[[#This Row],[Município]],'Regiões Administrativas'!$A$1:$I$646,4,0),"")</f>
        <v>352320605000001</v>
      </c>
      <c r="AG275" s="10">
        <f>IFERROR(VLOOKUP(Form_Responses[[#This Row],[Município]],'Regiões Administrativas'!$A$1:$I$646,4,0),"")</f>
        <v>352320605000001</v>
      </c>
      <c r="AH275" s="10">
        <f>IFERROR(VLOOKUP(B275,'Regiões Administrativas'!$A$1:$I$646,5,0),"")</f>
        <v>3523206</v>
      </c>
      <c r="AI275" s="10">
        <f>IFERROR(VLOOKUP(B275,'Regiões Administrativas'!$A$1:$I$646,6,0),"")</f>
        <v>-49.336119699999998</v>
      </c>
      <c r="AJ275" s="10">
        <f>IFERROR(VLOOKUP(B275,'Regiões Administrativas'!$A$1:$I$646,8,0),"")</f>
        <v>734.12665600000003</v>
      </c>
      <c r="AK275" s="10" t="str">
        <f>IFERROR(VLOOKUP(Form_Responses[[#This Row],[Município]],'Regiões Administrativas'!$A$1:$I$646,9,0),"")</f>
        <v>1J6S29)Jh3)p</v>
      </c>
    </row>
    <row r="276" spans="1:37" ht="22.5" customHeight="1">
      <c r="A276" s="13">
        <v>46031.485498263894</v>
      </c>
      <c r="B276" s="1" t="s">
        <v>1490</v>
      </c>
      <c r="C276" s="1" t="s">
        <v>404</v>
      </c>
      <c r="D276" s="1" t="s">
        <v>1491</v>
      </c>
      <c r="E276" s="1" t="s">
        <v>1492</v>
      </c>
      <c r="F276" s="1"/>
      <c r="G276" s="1" t="s">
        <v>1493</v>
      </c>
      <c r="H276" s="1"/>
      <c r="I276" s="1" t="s">
        <v>43</v>
      </c>
      <c r="J276" s="7">
        <v>46240</v>
      </c>
      <c r="K276" s="7">
        <v>46243</v>
      </c>
      <c r="L276" s="11">
        <v>0.75</v>
      </c>
      <c r="M276" s="1"/>
      <c r="N276" s="1" t="s">
        <v>44</v>
      </c>
      <c r="O276" s="1" t="s">
        <v>221</v>
      </c>
      <c r="P276" s="1" t="s">
        <v>221</v>
      </c>
      <c r="Q276" s="1" t="s">
        <v>47</v>
      </c>
      <c r="R276" s="1" t="s">
        <v>74</v>
      </c>
      <c r="S276" s="8">
        <v>3000</v>
      </c>
      <c r="T276" s="8">
        <v>3000</v>
      </c>
      <c r="U276" s="8">
        <v>4000</v>
      </c>
      <c r="V276" s="8">
        <v>3000</v>
      </c>
      <c r="W276" s="1" t="s">
        <v>1494</v>
      </c>
      <c r="X276" s="1"/>
      <c r="Y276" s="1" t="s">
        <v>1495</v>
      </c>
      <c r="Z276" s="1" t="s">
        <v>76</v>
      </c>
      <c r="AA276" s="1" t="s">
        <v>899</v>
      </c>
      <c r="AB276" s="10" t="s">
        <v>66</v>
      </c>
      <c r="AC276" s="10" t="s">
        <v>68</v>
      </c>
      <c r="AD276" s="10" t="str">
        <f>IFERROR(VLOOKUP(B276,'Regiões Administrativas'!$A$1:$B$646,2,0),"")</f>
        <v>Sorocaba</v>
      </c>
      <c r="AE276" s="10">
        <f>IFERROR(VLOOKUP(Form_Responses[[#This Row],[Município]],'Regiões Administrativas'!$A$1:$I$646,3,0),"")</f>
        <v>16900</v>
      </c>
      <c r="AF276" s="10">
        <f>IFERROR(VLOOKUP(Form_Responses[[#This Row],[Município]],'Regiões Administrativas'!$A$1:$I$646,4,0),"")</f>
        <v>354105905000001</v>
      </c>
      <c r="AG276" s="10">
        <f>IFERROR(VLOOKUP(Form_Responses[[#This Row],[Município]],'Regiões Administrativas'!$A$1:$I$646,4,0),"")</f>
        <v>354105905000001</v>
      </c>
      <c r="AH276" s="10">
        <f>IFERROR(VLOOKUP(B276,'Regiões Administrativas'!$A$1:$I$646,5,0),"")</f>
        <v>3541059</v>
      </c>
      <c r="AI276" s="10">
        <f>IFERROR(VLOOKUP(B276,'Regiões Administrativas'!$A$1:$I$646,6,0),"")</f>
        <v>-48.664685599999999</v>
      </c>
      <c r="AJ276" s="10">
        <f>IFERROR(VLOOKUP(B276,'Regiões Administrativas'!$A$1:$I$646,8,0),"")</f>
        <v>706.57203400000003</v>
      </c>
      <c r="AK276" s="10" t="str">
        <f>IFERROR(VLOOKUP(Form_Responses[[#This Row],[Município]],'Regiões Administrativas'!$A$1:$I$646,9,0),"")</f>
        <v>1J6RUzy7@GGf</v>
      </c>
    </row>
    <row r="277" spans="1:37" ht="22.5" customHeight="1">
      <c r="A277" s="13">
        <v>46031.603707442133</v>
      </c>
      <c r="B277" s="1" t="s">
        <v>1303</v>
      </c>
      <c r="C277" s="1" t="s">
        <v>1304</v>
      </c>
      <c r="D277" s="1" t="s">
        <v>1496</v>
      </c>
      <c r="E277" s="1" t="s">
        <v>1497</v>
      </c>
      <c r="F277" s="1"/>
      <c r="G277" s="1" t="s">
        <v>1498</v>
      </c>
      <c r="H277" s="1" t="s">
        <v>1499</v>
      </c>
      <c r="I277" s="1" t="s">
        <v>255</v>
      </c>
      <c r="J277" s="7">
        <v>46312</v>
      </c>
      <c r="K277" s="7">
        <v>46313</v>
      </c>
      <c r="L277" s="1"/>
      <c r="M277" s="1"/>
      <c r="N277" s="1" t="s">
        <v>44</v>
      </c>
      <c r="O277" s="1" t="s">
        <v>190</v>
      </c>
      <c r="P277" s="1" t="s">
        <v>221</v>
      </c>
      <c r="Q277" s="1" t="s">
        <v>47</v>
      </c>
      <c r="R277" s="1" t="s">
        <v>48</v>
      </c>
      <c r="S277" s="8">
        <v>3000</v>
      </c>
      <c r="T277" s="8">
        <v>2500</v>
      </c>
      <c r="U277" s="8">
        <v>2000</v>
      </c>
      <c r="V277" s="8">
        <v>2500</v>
      </c>
      <c r="W277" s="1" t="s">
        <v>1500</v>
      </c>
      <c r="X277" s="1"/>
      <c r="Y277" s="1" t="s">
        <v>1501</v>
      </c>
      <c r="Z277" s="1" t="s">
        <v>66</v>
      </c>
      <c r="AA277" s="1" t="s">
        <v>1502</v>
      </c>
      <c r="AB277" s="10" t="s">
        <v>344</v>
      </c>
      <c r="AC277" s="10" t="s">
        <v>68</v>
      </c>
      <c r="AD277" s="10" t="str">
        <f>IFERROR(VLOOKUP(B277,'Regiões Administrativas'!$A$1:$B$646,2,0),"")</f>
        <v>RMSP</v>
      </c>
      <c r="AE277" s="10">
        <f>IFERROR(VLOOKUP(Form_Responses[[#This Row],[Município]],'Regiões Administrativas'!$A$1:$I$646,3,0),"")</f>
        <v>17200</v>
      </c>
      <c r="AF277" s="10">
        <f>IFERROR(VLOOKUP(Form_Responses[[#This Row],[Município]],'Regiões Administrativas'!$A$1:$I$646,4,0),"")</f>
        <v>355030801000001</v>
      </c>
      <c r="AG277" s="10">
        <f>IFERROR(VLOOKUP(Form_Responses[[#This Row],[Município]],'Regiões Administrativas'!$A$1:$I$646,4,0),"")</f>
        <v>355030801000001</v>
      </c>
      <c r="AH277" s="10">
        <f>IFERROR(VLOOKUP(B277,'Regiões Administrativas'!$A$1:$I$646,5,0),"")</f>
        <v>3550308</v>
      </c>
      <c r="AI277" s="10">
        <f>IFERROR(VLOOKUP(B277,'Regiões Administrativas'!$A$1:$I$646,6,0),"")</f>
        <v>-46.570383200000002</v>
      </c>
      <c r="AJ277" s="10">
        <f>IFERROR(VLOOKUP(B277,'Regiões Administrativas'!$A$1:$I$646,8,0),"")</f>
        <v>783.61512700000003</v>
      </c>
      <c r="AK277" s="10" t="str">
        <f>IFERROR(VLOOKUP(Form_Responses[[#This Row],[Município]],'Regiões Administrativas'!$A$1:$I$646,9,0),"")</f>
        <v>1J6to@yg_@Q&gt;</v>
      </c>
    </row>
    <row r="278" spans="1:37" ht="22.5" customHeight="1">
      <c r="A278" s="5">
        <v>46031.634944502315</v>
      </c>
      <c r="B278" s="1" t="s">
        <v>1503</v>
      </c>
      <c r="C278" s="1" t="s">
        <v>753</v>
      </c>
      <c r="D278" s="1" t="s">
        <v>1504</v>
      </c>
      <c r="E278" s="1" t="s">
        <v>1505</v>
      </c>
      <c r="F278" s="1"/>
      <c r="G278" s="1" t="s">
        <v>1506</v>
      </c>
      <c r="H278" s="1"/>
      <c r="I278" s="1" t="s">
        <v>89</v>
      </c>
      <c r="J278" s="7">
        <v>46066</v>
      </c>
      <c r="K278" s="7">
        <v>46069</v>
      </c>
      <c r="L278" s="1"/>
      <c r="M278" s="1"/>
      <c r="N278" s="1" t="s">
        <v>44</v>
      </c>
      <c r="O278" s="1" t="s">
        <v>45</v>
      </c>
      <c r="P278" s="1" t="s">
        <v>90</v>
      </c>
      <c r="Q278" s="1" t="s">
        <v>47</v>
      </c>
      <c r="R278" s="1" t="s">
        <v>74</v>
      </c>
      <c r="S278" s="8">
        <v>30000</v>
      </c>
      <c r="T278" s="8"/>
      <c r="U278" s="8"/>
      <c r="V278" s="8"/>
      <c r="W278" s="1" t="s">
        <v>1507</v>
      </c>
      <c r="X278" s="1"/>
      <c r="Y278" s="1" t="s">
        <v>1508</v>
      </c>
      <c r="Z278" s="1" t="s">
        <v>66</v>
      </c>
      <c r="AA278" s="1" t="s">
        <v>66</v>
      </c>
      <c r="AB278" s="10" t="s">
        <v>66</v>
      </c>
      <c r="AC278" s="10" t="s">
        <v>68</v>
      </c>
      <c r="AD278" s="10" t="str">
        <f>IFERROR(VLOOKUP(B278,'Regiões Administrativas'!$A$1:$B$646,2,0),"")</f>
        <v>Campinas</v>
      </c>
      <c r="AE278" s="10">
        <f>IFERROR(VLOOKUP(Form_Responses[[#This Row],[Município]],'Regiões Administrativas'!$A$1:$I$646,3,0),"")</f>
        <v>17059</v>
      </c>
      <c r="AF278" s="10">
        <f>IFERROR(VLOOKUP(Form_Responses[[#This Row],[Município]],'Regiões Administrativas'!$A$1:$I$646,4,0),"")</f>
        <v>354630605000001</v>
      </c>
      <c r="AG278" s="10">
        <f>IFERROR(VLOOKUP(Form_Responses[[#This Row],[Município]],'Regiões Administrativas'!$A$1:$I$646,4,0),"")</f>
        <v>354630605000001</v>
      </c>
      <c r="AH278" s="10">
        <f>IFERROR(VLOOKUP(B278,'Regiões Administrativas'!$A$1:$I$646,5,0),"")</f>
        <v>3546306</v>
      </c>
      <c r="AI278" s="10">
        <f>IFERROR(VLOOKUP(B278,'Regiões Administrativas'!$A$1:$I$646,6,0),"")</f>
        <v>-47.249414399999999</v>
      </c>
      <c r="AJ278" s="10">
        <f>IFERROR(VLOOKUP(B278,'Regiões Administrativas'!$A$1:$I$646,8,0),"")</f>
        <v>657.94260199999997</v>
      </c>
      <c r="AK278" s="10" t="str">
        <f>IFERROR(VLOOKUP(Form_Responses[[#This Row],[Município]],'Regiões Administrativas'!$A$1:$I$646,9,0),"")</f>
        <v>1J6tG{U4rH.&gt;</v>
      </c>
    </row>
    <row r="279" spans="1:37" ht="22.5" customHeight="1">
      <c r="A279" s="5">
        <v>46031.657144432873</v>
      </c>
      <c r="B279" s="1" t="s">
        <v>744</v>
      </c>
      <c r="C279" s="1" t="s">
        <v>555</v>
      </c>
      <c r="D279" s="1" t="s">
        <v>1509</v>
      </c>
      <c r="E279" s="1" t="s">
        <v>1510</v>
      </c>
      <c r="F279" s="1"/>
      <c r="G279" s="1" t="s">
        <v>1511</v>
      </c>
      <c r="H279" s="1"/>
      <c r="I279" s="1" t="s">
        <v>109</v>
      </c>
      <c r="J279" s="7">
        <v>46096</v>
      </c>
      <c r="K279" s="7">
        <v>46096</v>
      </c>
      <c r="L279" s="11">
        <v>0.33333333333575865</v>
      </c>
      <c r="M279" s="11">
        <v>0.70833333333575865</v>
      </c>
      <c r="N279" s="1" t="s">
        <v>44</v>
      </c>
      <c r="O279" s="1" t="s">
        <v>45</v>
      </c>
      <c r="P279" s="1" t="s">
        <v>46</v>
      </c>
      <c r="Q279" s="1" t="s">
        <v>47</v>
      </c>
      <c r="R279" s="1" t="s">
        <v>74</v>
      </c>
      <c r="S279" s="8">
        <v>5000</v>
      </c>
      <c r="T279" s="8">
        <v>4000</v>
      </c>
      <c r="U279" s="8"/>
      <c r="V279" s="8"/>
      <c r="W279" s="1" t="s">
        <v>1512</v>
      </c>
      <c r="X279" s="1"/>
      <c r="Y279" s="1" t="s">
        <v>1513</v>
      </c>
      <c r="Z279" s="1" t="s">
        <v>76</v>
      </c>
      <c r="AA279" s="1" t="s">
        <v>113</v>
      </c>
      <c r="AB279" s="10" t="s">
        <v>66</v>
      </c>
      <c r="AC279" s="10" t="s">
        <v>68</v>
      </c>
      <c r="AD279" s="10" t="str">
        <f>IFERROR(VLOOKUP(B279,'Regiões Administrativas'!$A$1:$B$646,2,0),"")</f>
        <v>São José do Rio Preto</v>
      </c>
      <c r="AE279" s="10">
        <f>IFERROR(VLOOKUP(Form_Responses[[#This Row],[Município]],'Regiões Administrativas'!$A$1:$I$646,3,0),"")</f>
        <v>16510</v>
      </c>
      <c r="AF279" s="10">
        <f>IFERROR(VLOOKUP(Form_Responses[[#This Row],[Município]],'Regiões Administrativas'!$A$1:$I$646,4,0),"")</f>
        <v>353000305000001</v>
      </c>
      <c r="AG279" s="10">
        <f>IFERROR(VLOOKUP(Form_Responses[[#This Row],[Município]],'Regiões Administrativas'!$A$1:$I$646,4,0),"")</f>
        <v>353000305000001</v>
      </c>
      <c r="AH279" s="10">
        <f>IFERROR(VLOOKUP(B279,'Regiões Administrativas'!$A$1:$I$646,5,0),"")</f>
        <v>3530003</v>
      </c>
      <c r="AI279" s="10">
        <f>IFERROR(VLOOKUP(B279,'Regiões Administrativas'!$A$1:$I$646,6,0),"")</f>
        <v>-50.138427200000002</v>
      </c>
      <c r="AJ279" s="10">
        <f>IFERROR(VLOOKUP(B279,'Regiões Administrativas'!$A$1:$I$646,8,0),"")</f>
        <v>459.85779500000001</v>
      </c>
      <c r="AK279" s="10" t="str">
        <f>IFERROR(VLOOKUP(Form_Responses[[#This Row],[Município]],'Regiões Administrativas'!$A$1:$I$646,9,0),"")</f>
        <v>1J6R3A:EK2)f</v>
      </c>
    </row>
    <row r="280" spans="1:37" ht="22.5" customHeight="1">
      <c r="A280" s="5">
        <v>46031.666413831015</v>
      </c>
      <c r="B280" s="1" t="s">
        <v>744</v>
      </c>
      <c r="C280" s="1" t="s">
        <v>555</v>
      </c>
      <c r="D280" s="1" t="s">
        <v>1514</v>
      </c>
      <c r="E280" s="1" t="s">
        <v>1515</v>
      </c>
      <c r="F280" s="1"/>
      <c r="G280" s="1" t="s">
        <v>1511</v>
      </c>
      <c r="H280" s="1"/>
      <c r="I280" s="1" t="s">
        <v>109</v>
      </c>
      <c r="J280" s="7">
        <v>46100</v>
      </c>
      <c r="K280" s="7">
        <v>46102</v>
      </c>
      <c r="L280" s="11">
        <v>0.83333333333575865</v>
      </c>
      <c r="M280" s="1"/>
      <c r="N280" s="1" t="s">
        <v>44</v>
      </c>
      <c r="O280" s="1" t="s">
        <v>45</v>
      </c>
      <c r="P280" s="1" t="s">
        <v>46</v>
      </c>
      <c r="Q280" s="1" t="s">
        <v>47</v>
      </c>
      <c r="R280" s="1" t="s">
        <v>74</v>
      </c>
      <c r="S280" s="8">
        <v>15000</v>
      </c>
      <c r="T280" s="8">
        <v>13000</v>
      </c>
      <c r="U280" s="8"/>
      <c r="V280" s="8"/>
      <c r="W280" s="1" t="s">
        <v>1512</v>
      </c>
      <c r="X280" s="1"/>
      <c r="Y280" s="1" t="s">
        <v>1516</v>
      </c>
      <c r="Z280" s="1" t="s">
        <v>76</v>
      </c>
      <c r="AA280" s="1" t="s">
        <v>113</v>
      </c>
      <c r="AB280" s="10" t="s">
        <v>66</v>
      </c>
      <c r="AC280" s="10" t="s">
        <v>68</v>
      </c>
      <c r="AD280" s="10" t="str">
        <f>IFERROR(VLOOKUP(B280,'Regiões Administrativas'!$A$1:$B$646,2,0),"")</f>
        <v>São José do Rio Preto</v>
      </c>
      <c r="AE280" s="10">
        <f>IFERROR(VLOOKUP(Form_Responses[[#This Row],[Município]],'Regiões Administrativas'!$A$1:$I$646,3,0),"")</f>
        <v>16510</v>
      </c>
      <c r="AF280" s="10">
        <f>IFERROR(VLOOKUP(Form_Responses[[#This Row],[Município]],'Regiões Administrativas'!$A$1:$I$646,4,0),"")</f>
        <v>353000305000001</v>
      </c>
      <c r="AG280" s="10">
        <f>IFERROR(VLOOKUP(Form_Responses[[#This Row],[Município]],'Regiões Administrativas'!$A$1:$I$646,4,0),"")</f>
        <v>353000305000001</v>
      </c>
      <c r="AH280" s="10">
        <f>IFERROR(VLOOKUP(B280,'Regiões Administrativas'!$A$1:$I$646,5,0),"")</f>
        <v>3530003</v>
      </c>
      <c r="AI280" s="10">
        <f>IFERROR(VLOOKUP(B280,'Regiões Administrativas'!$A$1:$I$646,6,0),"")</f>
        <v>-50.138427200000002</v>
      </c>
      <c r="AJ280" s="10">
        <f>IFERROR(VLOOKUP(B280,'Regiões Administrativas'!$A$1:$I$646,8,0),"")</f>
        <v>459.85779500000001</v>
      </c>
      <c r="AK280" s="10" t="str">
        <f>IFERROR(VLOOKUP(Form_Responses[[#This Row],[Município]],'Regiões Administrativas'!$A$1:$I$646,9,0),"")</f>
        <v>1J6R3A:EK2)f</v>
      </c>
    </row>
    <row r="281" spans="1:37" ht="22.5" customHeight="1">
      <c r="A281" s="13">
        <v>46031.673571608801</v>
      </c>
      <c r="B281" s="1" t="s">
        <v>744</v>
      </c>
      <c r="C281" s="1" t="s">
        <v>555</v>
      </c>
      <c r="D281" s="1" t="s">
        <v>1517</v>
      </c>
      <c r="E281" s="1" t="s">
        <v>1518</v>
      </c>
      <c r="F281" s="1"/>
      <c r="G281" s="1" t="s">
        <v>1519</v>
      </c>
      <c r="H281" s="1"/>
      <c r="I281" s="1" t="s">
        <v>72</v>
      </c>
      <c r="J281" s="7">
        <v>46206</v>
      </c>
      <c r="K281" s="7">
        <v>46207</v>
      </c>
      <c r="L281" s="11">
        <v>0.89583333333575865</v>
      </c>
      <c r="M281" s="1"/>
      <c r="N281" s="1" t="s">
        <v>44</v>
      </c>
      <c r="O281" s="1" t="s">
        <v>45</v>
      </c>
      <c r="P281" s="1" t="s">
        <v>135</v>
      </c>
      <c r="Q281" s="1" t="s">
        <v>47</v>
      </c>
      <c r="R281" s="1" t="s">
        <v>74</v>
      </c>
      <c r="S281" s="8">
        <v>4000</v>
      </c>
      <c r="T281" s="8">
        <v>4000</v>
      </c>
      <c r="U281" s="8"/>
      <c r="V281" s="8"/>
      <c r="W281" s="1" t="s">
        <v>1512</v>
      </c>
      <c r="X281" s="1"/>
      <c r="Y281" s="1" t="s">
        <v>1513</v>
      </c>
      <c r="Z281" s="1" t="s">
        <v>76</v>
      </c>
      <c r="AA281" s="1" t="s">
        <v>113</v>
      </c>
      <c r="AB281" s="10" t="s">
        <v>66</v>
      </c>
      <c r="AC281" s="10" t="s">
        <v>68</v>
      </c>
      <c r="AD281" s="10" t="str">
        <f>IFERROR(VLOOKUP(B281,'Regiões Administrativas'!$A$1:$B$646,2,0),"")</f>
        <v>São José do Rio Preto</v>
      </c>
      <c r="AE281" s="10">
        <f>IFERROR(VLOOKUP(Form_Responses[[#This Row],[Município]],'Regiões Administrativas'!$A$1:$I$646,3,0),"")</f>
        <v>16510</v>
      </c>
      <c r="AF281" s="10">
        <f>IFERROR(VLOOKUP(Form_Responses[[#This Row],[Município]],'Regiões Administrativas'!$A$1:$I$646,4,0),"")</f>
        <v>353000305000001</v>
      </c>
      <c r="AG281" s="10">
        <f>IFERROR(VLOOKUP(Form_Responses[[#This Row],[Município]],'Regiões Administrativas'!$A$1:$I$646,4,0),"")</f>
        <v>353000305000001</v>
      </c>
      <c r="AH281" s="10">
        <f>IFERROR(VLOOKUP(B281,'Regiões Administrativas'!$A$1:$I$646,5,0),"")</f>
        <v>3530003</v>
      </c>
      <c r="AI281" s="10">
        <f>IFERROR(VLOOKUP(B281,'Regiões Administrativas'!$A$1:$I$646,6,0),"")</f>
        <v>-50.138427200000002</v>
      </c>
      <c r="AJ281" s="10">
        <f>IFERROR(VLOOKUP(B281,'Regiões Administrativas'!$A$1:$I$646,8,0),"")</f>
        <v>459.85779500000001</v>
      </c>
      <c r="AK281" s="10" t="str">
        <f>IFERROR(VLOOKUP(Form_Responses[[#This Row],[Município]],'Regiões Administrativas'!$A$1:$I$646,9,0),"")</f>
        <v>1J6R3A:EK2)f</v>
      </c>
    </row>
    <row r="282" spans="1:37" ht="22.5" customHeight="1">
      <c r="A282" s="5">
        <v>46031.679735694444</v>
      </c>
      <c r="B282" s="1" t="s">
        <v>744</v>
      </c>
      <c r="C282" s="1" t="s">
        <v>555</v>
      </c>
      <c r="D282" s="1" t="s">
        <v>1520</v>
      </c>
      <c r="E282" s="1" t="s">
        <v>1521</v>
      </c>
      <c r="F282" s="1"/>
      <c r="G282" s="1" t="s">
        <v>1522</v>
      </c>
      <c r="H282" s="1"/>
      <c r="I282" s="1" t="s">
        <v>128</v>
      </c>
      <c r="J282" s="1"/>
      <c r="K282" s="1"/>
      <c r="L282" s="11">
        <v>0.375</v>
      </c>
      <c r="M282" s="1"/>
      <c r="N282" s="1" t="s">
        <v>44</v>
      </c>
      <c r="O282" s="1" t="s">
        <v>436</v>
      </c>
      <c r="P282" s="1" t="s">
        <v>63</v>
      </c>
      <c r="Q282" s="1" t="s">
        <v>47</v>
      </c>
      <c r="R282" s="1" t="s">
        <v>74</v>
      </c>
      <c r="S282" s="8">
        <v>2000</v>
      </c>
      <c r="T282" s="8">
        <v>2000</v>
      </c>
      <c r="U282" s="8"/>
      <c r="V282" s="8"/>
      <c r="W282" s="1" t="s">
        <v>749</v>
      </c>
      <c r="X282" s="1"/>
      <c r="Y282" s="1" t="s">
        <v>1513</v>
      </c>
      <c r="Z282" s="1" t="s">
        <v>76</v>
      </c>
      <c r="AA282" s="1" t="s">
        <v>113</v>
      </c>
      <c r="AB282" s="10" t="s">
        <v>66</v>
      </c>
      <c r="AC282" s="10" t="s">
        <v>68</v>
      </c>
      <c r="AD282" s="10" t="str">
        <f>IFERROR(VLOOKUP(B282,'Regiões Administrativas'!$A$1:$B$646,2,0),"")</f>
        <v>São José do Rio Preto</v>
      </c>
      <c r="AE282" s="10">
        <f>IFERROR(VLOOKUP(Form_Responses[[#This Row],[Município]],'Regiões Administrativas'!$A$1:$I$646,3,0),"")</f>
        <v>16510</v>
      </c>
      <c r="AF282" s="10">
        <f>IFERROR(VLOOKUP(Form_Responses[[#This Row],[Município]],'Regiões Administrativas'!$A$1:$I$646,4,0),"")</f>
        <v>353000305000001</v>
      </c>
      <c r="AG282" s="10">
        <f>IFERROR(VLOOKUP(Form_Responses[[#This Row],[Município]],'Regiões Administrativas'!$A$1:$I$646,4,0),"")</f>
        <v>353000305000001</v>
      </c>
      <c r="AH282" s="10">
        <f>IFERROR(VLOOKUP(B282,'Regiões Administrativas'!$A$1:$I$646,5,0),"")</f>
        <v>3530003</v>
      </c>
      <c r="AI282" s="10">
        <f>IFERROR(VLOOKUP(B282,'Regiões Administrativas'!$A$1:$I$646,6,0),"")</f>
        <v>-50.138427200000002</v>
      </c>
      <c r="AJ282" s="10">
        <f>IFERROR(VLOOKUP(B282,'Regiões Administrativas'!$A$1:$I$646,8,0),"")</f>
        <v>459.85779500000001</v>
      </c>
      <c r="AK282" s="10" t="str">
        <f>IFERROR(VLOOKUP(Form_Responses[[#This Row],[Município]],'Regiões Administrativas'!$A$1:$I$646,9,0),"")</f>
        <v>1J6R3A:EK2)f</v>
      </c>
    </row>
    <row r="283" spans="1:37" ht="22.5" customHeight="1">
      <c r="A283" s="13">
        <v>46031.698079236114</v>
      </c>
      <c r="B283" s="1" t="s">
        <v>1523</v>
      </c>
      <c r="C283" s="1"/>
      <c r="D283" s="1" t="s">
        <v>1524</v>
      </c>
      <c r="E283" s="1" t="s">
        <v>1525</v>
      </c>
      <c r="F283" s="1"/>
      <c r="G283" s="1" t="s">
        <v>1526</v>
      </c>
      <c r="H283" s="1"/>
      <c r="I283" s="1" t="s">
        <v>60</v>
      </c>
      <c r="J283" s="7">
        <v>46200</v>
      </c>
      <c r="K283" s="7">
        <v>46200</v>
      </c>
      <c r="L283" s="11">
        <v>0.75</v>
      </c>
      <c r="M283" s="11">
        <v>0</v>
      </c>
      <c r="N283" s="1" t="s">
        <v>44</v>
      </c>
      <c r="O283" s="1" t="s">
        <v>190</v>
      </c>
      <c r="P283" s="1" t="s">
        <v>135</v>
      </c>
      <c r="Q283" s="1" t="s">
        <v>47</v>
      </c>
      <c r="R283" s="1" t="s">
        <v>74</v>
      </c>
      <c r="S283" s="8">
        <v>6000</v>
      </c>
      <c r="T283" s="8">
        <v>4000</v>
      </c>
      <c r="U283" s="8">
        <v>2000</v>
      </c>
      <c r="V283" s="8">
        <v>2000</v>
      </c>
      <c r="W283" s="1" t="s">
        <v>1527</v>
      </c>
      <c r="X283" s="1"/>
      <c r="Y283" s="1" t="s">
        <v>1528</v>
      </c>
      <c r="Z283" s="1" t="s">
        <v>66</v>
      </c>
      <c r="AA283" s="1" t="s">
        <v>66</v>
      </c>
      <c r="AB283" s="10" t="s">
        <v>66</v>
      </c>
      <c r="AC283" s="10" t="s">
        <v>68</v>
      </c>
      <c r="AD283" s="10" t="str">
        <f>IFERROR(VLOOKUP(B283,'Regiões Administrativas'!$A$1:$B$646,2,0),"")</f>
        <v>Marília</v>
      </c>
      <c r="AE283" s="10">
        <f>IFERROR(VLOOKUP(Form_Responses[[#This Row],[Município]],'Regiões Administrativas'!$A$1:$I$646,3,0),"")</f>
        <v>16847</v>
      </c>
      <c r="AF283" s="10">
        <f>IFERROR(VLOOKUP(Form_Responses[[#This Row],[Município]],'Regiões Administrativas'!$A$1:$I$646,4,0),"")</f>
        <v>353970705000001</v>
      </c>
      <c r="AG283" s="10">
        <f>IFERROR(VLOOKUP(Form_Responses[[#This Row],[Município]],'Regiões Administrativas'!$A$1:$I$646,4,0),"")</f>
        <v>353970705000001</v>
      </c>
      <c r="AH283" s="10">
        <f>IFERROR(VLOOKUP(B283,'Regiões Administrativas'!$A$1:$I$646,5,0),"")</f>
        <v>3539707</v>
      </c>
      <c r="AI283" s="10">
        <f>IFERROR(VLOOKUP(B283,'Regiões Administrativas'!$A$1:$I$646,6,0),"")</f>
        <v>-50.208934499999998</v>
      </c>
      <c r="AJ283" s="10">
        <f>IFERROR(VLOOKUP(B283,'Regiões Administrativas'!$A$1:$I$646,8,0),"")</f>
        <v>485.544939</v>
      </c>
      <c r="AK283" s="10" t="str">
        <f>IFERROR(VLOOKUP(Form_Responses[[#This Row],[Município]],'Regiões Administrativas'!$A$1:$I$646,9,0),"")</f>
        <v>1J6RrK=;&lt;zJf</v>
      </c>
    </row>
    <row r="284" spans="1:37" ht="22.5" customHeight="1">
      <c r="A284" s="5">
        <v>46032.060173182872</v>
      </c>
      <c r="B284" s="1" t="s">
        <v>1303</v>
      </c>
      <c r="C284" s="1" t="s">
        <v>1304</v>
      </c>
      <c r="D284" s="1" t="s">
        <v>1529</v>
      </c>
      <c r="E284" s="1" t="s">
        <v>1530</v>
      </c>
      <c r="F284" s="1"/>
      <c r="G284" s="1" t="s">
        <v>1531</v>
      </c>
      <c r="H284" s="1"/>
      <c r="I284" s="1" t="s">
        <v>267</v>
      </c>
      <c r="J284" s="7">
        <v>46047</v>
      </c>
      <c r="K284" s="7">
        <v>46047</v>
      </c>
      <c r="L284" s="11">
        <v>0.41666666666424135</v>
      </c>
      <c r="M284" s="11">
        <v>0.58333333333575865</v>
      </c>
      <c r="N284" s="1" t="s">
        <v>110</v>
      </c>
      <c r="O284" s="1" t="s">
        <v>45</v>
      </c>
      <c r="P284" s="1" t="s">
        <v>99</v>
      </c>
      <c r="Q284" s="1" t="s">
        <v>47</v>
      </c>
      <c r="R284" s="1" t="s">
        <v>48</v>
      </c>
      <c r="S284" s="8">
        <v>500</v>
      </c>
      <c r="T284" s="8">
        <v>7000</v>
      </c>
      <c r="U284" s="8"/>
      <c r="V284" s="8"/>
      <c r="W284" s="1" t="s">
        <v>1532</v>
      </c>
      <c r="X284" s="1"/>
      <c r="Y284" s="1" t="s">
        <v>1533</v>
      </c>
      <c r="Z284" s="1" t="s">
        <v>992</v>
      </c>
      <c r="AA284" s="1" t="s">
        <v>66</v>
      </c>
      <c r="AB284" s="10" t="s">
        <v>66</v>
      </c>
      <c r="AC284" s="10" t="s">
        <v>68</v>
      </c>
      <c r="AD284" s="10" t="str">
        <f>IFERROR(VLOOKUP(B284,'Regiões Administrativas'!$A$1:$B$646,2,0),"")</f>
        <v>RMSP</v>
      </c>
      <c r="AE284" s="10">
        <f>IFERROR(VLOOKUP(Form_Responses[[#This Row],[Município]],'Regiões Administrativas'!$A$1:$I$646,3,0),"")</f>
        <v>17200</v>
      </c>
      <c r="AF284" s="10">
        <f>IFERROR(VLOOKUP(Form_Responses[[#This Row],[Município]],'Regiões Administrativas'!$A$1:$I$646,4,0),"")</f>
        <v>355030801000001</v>
      </c>
      <c r="AG284" s="10">
        <f>IFERROR(VLOOKUP(Form_Responses[[#This Row],[Município]],'Regiões Administrativas'!$A$1:$I$646,4,0),"")</f>
        <v>355030801000001</v>
      </c>
      <c r="AH284" s="10">
        <f>IFERROR(VLOOKUP(B284,'Regiões Administrativas'!$A$1:$I$646,5,0),"")</f>
        <v>3550308</v>
      </c>
      <c r="AI284" s="10">
        <f>IFERROR(VLOOKUP(B284,'Regiões Administrativas'!$A$1:$I$646,6,0),"")</f>
        <v>-46.570383200000002</v>
      </c>
      <c r="AJ284" s="10">
        <f>IFERROR(VLOOKUP(B284,'Regiões Administrativas'!$A$1:$I$646,8,0),"")</f>
        <v>783.61512700000003</v>
      </c>
      <c r="AK284" s="10" t="str">
        <f>IFERROR(VLOOKUP(Form_Responses[[#This Row],[Município]],'Regiões Administrativas'!$A$1:$I$646,9,0),"")</f>
        <v>1J6to@yg_@Q&gt;</v>
      </c>
    </row>
    <row r="285" spans="1:37" ht="22.5" customHeight="1">
      <c r="A285" s="13">
        <v>46032.441351678237</v>
      </c>
      <c r="B285" s="1" t="s">
        <v>1534</v>
      </c>
      <c r="C285" s="1" t="s">
        <v>1210</v>
      </c>
      <c r="D285" s="1" t="s">
        <v>1535</v>
      </c>
      <c r="E285" s="1" t="s">
        <v>1536</v>
      </c>
      <c r="F285" s="1"/>
      <c r="G285" s="1" t="s">
        <v>1537</v>
      </c>
      <c r="H285" s="1" t="s">
        <v>1538</v>
      </c>
      <c r="I285" s="1" t="s">
        <v>197</v>
      </c>
      <c r="J285" s="7">
        <v>46355</v>
      </c>
      <c r="K285" s="7">
        <v>46355</v>
      </c>
      <c r="L285" s="11">
        <v>0.33333333333575865</v>
      </c>
      <c r="M285" s="11">
        <v>0.41666666666424135</v>
      </c>
      <c r="N285" s="1" t="s">
        <v>98</v>
      </c>
      <c r="O285" s="1" t="s">
        <v>62</v>
      </c>
      <c r="P285" s="1" t="s">
        <v>63</v>
      </c>
      <c r="Q285" s="1" t="s">
        <v>47</v>
      </c>
      <c r="R285" s="1" t="s">
        <v>74</v>
      </c>
      <c r="S285" s="8">
        <v>500</v>
      </c>
      <c r="T285" s="8">
        <v>350</v>
      </c>
      <c r="U285" s="8">
        <v>300</v>
      </c>
      <c r="V285" s="8">
        <v>300</v>
      </c>
      <c r="W285" s="1" t="s">
        <v>1539</v>
      </c>
      <c r="X285" s="1"/>
      <c r="Y285" s="1" t="s">
        <v>1540</v>
      </c>
      <c r="Z285" s="1" t="s">
        <v>361</v>
      </c>
      <c r="AA285" s="1" t="s">
        <v>1541</v>
      </c>
      <c r="AB285" s="10" t="s">
        <v>344</v>
      </c>
      <c r="AC285" s="10" t="s">
        <v>68</v>
      </c>
      <c r="AD285" s="10" t="str">
        <f>IFERROR(VLOOKUP(B285,'Regiões Administrativas'!$A$1:$B$646,2,0),"")</f>
        <v>São José dos Campos</v>
      </c>
      <c r="AE285" s="10">
        <f>IFERROR(VLOOKUP(Form_Responses[[#This Row],[Município]],'Regiões Administrativas'!$A$1:$I$646,3,0),"")</f>
        <v>15721</v>
      </c>
      <c r="AF285" s="10">
        <f>IFERROR(VLOOKUP(Form_Responses[[#This Row],[Município]],'Regiões Administrativas'!$A$1:$I$646,4,0),"")</f>
        <v>350970005000001</v>
      </c>
      <c r="AG285" s="10">
        <f>IFERROR(VLOOKUP(Form_Responses[[#This Row],[Município]],'Regiões Administrativas'!$A$1:$I$646,4,0),"")</f>
        <v>350970005000001</v>
      </c>
      <c r="AH285" s="10">
        <f>IFERROR(VLOOKUP(B285,'Regiões Administrativas'!$A$1:$I$646,5,0),"")</f>
        <v>3509700</v>
      </c>
      <c r="AI285" s="10">
        <f>IFERROR(VLOOKUP(B285,'Regiões Administrativas'!$A$1:$I$646,6,0),"")</f>
        <v>-45.589201699999997</v>
      </c>
      <c r="AJ285" s="10">
        <f>IFERROR(VLOOKUP(B285,'Regiões Administrativas'!$A$1:$I$646,8,0),"")</f>
        <v>1639.1545000000001</v>
      </c>
      <c r="AK285" s="10" t="str">
        <f>IFERROR(VLOOKUP(Form_Responses[[#This Row],[Município]],'Regiões Administrativas'!$A$1:$I$646,9,0),"")</f>
        <v>1J6trlyb{Ztf</v>
      </c>
    </row>
    <row r="286" spans="1:37" ht="22.5" customHeight="1">
      <c r="A286" s="5">
        <v>46034.359550370369</v>
      </c>
      <c r="B286" s="1" t="s">
        <v>1542</v>
      </c>
      <c r="C286" s="1" t="s">
        <v>1543</v>
      </c>
      <c r="D286" s="1" t="s">
        <v>1544</v>
      </c>
      <c r="E286" s="1" t="s">
        <v>1545</v>
      </c>
      <c r="F286" s="1"/>
      <c r="G286" s="1" t="s">
        <v>1546</v>
      </c>
      <c r="H286" s="6" t="s">
        <v>1547</v>
      </c>
      <c r="I286" s="1" t="s">
        <v>109</v>
      </c>
      <c r="J286" s="7">
        <v>46088</v>
      </c>
      <c r="K286" s="7">
        <v>46109</v>
      </c>
      <c r="L286" s="11">
        <v>0.8125</v>
      </c>
      <c r="M286" s="11">
        <v>4.1666666664241347E-2</v>
      </c>
      <c r="N286" s="1" t="s">
        <v>44</v>
      </c>
      <c r="O286" s="1" t="s">
        <v>221</v>
      </c>
      <c r="P286" s="1" t="s">
        <v>221</v>
      </c>
      <c r="Q286" s="1" t="s">
        <v>47</v>
      </c>
      <c r="R286" s="1" t="s">
        <v>74</v>
      </c>
      <c r="S286" s="8">
        <v>5000</v>
      </c>
      <c r="T286" s="8">
        <v>5000</v>
      </c>
      <c r="U286" s="8">
        <v>5000</v>
      </c>
      <c r="V286" s="8">
        <v>3000</v>
      </c>
      <c r="W286" s="1" t="s">
        <v>1548</v>
      </c>
      <c r="X286" s="1"/>
      <c r="Y286" s="1" t="s">
        <v>1549</v>
      </c>
      <c r="Z286" s="1" t="s">
        <v>76</v>
      </c>
      <c r="AA286" s="1" t="s">
        <v>113</v>
      </c>
      <c r="AB286" s="10" t="s">
        <v>66</v>
      </c>
      <c r="AC286" s="10" t="s">
        <v>68</v>
      </c>
      <c r="AD286" s="10" t="str">
        <f>IFERROR(VLOOKUP(B286,'Regiões Administrativas'!$A$1:$B$646,2,0),"")</f>
        <v>Bauru</v>
      </c>
      <c r="AE286" s="10">
        <f>IFERROR(VLOOKUP(Form_Responses[[#This Row],[Município]],'Regiões Administrativas'!$A$1:$I$646,3,0),"")</f>
        <v>16854</v>
      </c>
      <c r="AF286" s="10">
        <f>IFERROR(VLOOKUP(Form_Responses[[#This Row],[Município]],'Regiões Administrativas'!$A$1:$I$646,4,0),"")</f>
        <v>354010105000001</v>
      </c>
      <c r="AG286" s="10">
        <f>IFERROR(VLOOKUP(Form_Responses[[#This Row],[Município]],'Regiões Administrativas'!$A$1:$I$646,4,0),"")</f>
        <v>354010105000001</v>
      </c>
      <c r="AH286" s="10">
        <f>IFERROR(VLOOKUP(B286,'Regiões Administrativas'!$A$1:$I$646,5,0),"")</f>
        <v>3540101</v>
      </c>
      <c r="AI286" s="10">
        <f>IFERROR(VLOOKUP(B286,'Regiões Administrativas'!$A$1:$I$646,6,0),"")</f>
        <v>-49.3608701</v>
      </c>
      <c r="AJ286" s="10">
        <f>IFERROR(VLOOKUP(B286,'Regiões Administrativas'!$A$1:$I$646,8,0),"")</f>
        <v>414.678968</v>
      </c>
      <c r="AK286" s="10" t="str">
        <f>IFERROR(VLOOKUP(Form_Responses[[#This Row],[Município]],'Regiões Administrativas'!$A$1:$I$646,9,0),"")</f>
        <v>1J6RR8celtG-</v>
      </c>
    </row>
    <row r="287" spans="1:37" ht="22.5" customHeight="1">
      <c r="A287" s="5">
        <v>46034.365969293984</v>
      </c>
      <c r="B287" s="1" t="s">
        <v>529</v>
      </c>
      <c r="C287" s="1" t="s">
        <v>115</v>
      </c>
      <c r="D287" s="1" t="s">
        <v>1550</v>
      </c>
      <c r="E287" s="1" t="s">
        <v>1551</v>
      </c>
      <c r="F287" s="1"/>
      <c r="G287" s="1" t="s">
        <v>1552</v>
      </c>
      <c r="H287" s="1"/>
      <c r="I287" s="1" t="s">
        <v>220</v>
      </c>
      <c r="J287" s="7">
        <v>46151</v>
      </c>
      <c r="K287" s="1"/>
      <c r="L287" s="11">
        <v>0.83333333333575865</v>
      </c>
      <c r="M287" s="11">
        <v>8.3333333335758653E-2</v>
      </c>
      <c r="N287" s="1" t="s">
        <v>73</v>
      </c>
      <c r="O287" s="1" t="s">
        <v>45</v>
      </c>
      <c r="P287" s="1" t="s">
        <v>63</v>
      </c>
      <c r="Q287" s="1" t="s">
        <v>47</v>
      </c>
      <c r="R287" s="1" t="s">
        <v>74</v>
      </c>
      <c r="S287" s="8">
        <v>3000</v>
      </c>
      <c r="T287" s="8"/>
      <c r="U287" s="8"/>
      <c r="V287" s="8"/>
      <c r="W287" s="1" t="s">
        <v>1553</v>
      </c>
      <c r="X287" s="1"/>
      <c r="Y287" s="1" t="s">
        <v>535</v>
      </c>
      <c r="Z287" s="1" t="s">
        <v>402</v>
      </c>
      <c r="AA287" s="1" t="s">
        <v>1366</v>
      </c>
      <c r="AB287" s="10" t="s">
        <v>66</v>
      </c>
      <c r="AC287" s="10" t="s">
        <v>68</v>
      </c>
      <c r="AD287" s="10" t="str">
        <f>IFERROR(VLOOKUP(B287,'Regiões Administrativas'!$A$1:$B$646,2,0),"")</f>
        <v>Marília</v>
      </c>
      <c r="AE287" s="10">
        <f>IFERROR(VLOOKUP(Form_Responses[[#This Row],[Município]],'Regiões Administrativas'!$A$1:$I$646,3,0),"")</f>
        <v>17061</v>
      </c>
      <c r="AF287" s="10">
        <f>IFERROR(VLOOKUP(Form_Responses[[#This Row],[Município]],'Regiões Administrativas'!$A$1:$I$646,4,0),"")</f>
        <v>354640505000001</v>
      </c>
      <c r="AG287" s="10">
        <f>IFERROR(VLOOKUP(Form_Responses[[#This Row],[Município]],'Regiões Administrativas'!$A$1:$I$646,4,0),"")</f>
        <v>354640505000001</v>
      </c>
      <c r="AH287" s="10">
        <f>IFERROR(VLOOKUP(B287,'Regiões Administrativas'!$A$1:$I$646,5,0),"")</f>
        <v>3546405</v>
      </c>
      <c r="AI287" s="10">
        <f>IFERROR(VLOOKUP(B287,'Regiões Administrativas'!$A$1:$I$646,6,0),"")</f>
        <v>-49.624608899999998</v>
      </c>
      <c r="AJ287" s="10">
        <f>IFERROR(VLOOKUP(B287,'Regiões Administrativas'!$A$1:$I$646,8,0),"")</f>
        <v>456.771523</v>
      </c>
      <c r="AK287" s="10" t="str">
        <f>IFERROR(VLOOKUP(Form_Responses[[#This Row],[Município]],'Regiões Administrativas'!$A$1:$I$646,9,0),"")</f>
        <v>1J6RW@*2i4+p</v>
      </c>
    </row>
    <row r="288" spans="1:37" ht="22.5" customHeight="1">
      <c r="A288" s="5">
        <v>46034.36825024306</v>
      </c>
      <c r="B288" s="1" t="s">
        <v>529</v>
      </c>
      <c r="C288" s="1" t="s">
        <v>115</v>
      </c>
      <c r="D288" s="1" t="s">
        <v>1554</v>
      </c>
      <c r="E288" s="1" t="s">
        <v>1555</v>
      </c>
      <c r="F288" s="1"/>
      <c r="G288" s="1" t="s">
        <v>1556</v>
      </c>
      <c r="H288" s="1"/>
      <c r="I288" s="1" t="s">
        <v>128</v>
      </c>
      <c r="J288" s="7">
        <v>46123</v>
      </c>
      <c r="K288" s="1"/>
      <c r="L288" s="11">
        <v>0.79166666666424135</v>
      </c>
      <c r="M288" s="11">
        <v>8.3333333335758653E-2</v>
      </c>
      <c r="N288" s="1" t="s">
        <v>73</v>
      </c>
      <c r="O288" s="1" t="s">
        <v>45</v>
      </c>
      <c r="P288" s="1" t="s">
        <v>63</v>
      </c>
      <c r="Q288" s="1" t="s">
        <v>47</v>
      </c>
      <c r="R288" s="1" t="s">
        <v>74</v>
      </c>
      <c r="S288" s="8">
        <v>3000</v>
      </c>
      <c r="T288" s="8"/>
      <c r="U288" s="8"/>
      <c r="V288" s="8"/>
      <c r="W288" s="1" t="s">
        <v>1553</v>
      </c>
      <c r="X288" s="1"/>
      <c r="Y288" s="1" t="s">
        <v>535</v>
      </c>
      <c r="Z288" s="1" t="s">
        <v>402</v>
      </c>
      <c r="AA288" s="1" t="s">
        <v>1366</v>
      </c>
      <c r="AB288" s="10" t="s">
        <v>66</v>
      </c>
      <c r="AC288" s="10" t="s">
        <v>68</v>
      </c>
      <c r="AD288" s="10" t="str">
        <f>IFERROR(VLOOKUP(B288,'Regiões Administrativas'!$A$1:$B$646,2,0),"")</f>
        <v>Marília</v>
      </c>
      <c r="AE288" s="10">
        <f>IFERROR(VLOOKUP(Form_Responses[[#This Row],[Município]],'Regiões Administrativas'!$A$1:$I$646,3,0),"")</f>
        <v>17061</v>
      </c>
      <c r="AF288" s="10">
        <f>IFERROR(VLOOKUP(Form_Responses[[#This Row],[Município]],'Regiões Administrativas'!$A$1:$I$646,4,0),"")</f>
        <v>354640505000001</v>
      </c>
      <c r="AG288" s="10">
        <f>IFERROR(VLOOKUP(Form_Responses[[#This Row],[Município]],'Regiões Administrativas'!$A$1:$I$646,4,0),"")</f>
        <v>354640505000001</v>
      </c>
      <c r="AH288" s="10">
        <f>IFERROR(VLOOKUP(B288,'Regiões Administrativas'!$A$1:$I$646,5,0),"")</f>
        <v>3546405</v>
      </c>
      <c r="AI288" s="10">
        <f>IFERROR(VLOOKUP(B288,'Regiões Administrativas'!$A$1:$I$646,6,0),"")</f>
        <v>-49.624608899999998</v>
      </c>
      <c r="AJ288" s="10">
        <f>IFERROR(VLOOKUP(B288,'Regiões Administrativas'!$A$1:$I$646,8,0),"")</f>
        <v>456.771523</v>
      </c>
      <c r="AK288" s="10" t="str">
        <f>IFERROR(VLOOKUP(Form_Responses[[#This Row],[Município]],'Regiões Administrativas'!$A$1:$I$646,9,0),"")</f>
        <v>1J6RW@*2i4+p</v>
      </c>
    </row>
    <row r="289" spans="1:37" ht="22.5" customHeight="1">
      <c r="A289" s="13">
        <v>46034.36876975694</v>
      </c>
      <c r="B289" s="1" t="s">
        <v>1542</v>
      </c>
      <c r="C289" s="1" t="s">
        <v>1543</v>
      </c>
      <c r="D289" s="1" t="s">
        <v>1557</v>
      </c>
      <c r="E289" s="1" t="s">
        <v>1558</v>
      </c>
      <c r="F289" s="1"/>
      <c r="G289" s="1" t="s">
        <v>1559</v>
      </c>
      <c r="H289" s="6" t="s">
        <v>1547</v>
      </c>
      <c r="I289" s="1" t="s">
        <v>81</v>
      </c>
      <c r="J289" s="7">
        <v>46268</v>
      </c>
      <c r="K289" s="7">
        <v>46270</v>
      </c>
      <c r="L289" s="11">
        <v>0.875</v>
      </c>
      <c r="M289" s="11">
        <v>8.3333333335758653E-2</v>
      </c>
      <c r="N289" s="1" t="s">
        <v>44</v>
      </c>
      <c r="O289" s="1" t="s">
        <v>45</v>
      </c>
      <c r="P289" s="1" t="s">
        <v>46</v>
      </c>
      <c r="Q289" s="1" t="s">
        <v>47</v>
      </c>
      <c r="R289" s="1" t="s">
        <v>74</v>
      </c>
      <c r="S289" s="8">
        <v>4000</v>
      </c>
      <c r="T289" s="8">
        <v>3000</v>
      </c>
      <c r="U289" s="8">
        <v>2500</v>
      </c>
      <c r="V289" s="8">
        <v>2500</v>
      </c>
      <c r="W289" s="1" t="s">
        <v>1560</v>
      </c>
      <c r="X289" s="6" t="s">
        <v>1547</v>
      </c>
      <c r="Y289" s="1" t="s">
        <v>1561</v>
      </c>
      <c r="Z289" s="1" t="s">
        <v>76</v>
      </c>
      <c r="AA289" s="1" t="s">
        <v>156</v>
      </c>
      <c r="AB289" s="10" t="s">
        <v>66</v>
      </c>
      <c r="AC289" s="10" t="s">
        <v>68</v>
      </c>
      <c r="AD289" s="10" t="str">
        <f>IFERROR(VLOOKUP(B289,'Regiões Administrativas'!$A$1:$B$646,2,0),"")</f>
        <v>Bauru</v>
      </c>
      <c r="AE289" s="10">
        <f>IFERROR(VLOOKUP(Form_Responses[[#This Row],[Município]],'Regiões Administrativas'!$A$1:$I$646,3,0),"")</f>
        <v>16854</v>
      </c>
      <c r="AF289" s="10">
        <f>IFERROR(VLOOKUP(Form_Responses[[#This Row],[Município]],'Regiões Administrativas'!$A$1:$I$646,4,0),"")</f>
        <v>354010105000001</v>
      </c>
      <c r="AG289" s="10">
        <f>IFERROR(VLOOKUP(Form_Responses[[#This Row],[Município]],'Regiões Administrativas'!$A$1:$I$646,4,0),"")</f>
        <v>354010105000001</v>
      </c>
      <c r="AH289" s="10">
        <f>IFERROR(VLOOKUP(B289,'Regiões Administrativas'!$A$1:$I$646,5,0),"")</f>
        <v>3540101</v>
      </c>
      <c r="AI289" s="10">
        <f>IFERROR(VLOOKUP(B289,'Regiões Administrativas'!$A$1:$I$646,6,0),"")</f>
        <v>-49.3608701</v>
      </c>
      <c r="AJ289" s="10">
        <f>IFERROR(VLOOKUP(B289,'Regiões Administrativas'!$A$1:$I$646,8,0),"")</f>
        <v>414.678968</v>
      </c>
      <c r="AK289" s="10" t="str">
        <f>IFERROR(VLOOKUP(Form_Responses[[#This Row],[Município]],'Regiões Administrativas'!$A$1:$I$646,9,0),"")</f>
        <v>1J6RR8celtG-</v>
      </c>
    </row>
    <row r="290" spans="1:37" ht="22.5" customHeight="1">
      <c r="A290" s="13">
        <v>46034.373962696758</v>
      </c>
      <c r="B290" s="1" t="s">
        <v>529</v>
      </c>
      <c r="C290" s="1" t="s">
        <v>115</v>
      </c>
      <c r="D290" s="1" t="s">
        <v>1562</v>
      </c>
      <c r="E290" s="1" t="s">
        <v>1563</v>
      </c>
      <c r="F290" s="1"/>
      <c r="G290" s="1" t="s">
        <v>1564</v>
      </c>
      <c r="H290" s="1"/>
      <c r="I290" s="1" t="s">
        <v>81</v>
      </c>
      <c r="J290" s="7">
        <v>45905</v>
      </c>
      <c r="K290" s="1"/>
      <c r="L290" s="11">
        <v>0.70833333333575865</v>
      </c>
      <c r="M290" s="1"/>
      <c r="N290" s="1" t="s">
        <v>98</v>
      </c>
      <c r="O290" s="1" t="s">
        <v>221</v>
      </c>
      <c r="P290" s="1" t="s">
        <v>221</v>
      </c>
      <c r="Q290" s="1" t="s">
        <v>47</v>
      </c>
      <c r="R290" s="1" t="s">
        <v>74</v>
      </c>
      <c r="S290" s="8">
        <v>2500</v>
      </c>
      <c r="T290" s="8">
        <v>1500</v>
      </c>
      <c r="U290" s="8">
        <v>1800</v>
      </c>
      <c r="V290" s="8"/>
      <c r="W290" s="1" t="s">
        <v>1553</v>
      </c>
      <c r="X290" s="1"/>
      <c r="Y290" s="1" t="s">
        <v>535</v>
      </c>
      <c r="Z290" s="1" t="s">
        <v>224</v>
      </c>
      <c r="AA290" s="1" t="s">
        <v>113</v>
      </c>
      <c r="AB290" s="10" t="s">
        <v>66</v>
      </c>
      <c r="AC290" s="10" t="s">
        <v>68</v>
      </c>
      <c r="AD290" s="10" t="str">
        <f>IFERROR(VLOOKUP(B290,'Regiões Administrativas'!$A$1:$B$646,2,0),"")</f>
        <v>Marília</v>
      </c>
      <c r="AE290" s="10">
        <f>IFERROR(VLOOKUP(Form_Responses[[#This Row],[Município]],'Regiões Administrativas'!$A$1:$I$646,3,0),"")</f>
        <v>17061</v>
      </c>
      <c r="AF290" s="10">
        <f>IFERROR(VLOOKUP(Form_Responses[[#This Row],[Município]],'Regiões Administrativas'!$A$1:$I$646,4,0),"")</f>
        <v>354640505000001</v>
      </c>
      <c r="AG290" s="10">
        <f>IFERROR(VLOOKUP(Form_Responses[[#This Row],[Município]],'Regiões Administrativas'!$A$1:$I$646,4,0),"")</f>
        <v>354640505000001</v>
      </c>
      <c r="AH290" s="10">
        <f>IFERROR(VLOOKUP(B290,'Regiões Administrativas'!$A$1:$I$646,5,0),"")</f>
        <v>3546405</v>
      </c>
      <c r="AI290" s="10">
        <f>IFERROR(VLOOKUP(B290,'Regiões Administrativas'!$A$1:$I$646,6,0),"")</f>
        <v>-49.624608899999998</v>
      </c>
      <c r="AJ290" s="10">
        <f>IFERROR(VLOOKUP(B290,'Regiões Administrativas'!$A$1:$I$646,8,0),"")</f>
        <v>456.771523</v>
      </c>
      <c r="AK290" s="10" t="str">
        <f>IFERROR(VLOOKUP(Form_Responses[[#This Row],[Município]],'Regiões Administrativas'!$A$1:$I$646,9,0),"")</f>
        <v>1J6RW@*2i4+p</v>
      </c>
    </row>
    <row r="291" spans="1:37" ht="22.5" customHeight="1">
      <c r="A291" s="5">
        <v>46034.379267731478</v>
      </c>
      <c r="B291" s="1" t="s">
        <v>529</v>
      </c>
      <c r="C291" s="1" t="s">
        <v>115</v>
      </c>
      <c r="D291" s="1" t="s">
        <v>1565</v>
      </c>
      <c r="E291" s="1" t="s">
        <v>1566</v>
      </c>
      <c r="F291" s="1"/>
      <c r="G291" s="1" t="s">
        <v>1556</v>
      </c>
      <c r="H291" s="1"/>
      <c r="I291" s="1" t="s">
        <v>128</v>
      </c>
      <c r="J291" s="7">
        <v>45750</v>
      </c>
      <c r="K291" s="1"/>
      <c r="L291" s="11">
        <v>0.85416666666424135</v>
      </c>
      <c r="M291" s="11">
        <v>0.95833333333575865</v>
      </c>
      <c r="N291" s="1" t="s">
        <v>98</v>
      </c>
      <c r="O291" s="1" t="s">
        <v>221</v>
      </c>
      <c r="P291" s="1" t="s">
        <v>480</v>
      </c>
      <c r="Q291" s="1" t="s">
        <v>47</v>
      </c>
      <c r="R291" s="1" t="s">
        <v>74</v>
      </c>
      <c r="S291" s="8">
        <v>2500</v>
      </c>
      <c r="T291" s="8">
        <v>1800</v>
      </c>
      <c r="U291" s="8">
        <v>1500</v>
      </c>
      <c r="V291" s="8">
        <v>1500</v>
      </c>
      <c r="W291" s="1" t="s">
        <v>1567</v>
      </c>
      <c r="X291" s="1"/>
      <c r="Y291" s="1" t="s">
        <v>535</v>
      </c>
      <c r="Z291" s="1" t="s">
        <v>224</v>
      </c>
      <c r="AA291" s="1" t="s">
        <v>113</v>
      </c>
      <c r="AB291" s="10" t="s">
        <v>66</v>
      </c>
      <c r="AC291" s="10" t="s">
        <v>68</v>
      </c>
      <c r="AD291" s="10" t="str">
        <f>IFERROR(VLOOKUP(B291,'Regiões Administrativas'!$A$1:$B$646,2,0),"")</f>
        <v>Marília</v>
      </c>
      <c r="AE291" s="10">
        <f>IFERROR(VLOOKUP(Form_Responses[[#This Row],[Município]],'Regiões Administrativas'!$A$1:$I$646,3,0),"")</f>
        <v>17061</v>
      </c>
      <c r="AF291" s="10">
        <f>IFERROR(VLOOKUP(Form_Responses[[#This Row],[Município]],'Regiões Administrativas'!$A$1:$I$646,4,0),"")</f>
        <v>354640505000001</v>
      </c>
      <c r="AG291" s="10">
        <f>IFERROR(VLOOKUP(Form_Responses[[#This Row],[Município]],'Regiões Administrativas'!$A$1:$I$646,4,0),"")</f>
        <v>354640505000001</v>
      </c>
      <c r="AH291" s="10">
        <f>IFERROR(VLOOKUP(B291,'Regiões Administrativas'!$A$1:$I$646,5,0),"")</f>
        <v>3546405</v>
      </c>
      <c r="AI291" s="10">
        <f>IFERROR(VLOOKUP(B291,'Regiões Administrativas'!$A$1:$I$646,6,0),"")</f>
        <v>-49.624608899999998</v>
      </c>
      <c r="AJ291" s="10">
        <f>IFERROR(VLOOKUP(B291,'Regiões Administrativas'!$A$1:$I$646,8,0),"")</f>
        <v>456.771523</v>
      </c>
      <c r="AK291" s="10" t="str">
        <f>IFERROR(VLOOKUP(Form_Responses[[#This Row],[Município]],'Regiões Administrativas'!$A$1:$I$646,9,0),"")</f>
        <v>1J6RW@*2i4+p</v>
      </c>
    </row>
    <row r="292" spans="1:37" ht="22.5" customHeight="1">
      <c r="A292" s="13">
        <v>46034.381978622681</v>
      </c>
      <c r="B292" s="1" t="s">
        <v>529</v>
      </c>
      <c r="C292" s="1" t="s">
        <v>115</v>
      </c>
      <c r="D292" s="1" t="s">
        <v>1568</v>
      </c>
      <c r="E292" s="1" t="s">
        <v>1569</v>
      </c>
      <c r="F292" s="1"/>
      <c r="G292" s="1" t="s">
        <v>1556</v>
      </c>
      <c r="H292" s="1"/>
      <c r="I292" s="1" t="s">
        <v>81</v>
      </c>
      <c r="J292" s="7">
        <v>46278</v>
      </c>
      <c r="K292" s="1"/>
      <c r="L292" s="11">
        <v>0.41666666666424135</v>
      </c>
      <c r="M292" s="11">
        <v>0.95833333333575865</v>
      </c>
      <c r="N292" s="1" t="s">
        <v>268</v>
      </c>
      <c r="O292" s="1" t="s">
        <v>99</v>
      </c>
      <c r="P292" s="1" t="s">
        <v>63</v>
      </c>
      <c r="Q292" s="1" t="s">
        <v>47</v>
      </c>
      <c r="R292" s="1" t="s">
        <v>74</v>
      </c>
      <c r="S292" s="8">
        <v>5000</v>
      </c>
      <c r="T292" s="8">
        <v>4800</v>
      </c>
      <c r="U292" s="8">
        <v>4800</v>
      </c>
      <c r="V292" s="8">
        <v>4500</v>
      </c>
      <c r="W292" s="1" t="s">
        <v>1570</v>
      </c>
      <c r="X292" s="1"/>
      <c r="Y292" s="1" t="s">
        <v>535</v>
      </c>
      <c r="Z292" s="1" t="s">
        <v>1571</v>
      </c>
      <c r="AA292" s="1" t="s">
        <v>113</v>
      </c>
      <c r="AB292" s="10" t="s">
        <v>66</v>
      </c>
      <c r="AC292" s="10" t="s">
        <v>68</v>
      </c>
      <c r="AD292" s="10" t="str">
        <f>IFERROR(VLOOKUP(B292,'Regiões Administrativas'!$A$1:$B$646,2,0),"")</f>
        <v>Marília</v>
      </c>
      <c r="AE292" s="10">
        <f>IFERROR(VLOOKUP(Form_Responses[[#This Row],[Município]],'Regiões Administrativas'!$A$1:$I$646,3,0),"")</f>
        <v>17061</v>
      </c>
      <c r="AF292" s="10">
        <f>IFERROR(VLOOKUP(Form_Responses[[#This Row],[Município]],'Regiões Administrativas'!$A$1:$I$646,4,0),"")</f>
        <v>354640505000001</v>
      </c>
      <c r="AG292" s="10">
        <f>IFERROR(VLOOKUP(Form_Responses[[#This Row],[Município]],'Regiões Administrativas'!$A$1:$I$646,4,0),"")</f>
        <v>354640505000001</v>
      </c>
      <c r="AH292" s="10">
        <f>IFERROR(VLOOKUP(B292,'Regiões Administrativas'!$A$1:$I$646,5,0),"")</f>
        <v>3546405</v>
      </c>
      <c r="AI292" s="10">
        <f>IFERROR(VLOOKUP(B292,'Regiões Administrativas'!$A$1:$I$646,6,0),"")</f>
        <v>-49.624608899999998</v>
      </c>
      <c r="AJ292" s="10">
        <f>IFERROR(VLOOKUP(B292,'Regiões Administrativas'!$A$1:$I$646,8,0),"")</f>
        <v>456.771523</v>
      </c>
      <c r="AK292" s="10" t="str">
        <f>IFERROR(VLOOKUP(Form_Responses[[#This Row],[Município]],'Regiões Administrativas'!$A$1:$I$646,9,0),"")</f>
        <v>1J6RW@*2i4+p</v>
      </c>
    </row>
    <row r="293" spans="1:37" ht="22.5" customHeight="1">
      <c r="A293" s="15">
        <v>46034.589956759257</v>
      </c>
      <c r="B293" s="10" t="s">
        <v>1572</v>
      </c>
      <c r="C293" s="10" t="s">
        <v>237</v>
      </c>
      <c r="D293" s="10" t="s">
        <v>1573</v>
      </c>
      <c r="E293" s="10" t="s">
        <v>1574</v>
      </c>
      <c r="G293" s="10" t="s">
        <v>1575</v>
      </c>
      <c r="H293" s="10" t="s">
        <v>1576</v>
      </c>
      <c r="I293" s="10" t="s">
        <v>89</v>
      </c>
      <c r="J293" s="16">
        <v>46067</v>
      </c>
      <c r="K293" s="16">
        <v>46069</v>
      </c>
      <c r="L293" s="17">
        <v>0.79166666666424135</v>
      </c>
      <c r="M293" s="17">
        <v>0.16666666666424135</v>
      </c>
      <c r="N293" s="10" t="s">
        <v>44</v>
      </c>
      <c r="O293" s="10" t="s">
        <v>45</v>
      </c>
      <c r="P293" s="10" t="s">
        <v>90</v>
      </c>
      <c r="Q293" s="10" t="s">
        <v>47</v>
      </c>
      <c r="R293" s="10" t="s">
        <v>48</v>
      </c>
      <c r="S293" s="10">
        <v>25000</v>
      </c>
      <c r="T293" s="10">
        <v>20000</v>
      </c>
      <c r="U293" s="10">
        <v>15000</v>
      </c>
      <c r="V293" s="10">
        <v>15000</v>
      </c>
      <c r="W293" s="10" t="s">
        <v>990</v>
      </c>
      <c r="Y293" s="10" t="s">
        <v>1577</v>
      </c>
      <c r="Z293" s="10" t="s">
        <v>361</v>
      </c>
      <c r="AA293" s="10" t="s">
        <v>536</v>
      </c>
      <c r="AB293" s="10" t="s">
        <v>207</v>
      </c>
      <c r="AC293" s="10" t="s">
        <v>68</v>
      </c>
      <c r="AD293" s="10" t="str">
        <f>IFERROR(VLOOKUP(B293,'Regiões Administrativas'!$A$1:$B$646,2,0),"")</f>
        <v>Presidente Prudente</v>
      </c>
      <c r="AE293" s="10">
        <f>IFERROR(VLOOKUP(Form_Responses[[#This Row],[Município]],'Regiões Administrativas'!$A$1:$I$646,3,0),"")</f>
        <v>16985</v>
      </c>
      <c r="AF293" s="10">
        <f>IFERROR(VLOOKUP(Form_Responses[[#This Row],[Município]],'Regiões Administrativas'!$A$1:$I$646,4,0),"")</f>
        <v>354425105000001</v>
      </c>
      <c r="AG293" s="10">
        <f>IFERROR(VLOOKUP(Form_Responses[[#This Row],[Município]],'Regiões Administrativas'!$A$1:$I$646,4,0),"")</f>
        <v>354425105000001</v>
      </c>
      <c r="AH293" s="10">
        <f>IFERROR(VLOOKUP(B293,'Regiões Administrativas'!$A$1:$I$646,5,0),"")</f>
        <v>3544251</v>
      </c>
      <c r="AI293" s="10">
        <f>IFERROR(VLOOKUP(B293,'Regiões Administrativas'!$A$1:$I$646,6,0),"")</f>
        <v>-53.058654500000003</v>
      </c>
      <c r="AJ293" s="10">
        <f>IFERROR(VLOOKUP(B293,'Regiões Administrativas'!$A$1:$I$646,8,0),"")</f>
        <v>280.69404700000001</v>
      </c>
      <c r="AK293" s="10" t="str">
        <f>IFERROR(VLOOKUP(Form_Responses[[#This Row],[Município]],'Regiões Administrativas'!$A$1:$I$646,9,0),"")</f>
        <v>1J6QuRKeZJ:p</v>
      </c>
    </row>
    <row r="294" spans="1:37" ht="22.5" customHeight="1">
      <c r="A294" s="18">
        <v>46034.594956956018</v>
      </c>
      <c r="B294" s="10" t="s">
        <v>1572</v>
      </c>
      <c r="C294" s="10" t="s">
        <v>237</v>
      </c>
      <c r="D294" s="10" t="s">
        <v>1578</v>
      </c>
      <c r="E294" s="10" t="s">
        <v>1579</v>
      </c>
      <c r="G294" s="10" t="s">
        <v>1580</v>
      </c>
      <c r="H294" s="10" t="s">
        <v>1576</v>
      </c>
      <c r="I294" s="10" t="s">
        <v>81</v>
      </c>
      <c r="J294" s="16">
        <v>46268</v>
      </c>
      <c r="K294" s="16">
        <v>46271</v>
      </c>
      <c r="L294" s="17">
        <v>0.58333333333575865</v>
      </c>
      <c r="M294" s="17">
        <v>0.16666666666424135</v>
      </c>
      <c r="N294" s="10" t="s">
        <v>268</v>
      </c>
      <c r="O294" s="10" t="s">
        <v>142</v>
      </c>
      <c r="P294" s="10" t="s">
        <v>63</v>
      </c>
      <c r="Q294" s="10" t="s">
        <v>47</v>
      </c>
      <c r="R294" s="10" t="s">
        <v>48</v>
      </c>
      <c r="S294" s="10">
        <v>20000</v>
      </c>
      <c r="T294" s="10">
        <v>15000</v>
      </c>
      <c r="U294" s="10">
        <v>10000</v>
      </c>
      <c r="V294" s="10">
        <v>10000</v>
      </c>
      <c r="W294" s="10" t="s">
        <v>1576</v>
      </c>
      <c r="Y294" s="10" t="s">
        <v>1577</v>
      </c>
      <c r="Z294" s="10" t="s">
        <v>361</v>
      </c>
      <c r="AA294" s="10" t="s">
        <v>1581</v>
      </c>
      <c r="AB294" s="10" t="s">
        <v>207</v>
      </c>
      <c r="AC294" s="10" t="s">
        <v>68</v>
      </c>
      <c r="AD294" s="10" t="str">
        <f>IFERROR(VLOOKUP(B294,'Regiões Administrativas'!$A$1:$B$646,2,0),"")</f>
        <v>Presidente Prudente</v>
      </c>
      <c r="AE294" s="10">
        <f>IFERROR(VLOOKUP(Form_Responses[[#This Row],[Município]],'Regiões Administrativas'!$A$1:$I$646,3,0),"")</f>
        <v>16985</v>
      </c>
      <c r="AF294" s="10">
        <f>IFERROR(VLOOKUP(Form_Responses[[#This Row],[Município]],'Regiões Administrativas'!$A$1:$I$646,4,0),"")</f>
        <v>354425105000001</v>
      </c>
      <c r="AG294" s="10">
        <f>IFERROR(VLOOKUP(Form_Responses[[#This Row],[Município]],'Regiões Administrativas'!$A$1:$I$646,4,0),"")</f>
        <v>354425105000001</v>
      </c>
      <c r="AH294" s="10">
        <f>IFERROR(VLOOKUP(B294,'Regiões Administrativas'!$A$1:$I$646,5,0),"")</f>
        <v>3544251</v>
      </c>
      <c r="AI294" s="10">
        <f>IFERROR(VLOOKUP(B294,'Regiões Administrativas'!$A$1:$I$646,6,0),"")</f>
        <v>-53.058654500000003</v>
      </c>
      <c r="AJ294" s="10">
        <f>IFERROR(VLOOKUP(B294,'Regiões Administrativas'!$A$1:$I$646,8,0),"")</f>
        <v>280.69404700000001</v>
      </c>
      <c r="AK294" s="10" t="str">
        <f>IFERROR(VLOOKUP(Form_Responses[[#This Row],[Município]],'Regiões Administrativas'!$A$1:$I$646,9,0),"")</f>
        <v>1J6QuRKeZJ:p</v>
      </c>
    </row>
    <row r="295" spans="1:37" ht="22.5" customHeight="1">
      <c r="A295" s="15">
        <v>46034.706281909719</v>
      </c>
      <c r="B295" s="10" t="s">
        <v>1582</v>
      </c>
      <c r="C295" s="10" t="s">
        <v>753</v>
      </c>
      <c r="D295" s="10" t="s">
        <v>1583</v>
      </c>
      <c r="E295" s="10" t="s">
        <v>1584</v>
      </c>
      <c r="F295" s="10" t="s">
        <v>1585</v>
      </c>
      <c r="G295" s="10" t="s">
        <v>1586</v>
      </c>
      <c r="H295" s="10" t="s">
        <v>1587</v>
      </c>
      <c r="I295" s="10" t="s">
        <v>267</v>
      </c>
      <c r="J295" s="16">
        <v>46047</v>
      </c>
      <c r="K295" s="16">
        <v>46047</v>
      </c>
      <c r="L295" s="17">
        <v>0.375</v>
      </c>
      <c r="M295" s="17">
        <v>0.5</v>
      </c>
      <c r="N295" s="10" t="s">
        <v>421</v>
      </c>
      <c r="O295" s="10" t="s">
        <v>221</v>
      </c>
      <c r="P295" s="10" t="s">
        <v>221</v>
      </c>
      <c r="Q295" s="10" t="s">
        <v>47</v>
      </c>
      <c r="R295" s="10" t="s">
        <v>74</v>
      </c>
      <c r="S295" s="10">
        <v>400</v>
      </c>
      <c r="T295" s="10">
        <v>300</v>
      </c>
      <c r="U295" s="10">
        <v>250</v>
      </c>
      <c r="V295" s="10">
        <v>250</v>
      </c>
      <c r="W295" s="10" t="s">
        <v>1588</v>
      </c>
      <c r="X295" s="10" t="s">
        <v>1589</v>
      </c>
      <c r="Y295" s="10" t="s">
        <v>1590</v>
      </c>
      <c r="Z295" s="10" t="s">
        <v>66</v>
      </c>
      <c r="AA295" s="10" t="s">
        <v>66</v>
      </c>
      <c r="AB295" s="10" t="s">
        <v>66</v>
      </c>
      <c r="AC295" s="10" t="s">
        <v>68</v>
      </c>
      <c r="AD295" s="10" t="str">
        <f>IFERROR(VLOOKUP(B295,'Regiões Administrativas'!$A$1:$B$646,2,0),"")</f>
        <v>Campinas</v>
      </c>
      <c r="AE295" s="10">
        <f>IFERROR(VLOOKUP(Form_Responses[[#This Row],[Município]],'Regiões Administrativas'!$A$1:$I$646,3,0),"")</f>
        <v>15455</v>
      </c>
      <c r="AF295" s="10">
        <f>IFERROR(VLOOKUP(Form_Responses[[#This Row],[Município]],'Regiões Administrativas'!$A$1:$I$646,4,0),"")</f>
        <v>350330705000001</v>
      </c>
      <c r="AG295" s="10">
        <f>IFERROR(VLOOKUP(Form_Responses[[#This Row],[Município]],'Regiões Administrativas'!$A$1:$I$646,4,0),"")</f>
        <v>350330705000001</v>
      </c>
      <c r="AH295" s="10">
        <f>IFERROR(VLOOKUP(B295,'Regiões Administrativas'!$A$1:$I$646,5,0),"")</f>
        <v>3503307</v>
      </c>
      <c r="AI295" s="10">
        <f>IFERROR(VLOOKUP(B295,'Regiões Administrativas'!$A$1:$I$646,6,0),"")</f>
        <v>-47.3858295</v>
      </c>
      <c r="AJ295" s="10">
        <f>IFERROR(VLOOKUP(B295,'Regiões Administrativas'!$A$1:$I$646,8,0),"")</f>
        <v>635.49821499999996</v>
      </c>
      <c r="AK295" s="10" t="str">
        <f>IFERROR(VLOOKUP(Form_Responses[[#This Row],[Município]],'Regiões Administrativas'!$A$1:$I$646,9,0),"")</f>
        <v>1J6th.HGMuz-</v>
      </c>
    </row>
    <row r="296" spans="1:37" ht="22.5" customHeight="1">
      <c r="A296" s="15">
        <v>46035.360616446764</v>
      </c>
      <c r="B296" s="10" t="s">
        <v>1303</v>
      </c>
      <c r="C296" s="10" t="s">
        <v>1304</v>
      </c>
      <c r="D296" s="10" t="s">
        <v>1591</v>
      </c>
      <c r="E296" s="10" t="s">
        <v>1592</v>
      </c>
      <c r="G296" s="10" t="s">
        <v>1593</v>
      </c>
      <c r="H296" s="72" t="s">
        <v>1594</v>
      </c>
      <c r="I296" s="10" t="s">
        <v>267</v>
      </c>
      <c r="J296" s="16">
        <v>46025</v>
      </c>
      <c r="K296" s="16">
        <v>46376</v>
      </c>
      <c r="L296" s="17">
        <v>0.33333333333575865</v>
      </c>
      <c r="M296" s="17">
        <v>0.77083333333575865</v>
      </c>
      <c r="N296" s="10" t="s">
        <v>98</v>
      </c>
      <c r="O296" s="10" t="s">
        <v>99</v>
      </c>
      <c r="P296" s="10" t="s">
        <v>99</v>
      </c>
      <c r="Q296" s="10" t="s">
        <v>47</v>
      </c>
      <c r="R296" s="10" t="s">
        <v>48</v>
      </c>
      <c r="S296" s="10">
        <v>33000</v>
      </c>
      <c r="T296" s="10">
        <v>32749</v>
      </c>
      <c r="U296" s="10">
        <v>33200</v>
      </c>
      <c r="W296" s="10" t="s">
        <v>1595</v>
      </c>
      <c r="X296" s="72" t="s">
        <v>1594</v>
      </c>
      <c r="Y296" s="10" t="s">
        <v>1596</v>
      </c>
      <c r="Z296" s="10" t="s">
        <v>76</v>
      </c>
      <c r="AA296" s="10" t="s">
        <v>225</v>
      </c>
      <c r="AB296" s="10" t="s">
        <v>66</v>
      </c>
      <c r="AC296" s="10" t="s">
        <v>68</v>
      </c>
      <c r="AD296" s="10" t="str">
        <f>IFERROR(VLOOKUP(B296,'Regiões Administrativas'!$A$1:$B$646,2,0),"")</f>
        <v>RMSP</v>
      </c>
      <c r="AE296" s="10">
        <f>IFERROR(VLOOKUP(Form_Responses[[#This Row],[Município]],'Regiões Administrativas'!$A$1:$I$646,3,0),"")</f>
        <v>17200</v>
      </c>
      <c r="AF296" s="10">
        <f>IFERROR(VLOOKUP(Form_Responses[[#This Row],[Município]],'Regiões Administrativas'!$A$1:$I$646,4,0),"")</f>
        <v>355030801000001</v>
      </c>
      <c r="AG296" s="10">
        <f>IFERROR(VLOOKUP(Form_Responses[[#This Row],[Município]],'Regiões Administrativas'!$A$1:$I$646,4,0),"")</f>
        <v>355030801000001</v>
      </c>
      <c r="AH296" s="10">
        <f>IFERROR(VLOOKUP(B296,'Regiões Administrativas'!$A$1:$I$646,5,0),"")</f>
        <v>3550308</v>
      </c>
      <c r="AI296" s="10">
        <f>IFERROR(VLOOKUP(B296,'Regiões Administrativas'!$A$1:$I$646,6,0),"")</f>
        <v>-46.570383200000002</v>
      </c>
      <c r="AJ296" s="10">
        <f>IFERROR(VLOOKUP(B296,'Regiões Administrativas'!$A$1:$I$646,8,0),"")</f>
        <v>783.61512700000003</v>
      </c>
      <c r="AK296" s="10" t="str">
        <f>IFERROR(VLOOKUP(Form_Responses[[#This Row],[Município]],'Regiões Administrativas'!$A$1:$I$646,9,0),"")</f>
        <v>1J6to@yg_@Q&gt;</v>
      </c>
    </row>
    <row r="297" spans="1:37" ht="22.5" customHeight="1">
      <c r="A297" s="15">
        <v>46035.409894247685</v>
      </c>
      <c r="B297" s="10" t="s">
        <v>1597</v>
      </c>
      <c r="C297" s="10" t="s">
        <v>426</v>
      </c>
      <c r="D297" s="10" t="s">
        <v>1598</v>
      </c>
      <c r="E297" s="10" t="s">
        <v>1599</v>
      </c>
      <c r="G297" s="10" t="s">
        <v>1600</v>
      </c>
      <c r="H297" s="72" t="s">
        <v>1601</v>
      </c>
      <c r="I297" s="10" t="s">
        <v>267</v>
      </c>
      <c r="K297" s="16">
        <v>46041</v>
      </c>
      <c r="L297" s="17">
        <v>0.33333333333575865</v>
      </c>
      <c r="M297" s="17">
        <v>0.89583333333575865</v>
      </c>
      <c r="N297" s="10" t="s">
        <v>61</v>
      </c>
      <c r="O297" s="10" t="s">
        <v>62</v>
      </c>
      <c r="P297" s="10" t="s">
        <v>63</v>
      </c>
      <c r="Q297" s="10" t="s">
        <v>47</v>
      </c>
      <c r="R297" s="10" t="s">
        <v>48</v>
      </c>
      <c r="S297" s="19">
        <v>4000</v>
      </c>
      <c r="T297" s="10">
        <v>0</v>
      </c>
      <c r="U297" s="10">
        <v>0</v>
      </c>
      <c r="V297" s="10">
        <v>0</v>
      </c>
      <c r="W297" s="10" t="s">
        <v>1602</v>
      </c>
      <c r="Y297" s="10" t="s">
        <v>1603</v>
      </c>
      <c r="Z297" s="10" t="s">
        <v>224</v>
      </c>
      <c r="AA297" s="10" t="s">
        <v>113</v>
      </c>
      <c r="AB297" s="10" t="s">
        <v>66</v>
      </c>
      <c r="AC297" s="10" t="s">
        <v>68</v>
      </c>
      <c r="AD297" s="10" t="str">
        <f>IFERROR(VLOOKUP(B297,'Regiões Administrativas'!$A$1:$B$646,2,0),"")</f>
        <v>Araçatuba</v>
      </c>
      <c r="AE297" s="10">
        <f>IFERROR(VLOOKUP(Form_Responses[[#This Row],[Município]],'Regiões Administrativas'!$A$1:$I$646,3,0),"")</f>
        <v>15573</v>
      </c>
      <c r="AF297" s="10">
        <f>IFERROR(VLOOKUP(Form_Responses[[#This Row],[Município]],'Regiões Administrativas'!$A$1:$I$646,4,0),"")</f>
        <v>350620105000001</v>
      </c>
      <c r="AG297" s="10">
        <f>IFERROR(VLOOKUP(Form_Responses[[#This Row],[Município]],'Regiões Administrativas'!$A$1:$I$646,4,0),"")</f>
        <v>350620105000001</v>
      </c>
      <c r="AH297" s="10">
        <f>IFERROR(VLOOKUP(B297,'Regiões Administrativas'!$A$1:$I$646,5,0),"")</f>
        <v>3506201</v>
      </c>
      <c r="AI297" s="10">
        <f>IFERROR(VLOOKUP(B297,'Regiões Administrativas'!$A$1:$I$646,6,0),"")</f>
        <v>-50.811852199999997</v>
      </c>
      <c r="AJ297" s="10">
        <f>IFERROR(VLOOKUP(B297,'Regiões Administrativas'!$A$1:$I$646,8,0),"")</f>
        <v>432.32479000000001</v>
      </c>
      <c r="AK297" s="10" t="str">
        <f>IFERROR(VLOOKUP(Form_Responses[[#This Row],[Município]],'Regiões Administrativas'!$A$1:$I$646,9,0),"")</f>
        <v>1J6R==@hv@o&gt;</v>
      </c>
    </row>
    <row r="298" spans="1:37" ht="22.5" customHeight="1">
      <c r="A298" s="15">
        <v>46035.475280243059</v>
      </c>
      <c r="B298" s="10" t="s">
        <v>1604</v>
      </c>
      <c r="C298" s="10" t="s">
        <v>538</v>
      </c>
      <c r="D298" s="10" t="s">
        <v>1605</v>
      </c>
      <c r="E298" s="10" t="s">
        <v>1606</v>
      </c>
      <c r="G298" s="10" t="s">
        <v>1607</v>
      </c>
      <c r="I298" s="10" t="s">
        <v>267</v>
      </c>
      <c r="J298" s="16">
        <v>45673</v>
      </c>
      <c r="K298" s="16">
        <v>45682</v>
      </c>
      <c r="L298" s="17">
        <v>0.83333333333575865</v>
      </c>
      <c r="M298" s="17">
        <v>8.3333333335758653E-2</v>
      </c>
      <c r="N298" s="10" t="s">
        <v>110</v>
      </c>
      <c r="O298" s="10" t="s">
        <v>45</v>
      </c>
      <c r="P298" s="10" t="s">
        <v>99</v>
      </c>
      <c r="Q298" s="10" t="s">
        <v>47</v>
      </c>
      <c r="R298" s="10" t="s">
        <v>74</v>
      </c>
      <c r="S298" s="10">
        <v>5000</v>
      </c>
      <c r="T298" s="10">
        <v>7000</v>
      </c>
      <c r="U298" s="10">
        <v>2000</v>
      </c>
      <c r="V298" s="10">
        <v>1000</v>
      </c>
      <c r="W298" s="10" t="s">
        <v>1608</v>
      </c>
      <c r="Y298" s="10" t="s">
        <v>1609</v>
      </c>
      <c r="Z298" s="10" t="s">
        <v>402</v>
      </c>
      <c r="AA298" s="10" t="s">
        <v>1610</v>
      </c>
      <c r="AB298" s="10" t="s">
        <v>306</v>
      </c>
      <c r="AC298" s="10" t="s">
        <v>68</v>
      </c>
      <c r="AD298" s="10" t="str">
        <f>IFERROR(VLOOKUP(B298,'Regiões Administrativas'!$A$1:$B$646,2,0),"")</f>
        <v>Marília</v>
      </c>
      <c r="AE298" s="10">
        <f>IFERROR(VLOOKUP(Form_Responses[[#This Row],[Município]],'Regiões Administrativas'!$A$1:$I$646,3,0),"")</f>
        <v>17438</v>
      </c>
      <c r="AF298" s="10">
        <f>IFERROR(VLOOKUP(Form_Responses[[#This Row],[Município]],'Regiões Administrativas'!$A$1:$I$646,4,0),"")</f>
        <v>355660205000001</v>
      </c>
      <c r="AG298" s="10">
        <f>IFERROR(VLOOKUP(Form_Responses[[#This Row],[Município]],'Regiões Administrativas'!$A$1:$I$646,4,0),"")</f>
        <v>355660205000001</v>
      </c>
      <c r="AH298" s="10">
        <f>IFERROR(VLOOKUP(B298,'Regiões Administrativas'!$A$1:$I$646,5,0),"")</f>
        <v>3556602</v>
      </c>
      <c r="AI298" s="10">
        <f>IFERROR(VLOOKUP(B298,'Regiões Administrativas'!$A$1:$I$646,6,0),"")</f>
        <v>-49.821781700000003</v>
      </c>
      <c r="AJ298" s="10">
        <f>IFERROR(VLOOKUP(B298,'Regiões Administrativas'!$A$1:$I$646,8,0),"")</f>
        <v>650.27430400000003</v>
      </c>
      <c r="AK298" s="10" t="str">
        <f>IFERROR(VLOOKUP(Form_Responses[[#This Row],[Município]],'Regiões Administrativas'!$A$1:$I$646,9,0),"")</f>
        <v>1J6RRmwR?=op</v>
      </c>
    </row>
    <row r="299" spans="1:37" ht="22.5" customHeight="1">
      <c r="A299" s="15">
        <v>46035.485124363426</v>
      </c>
      <c r="B299" s="10" t="s">
        <v>1604</v>
      </c>
      <c r="C299" s="10" t="s">
        <v>538</v>
      </c>
      <c r="D299" s="10" t="s">
        <v>1611</v>
      </c>
      <c r="E299" s="10" t="s">
        <v>1612</v>
      </c>
      <c r="G299" s="10" t="s">
        <v>1613</v>
      </c>
      <c r="I299" s="10" t="s">
        <v>89</v>
      </c>
      <c r="J299" s="16">
        <v>46067</v>
      </c>
      <c r="K299" s="16">
        <v>46069</v>
      </c>
      <c r="L299" s="17">
        <v>0.79166666666424135</v>
      </c>
      <c r="M299" s="17">
        <v>8.3333333335758653E-2</v>
      </c>
      <c r="N299" s="10" t="s">
        <v>73</v>
      </c>
      <c r="O299" s="10" t="s">
        <v>45</v>
      </c>
      <c r="P299" s="10" t="s">
        <v>90</v>
      </c>
      <c r="Q299" s="10" t="s">
        <v>47</v>
      </c>
      <c r="R299" s="10" t="s">
        <v>74</v>
      </c>
      <c r="S299" s="10">
        <v>5000</v>
      </c>
      <c r="T299" s="10">
        <v>4500</v>
      </c>
      <c r="U299" s="10">
        <v>2000</v>
      </c>
      <c r="V299" s="10">
        <v>500</v>
      </c>
      <c r="W299" s="10" t="s">
        <v>1608</v>
      </c>
      <c r="Y299" s="10" t="s">
        <v>1614</v>
      </c>
      <c r="Z299" s="10" t="s">
        <v>402</v>
      </c>
      <c r="AA299" s="10" t="s">
        <v>1610</v>
      </c>
      <c r="AB299" s="10" t="s">
        <v>306</v>
      </c>
      <c r="AC299" s="10" t="s">
        <v>68</v>
      </c>
      <c r="AD299" s="10" t="str">
        <f>IFERROR(VLOOKUP(B299,'Regiões Administrativas'!$A$1:$B$646,2,0),"")</f>
        <v>Marília</v>
      </c>
      <c r="AE299" s="10">
        <f>IFERROR(VLOOKUP(Form_Responses[[#This Row],[Município]],'Regiões Administrativas'!$A$1:$I$646,3,0),"")</f>
        <v>17438</v>
      </c>
      <c r="AF299" s="10">
        <f>IFERROR(VLOOKUP(Form_Responses[[#This Row],[Município]],'Regiões Administrativas'!$A$1:$I$646,4,0),"")</f>
        <v>355660205000001</v>
      </c>
      <c r="AG299" s="10">
        <f>IFERROR(VLOOKUP(Form_Responses[[#This Row],[Município]],'Regiões Administrativas'!$A$1:$I$646,4,0),"")</f>
        <v>355660205000001</v>
      </c>
      <c r="AH299" s="10">
        <f>IFERROR(VLOOKUP(B299,'Regiões Administrativas'!$A$1:$I$646,5,0),"")</f>
        <v>3556602</v>
      </c>
      <c r="AI299" s="10">
        <f>IFERROR(VLOOKUP(B299,'Regiões Administrativas'!$A$1:$I$646,6,0),"")</f>
        <v>-49.821781700000003</v>
      </c>
      <c r="AJ299" s="10">
        <f>IFERROR(VLOOKUP(B299,'Regiões Administrativas'!$A$1:$I$646,8,0),"")</f>
        <v>650.27430400000003</v>
      </c>
      <c r="AK299" s="10" t="str">
        <f>IFERROR(VLOOKUP(Form_Responses[[#This Row],[Município]],'Regiões Administrativas'!$A$1:$I$646,9,0),"")</f>
        <v>1J6RRmwR?=op</v>
      </c>
    </row>
    <row r="300" spans="1:37" ht="22.5" customHeight="1">
      <c r="A300" s="15">
        <v>46035.48885253472</v>
      </c>
      <c r="B300" s="10" t="s">
        <v>1604</v>
      </c>
      <c r="C300" s="10" t="s">
        <v>538</v>
      </c>
      <c r="D300" s="10" t="s">
        <v>1615</v>
      </c>
      <c r="E300" s="10" t="s">
        <v>1616</v>
      </c>
      <c r="G300" s="10" t="s">
        <v>1617</v>
      </c>
      <c r="I300" s="10" t="s">
        <v>220</v>
      </c>
      <c r="J300" s="16">
        <v>46141</v>
      </c>
      <c r="K300" s="16">
        <v>46144</v>
      </c>
      <c r="L300" s="17">
        <v>0.79166666666424135</v>
      </c>
      <c r="M300" s="17">
        <v>0.16666666666424135</v>
      </c>
      <c r="N300" s="10" t="s">
        <v>44</v>
      </c>
      <c r="O300" s="10" t="s">
        <v>45</v>
      </c>
      <c r="P300" s="10" t="s">
        <v>46</v>
      </c>
      <c r="Q300" s="10" t="s">
        <v>47</v>
      </c>
      <c r="R300" s="10" t="s">
        <v>74</v>
      </c>
      <c r="S300" s="10">
        <v>40000</v>
      </c>
      <c r="T300" s="10">
        <v>30000</v>
      </c>
      <c r="U300" s="10">
        <v>20000</v>
      </c>
      <c r="V300" s="10">
        <v>15000</v>
      </c>
      <c r="W300" s="10" t="s">
        <v>1608</v>
      </c>
      <c r="Y300" s="10" t="s">
        <v>1609</v>
      </c>
      <c r="Z300" s="10" t="s">
        <v>402</v>
      </c>
      <c r="AA300" s="10" t="s">
        <v>1610</v>
      </c>
      <c r="AB300" s="10" t="s">
        <v>306</v>
      </c>
      <c r="AC300" s="10" t="s">
        <v>68</v>
      </c>
      <c r="AD300" s="10" t="str">
        <f>IFERROR(VLOOKUP(B300,'Regiões Administrativas'!$A$1:$B$646,2,0),"")</f>
        <v>Marília</v>
      </c>
      <c r="AE300" s="10">
        <f>IFERROR(VLOOKUP(Form_Responses[[#This Row],[Município]],'Regiões Administrativas'!$A$1:$I$646,3,0),"")</f>
        <v>17438</v>
      </c>
      <c r="AF300" s="10">
        <f>IFERROR(VLOOKUP(Form_Responses[[#This Row],[Município]],'Regiões Administrativas'!$A$1:$I$646,4,0),"")</f>
        <v>355660205000001</v>
      </c>
      <c r="AG300" s="10">
        <f>IFERROR(VLOOKUP(Form_Responses[[#This Row],[Município]],'Regiões Administrativas'!$A$1:$I$646,4,0),"")</f>
        <v>355660205000001</v>
      </c>
      <c r="AH300" s="10">
        <f>IFERROR(VLOOKUP(B300,'Regiões Administrativas'!$A$1:$I$646,5,0),"")</f>
        <v>3556602</v>
      </c>
      <c r="AI300" s="10">
        <f>IFERROR(VLOOKUP(B300,'Regiões Administrativas'!$A$1:$I$646,6,0),"")</f>
        <v>-49.821781700000003</v>
      </c>
      <c r="AJ300" s="10">
        <f>IFERROR(VLOOKUP(B300,'Regiões Administrativas'!$A$1:$I$646,8,0),"")</f>
        <v>650.27430400000003</v>
      </c>
      <c r="AK300" s="10" t="str">
        <f>IFERROR(VLOOKUP(Form_Responses[[#This Row],[Município]],'Regiões Administrativas'!$A$1:$I$646,9,0),"")</f>
        <v>1J6RRmwR?=op</v>
      </c>
    </row>
    <row r="301" spans="1:37" ht="22.5" customHeight="1">
      <c r="A301" s="18">
        <v>46035.491689409726</v>
      </c>
      <c r="B301" s="10" t="s">
        <v>1604</v>
      </c>
      <c r="C301" s="10" t="s">
        <v>538</v>
      </c>
      <c r="D301" s="10" t="s">
        <v>1618</v>
      </c>
      <c r="E301" s="10" t="s">
        <v>1619</v>
      </c>
      <c r="G301" s="10" t="s">
        <v>1620</v>
      </c>
      <c r="I301" s="10" t="s">
        <v>60</v>
      </c>
      <c r="J301" s="16">
        <v>46177</v>
      </c>
      <c r="K301" s="16">
        <v>46177</v>
      </c>
      <c r="L301" s="17">
        <v>0.20833333333575865</v>
      </c>
      <c r="M301" s="17">
        <v>0.70833333333575865</v>
      </c>
      <c r="N301" s="10" t="s">
        <v>44</v>
      </c>
      <c r="O301" s="10" t="s">
        <v>221</v>
      </c>
      <c r="P301" s="10" t="s">
        <v>302</v>
      </c>
      <c r="Q301" s="10" t="s">
        <v>47</v>
      </c>
      <c r="R301" s="10" t="s">
        <v>74</v>
      </c>
      <c r="S301" s="10">
        <v>700</v>
      </c>
      <c r="T301" s="10">
        <v>600</v>
      </c>
      <c r="U301" s="10">
        <v>500</v>
      </c>
      <c r="V301" s="10">
        <v>500</v>
      </c>
      <c r="W301" s="10" t="s">
        <v>1621</v>
      </c>
      <c r="Y301" s="10" t="s">
        <v>1622</v>
      </c>
      <c r="Z301" s="10" t="s">
        <v>992</v>
      </c>
      <c r="AA301" s="10" t="s">
        <v>225</v>
      </c>
      <c r="AB301" s="10" t="s">
        <v>66</v>
      </c>
      <c r="AC301" s="10" t="s">
        <v>68</v>
      </c>
      <c r="AD301" s="10" t="str">
        <f>IFERROR(VLOOKUP(B301,'Regiões Administrativas'!$A$1:$B$646,2,0),"")</f>
        <v>Marília</v>
      </c>
      <c r="AE301" s="10">
        <f>IFERROR(VLOOKUP(Form_Responses[[#This Row],[Município]],'Regiões Administrativas'!$A$1:$I$646,3,0),"")</f>
        <v>17438</v>
      </c>
      <c r="AF301" s="10">
        <f>IFERROR(VLOOKUP(Form_Responses[[#This Row],[Município]],'Regiões Administrativas'!$A$1:$I$646,4,0),"")</f>
        <v>355660205000001</v>
      </c>
      <c r="AG301" s="10">
        <f>IFERROR(VLOOKUP(Form_Responses[[#This Row],[Município]],'Regiões Administrativas'!$A$1:$I$646,4,0),"")</f>
        <v>355660205000001</v>
      </c>
      <c r="AH301" s="10">
        <f>IFERROR(VLOOKUP(B301,'Regiões Administrativas'!$A$1:$I$646,5,0),"")</f>
        <v>3556602</v>
      </c>
      <c r="AI301" s="10">
        <f>IFERROR(VLOOKUP(B301,'Regiões Administrativas'!$A$1:$I$646,6,0),"")</f>
        <v>-49.821781700000003</v>
      </c>
      <c r="AJ301" s="10">
        <f>IFERROR(VLOOKUP(B301,'Regiões Administrativas'!$A$1:$I$646,8,0),"")</f>
        <v>650.27430400000003</v>
      </c>
      <c r="AK301" s="10" t="str">
        <f>IFERROR(VLOOKUP(Form_Responses[[#This Row],[Município]],'Regiões Administrativas'!$A$1:$I$646,9,0),"")</f>
        <v>1J6RRmwR?=op</v>
      </c>
    </row>
    <row r="302" spans="1:37" ht="22.5" customHeight="1">
      <c r="A302" s="18">
        <v>46035.495272986111</v>
      </c>
      <c r="B302" s="10" t="s">
        <v>1604</v>
      </c>
      <c r="C302" s="10" t="s">
        <v>538</v>
      </c>
      <c r="D302" s="10" t="s">
        <v>1623</v>
      </c>
      <c r="E302" s="10" t="s">
        <v>1624</v>
      </c>
      <c r="G302" s="10" t="s">
        <v>1613</v>
      </c>
      <c r="I302" s="10" t="s">
        <v>72</v>
      </c>
      <c r="J302" s="16">
        <v>46212</v>
      </c>
      <c r="K302" s="16">
        <v>46213</v>
      </c>
      <c r="L302" s="17">
        <v>0.79166666666424135</v>
      </c>
      <c r="M302" s="17">
        <v>8.3333333335758653E-2</v>
      </c>
      <c r="N302" s="10" t="s">
        <v>44</v>
      </c>
      <c r="O302" s="10" t="s">
        <v>45</v>
      </c>
      <c r="P302" s="10" t="s">
        <v>135</v>
      </c>
      <c r="Q302" s="10" t="s">
        <v>47</v>
      </c>
      <c r="R302" s="10" t="s">
        <v>74</v>
      </c>
      <c r="S302" s="10">
        <v>1000</v>
      </c>
      <c r="T302" s="10">
        <v>800</v>
      </c>
      <c r="U302" s="10">
        <v>750</v>
      </c>
      <c r="V302" s="10">
        <v>700</v>
      </c>
      <c r="W302" s="10" t="s">
        <v>1608</v>
      </c>
      <c r="Y302" s="10" t="s">
        <v>1609</v>
      </c>
      <c r="Z302" s="10" t="s">
        <v>402</v>
      </c>
      <c r="AA302" s="10" t="s">
        <v>1610</v>
      </c>
      <c r="AB302" s="10" t="s">
        <v>306</v>
      </c>
      <c r="AC302" s="10" t="s">
        <v>68</v>
      </c>
      <c r="AD302" s="10" t="str">
        <f>IFERROR(VLOOKUP(B302,'Regiões Administrativas'!$A$1:$B$646,2,0),"")</f>
        <v>Marília</v>
      </c>
      <c r="AE302" s="10">
        <f>IFERROR(VLOOKUP(Form_Responses[[#This Row],[Município]],'Regiões Administrativas'!$A$1:$I$646,3,0),"")</f>
        <v>17438</v>
      </c>
      <c r="AF302" s="10">
        <f>IFERROR(VLOOKUP(Form_Responses[[#This Row],[Município]],'Regiões Administrativas'!$A$1:$I$646,4,0),"")</f>
        <v>355660205000001</v>
      </c>
      <c r="AG302" s="10">
        <f>IFERROR(VLOOKUP(Form_Responses[[#This Row],[Município]],'Regiões Administrativas'!$A$1:$I$646,4,0),"")</f>
        <v>355660205000001</v>
      </c>
      <c r="AH302" s="10">
        <f>IFERROR(VLOOKUP(B302,'Regiões Administrativas'!$A$1:$I$646,5,0),"")</f>
        <v>3556602</v>
      </c>
      <c r="AI302" s="10">
        <f>IFERROR(VLOOKUP(B302,'Regiões Administrativas'!$A$1:$I$646,6,0),"")</f>
        <v>-49.821781700000003</v>
      </c>
      <c r="AJ302" s="10">
        <f>IFERROR(VLOOKUP(B302,'Regiões Administrativas'!$A$1:$I$646,8,0),"")</f>
        <v>650.27430400000003</v>
      </c>
      <c r="AK302" s="10" t="str">
        <f>IFERROR(VLOOKUP(Form_Responses[[#This Row],[Município]],'Regiões Administrativas'!$A$1:$I$646,9,0),"")</f>
        <v>1J6RRmwR?=op</v>
      </c>
    </row>
    <row r="303" spans="1:37" ht="22.5" customHeight="1">
      <c r="A303" s="18">
        <v>46035.509005439817</v>
      </c>
      <c r="B303" s="10" t="s">
        <v>1604</v>
      </c>
      <c r="C303" s="10" t="s">
        <v>538</v>
      </c>
      <c r="D303" s="10" t="s">
        <v>1625</v>
      </c>
      <c r="E303" s="10" t="s">
        <v>1626</v>
      </c>
      <c r="G303" s="10" t="s">
        <v>1613</v>
      </c>
      <c r="I303" s="10" t="s">
        <v>81</v>
      </c>
      <c r="J303" s="16">
        <v>46269</v>
      </c>
      <c r="K303" s="16">
        <v>46269</v>
      </c>
      <c r="L303" s="17">
        <v>0.75</v>
      </c>
      <c r="M303" s="17">
        <v>0.95833333333575865</v>
      </c>
      <c r="N303" s="10" t="s">
        <v>421</v>
      </c>
      <c r="O303" s="10" t="s">
        <v>99</v>
      </c>
      <c r="P303" s="10" t="s">
        <v>99</v>
      </c>
      <c r="Q303" s="10" t="s">
        <v>47</v>
      </c>
      <c r="R303" s="10" t="s">
        <v>74</v>
      </c>
      <c r="S303" s="10">
        <v>500</v>
      </c>
      <c r="T303" s="10">
        <v>400</v>
      </c>
      <c r="U303" s="10">
        <v>400</v>
      </c>
      <c r="V303" s="10">
        <v>300</v>
      </c>
      <c r="W303" s="10" t="s">
        <v>1608</v>
      </c>
      <c r="Y303" s="10" t="s">
        <v>1609</v>
      </c>
      <c r="Z303" s="10" t="s">
        <v>76</v>
      </c>
      <c r="AA303" s="10" t="s">
        <v>225</v>
      </c>
      <c r="AB303" s="10" t="s">
        <v>306</v>
      </c>
      <c r="AC303" s="10" t="s">
        <v>68</v>
      </c>
      <c r="AD303" s="10" t="str">
        <f>IFERROR(VLOOKUP(B303,'Regiões Administrativas'!$A$1:$B$646,2,0),"")</f>
        <v>Marília</v>
      </c>
      <c r="AE303" s="10">
        <f>IFERROR(VLOOKUP(Form_Responses[[#This Row],[Município]],'Regiões Administrativas'!$A$1:$I$646,3,0),"")</f>
        <v>17438</v>
      </c>
      <c r="AF303" s="10">
        <f>IFERROR(VLOOKUP(Form_Responses[[#This Row],[Município]],'Regiões Administrativas'!$A$1:$I$646,4,0),"")</f>
        <v>355660205000001</v>
      </c>
      <c r="AG303" s="10">
        <f>IFERROR(VLOOKUP(Form_Responses[[#This Row],[Município]],'Regiões Administrativas'!$A$1:$I$646,4,0),"")</f>
        <v>355660205000001</v>
      </c>
      <c r="AH303" s="10">
        <f>IFERROR(VLOOKUP(B303,'Regiões Administrativas'!$A$1:$I$646,5,0),"")</f>
        <v>3556602</v>
      </c>
      <c r="AI303" s="10">
        <f>IFERROR(VLOOKUP(B303,'Regiões Administrativas'!$A$1:$I$646,6,0),"")</f>
        <v>-49.821781700000003</v>
      </c>
      <c r="AJ303" s="10">
        <f>IFERROR(VLOOKUP(B303,'Regiões Administrativas'!$A$1:$I$646,8,0),"")</f>
        <v>650.27430400000003</v>
      </c>
      <c r="AK303" s="10" t="str">
        <f>IFERROR(VLOOKUP(Form_Responses[[#This Row],[Município]],'Regiões Administrativas'!$A$1:$I$646,9,0),"")</f>
        <v>1J6RRmwR?=op</v>
      </c>
    </row>
    <row r="304" spans="1:37" ht="22.5" customHeight="1">
      <c r="A304" s="18">
        <v>46035.512980763888</v>
      </c>
      <c r="B304" s="10" t="s">
        <v>1604</v>
      </c>
      <c r="C304" s="10" t="s">
        <v>538</v>
      </c>
      <c r="D304" s="10" t="s">
        <v>1627</v>
      </c>
      <c r="E304" s="10" t="s">
        <v>1628</v>
      </c>
      <c r="G304" s="10" t="s">
        <v>1613</v>
      </c>
      <c r="I304" s="10" t="s">
        <v>81</v>
      </c>
      <c r="J304" s="16">
        <v>46207</v>
      </c>
      <c r="K304" s="16" t="s">
        <v>1629</v>
      </c>
      <c r="L304" s="17">
        <v>0.79166666666424135</v>
      </c>
      <c r="M304" s="17">
        <v>8.3333333335758653E-2</v>
      </c>
      <c r="N304" s="10" t="s">
        <v>44</v>
      </c>
      <c r="O304" s="10" t="s">
        <v>190</v>
      </c>
      <c r="P304" s="10" t="s">
        <v>63</v>
      </c>
      <c r="Q304" s="10" t="s">
        <v>47</v>
      </c>
      <c r="R304" s="10" t="s">
        <v>74</v>
      </c>
      <c r="S304" s="10">
        <v>4000</v>
      </c>
      <c r="T304" s="10">
        <v>2500</v>
      </c>
      <c r="U304" s="10">
        <v>2500</v>
      </c>
      <c r="V304" s="10">
        <v>2300</v>
      </c>
      <c r="W304" s="10" t="s">
        <v>1608</v>
      </c>
      <c r="Y304" s="10" t="s">
        <v>1609</v>
      </c>
      <c r="Z304" s="10" t="s">
        <v>402</v>
      </c>
      <c r="AA304" s="10" t="s">
        <v>1610</v>
      </c>
      <c r="AB304" s="10" t="s">
        <v>306</v>
      </c>
      <c r="AC304" s="10" t="s">
        <v>68</v>
      </c>
      <c r="AD304" s="10" t="str">
        <f>IFERROR(VLOOKUP(B304,'Regiões Administrativas'!$A$1:$B$646,2,0),"")</f>
        <v>Marília</v>
      </c>
      <c r="AE304" s="10">
        <f>IFERROR(VLOOKUP(Form_Responses[[#This Row],[Município]],'Regiões Administrativas'!$A$1:$I$646,3,0),"")</f>
        <v>17438</v>
      </c>
      <c r="AF304" s="10">
        <f>IFERROR(VLOOKUP(Form_Responses[[#This Row],[Município]],'Regiões Administrativas'!$A$1:$I$646,4,0),"")</f>
        <v>355660205000001</v>
      </c>
      <c r="AG304" s="10">
        <f>IFERROR(VLOOKUP(Form_Responses[[#This Row],[Município]],'Regiões Administrativas'!$A$1:$I$646,4,0),"")</f>
        <v>355660205000001</v>
      </c>
      <c r="AH304" s="10">
        <f>IFERROR(VLOOKUP(B304,'Regiões Administrativas'!$A$1:$I$646,5,0),"")</f>
        <v>3556602</v>
      </c>
      <c r="AI304" s="10">
        <f>IFERROR(VLOOKUP(B304,'Regiões Administrativas'!$A$1:$I$646,6,0),"")</f>
        <v>-49.821781700000003</v>
      </c>
      <c r="AJ304" s="10">
        <f>IFERROR(VLOOKUP(B304,'Regiões Administrativas'!$A$1:$I$646,8,0),"")</f>
        <v>650.27430400000003</v>
      </c>
      <c r="AK304" s="10" t="str">
        <f>IFERROR(VLOOKUP(Form_Responses[[#This Row],[Município]],'Regiões Administrativas'!$A$1:$I$646,9,0),"")</f>
        <v>1J6RRmwR?=op</v>
      </c>
    </row>
    <row r="305" spans="1:37" ht="22.5" customHeight="1">
      <c r="A305" s="15">
        <v>46035.522124803239</v>
      </c>
      <c r="B305" s="10" t="s">
        <v>1630</v>
      </c>
      <c r="C305" s="10" t="s">
        <v>417</v>
      </c>
      <c r="D305" s="10" t="s">
        <v>1631</v>
      </c>
      <c r="E305" s="10" t="s">
        <v>1632</v>
      </c>
      <c r="G305" s="10" t="s">
        <v>1633</v>
      </c>
      <c r="H305" s="72" t="s">
        <v>1634</v>
      </c>
      <c r="I305" s="10" t="s">
        <v>89</v>
      </c>
      <c r="J305" s="16">
        <v>46059</v>
      </c>
      <c r="K305" s="16">
        <v>46061</v>
      </c>
      <c r="L305" s="17">
        <v>0.58333333333575865</v>
      </c>
      <c r="M305" s="17">
        <v>0</v>
      </c>
      <c r="N305" s="10" t="s">
        <v>44</v>
      </c>
      <c r="O305" s="10" t="s">
        <v>45</v>
      </c>
      <c r="P305" s="10" t="s">
        <v>90</v>
      </c>
      <c r="Q305" s="10" t="s">
        <v>47</v>
      </c>
      <c r="R305" s="10" t="s">
        <v>74</v>
      </c>
      <c r="S305" s="10">
        <v>3000</v>
      </c>
      <c r="T305" s="10">
        <v>0</v>
      </c>
      <c r="U305" s="10">
        <v>0</v>
      </c>
      <c r="V305" s="10">
        <v>0</v>
      </c>
      <c r="W305" s="10" t="s">
        <v>990</v>
      </c>
      <c r="Y305" s="72" t="s">
        <v>1634</v>
      </c>
      <c r="Z305" s="10" t="s">
        <v>361</v>
      </c>
      <c r="AA305" s="10" t="s">
        <v>156</v>
      </c>
      <c r="AB305" s="10" t="s">
        <v>207</v>
      </c>
      <c r="AC305" s="10" t="s">
        <v>68</v>
      </c>
      <c r="AD305" s="10" t="str">
        <f>IFERROR(VLOOKUP(B305,'Regiões Administrativas'!$A$1:$B$646,2,0),"")</f>
        <v>São José dos Campos</v>
      </c>
      <c r="AE305" s="10">
        <f>IFERROR(VLOOKUP(Form_Responses[[#This Row],[Município]],'Regiões Administrativas'!$A$1:$I$646,3,0),"")</f>
        <v>16894</v>
      </c>
      <c r="AF305" s="10">
        <f>IFERROR(VLOOKUP(Form_Responses[[#This Row],[Município]],'Regiões Administrativas'!$A$1:$I$646,4,0),"")</f>
        <v>354075405000001</v>
      </c>
      <c r="AG305" s="10">
        <f>IFERROR(VLOOKUP(Form_Responses[[#This Row],[Município]],'Regiões Administrativas'!$A$1:$I$646,4,0),"")</f>
        <v>354075405000001</v>
      </c>
      <c r="AH305" s="10">
        <f>IFERROR(VLOOKUP(B305,'Regiões Administrativas'!$A$1:$I$646,5,0),"")</f>
        <v>3540754</v>
      </c>
      <c r="AI305" s="10">
        <f>IFERROR(VLOOKUP(B305,'Regiões Administrativas'!$A$1:$I$646,6,0),"")</f>
        <v>-45.255974299999998</v>
      </c>
      <c r="AJ305" s="10">
        <f>IFERROR(VLOOKUP(B305,'Regiões Administrativas'!$A$1:$I$646,8,0),"")</f>
        <v>536</v>
      </c>
      <c r="AK305" s="10" t="str">
        <f>IFERROR(VLOOKUP(Form_Responses[[#This Row],[Município]],'Regiões Administrativas'!$A$1:$I$646,9,0),"")</f>
        <v>1J6tv2@,:BQf</v>
      </c>
    </row>
    <row r="306" spans="1:37" ht="22.5" customHeight="1">
      <c r="A306" s="15">
        <v>46035.527879699075</v>
      </c>
      <c r="B306" s="10" t="s">
        <v>1630</v>
      </c>
      <c r="C306" s="10" t="s">
        <v>417</v>
      </c>
      <c r="D306" s="10" t="s">
        <v>1635</v>
      </c>
      <c r="E306" s="10" t="s">
        <v>1636</v>
      </c>
      <c r="G306" s="10" t="s">
        <v>1637</v>
      </c>
      <c r="H306" s="72" t="s">
        <v>1634</v>
      </c>
      <c r="I306" s="10" t="s">
        <v>220</v>
      </c>
      <c r="J306" s="16">
        <v>46157</v>
      </c>
      <c r="K306" s="16">
        <v>46161</v>
      </c>
      <c r="L306" s="17">
        <v>0.75</v>
      </c>
      <c r="M306" s="17">
        <v>0</v>
      </c>
      <c r="N306" s="10" t="s">
        <v>110</v>
      </c>
      <c r="O306" s="10" t="s">
        <v>45</v>
      </c>
      <c r="P306" s="10" t="s">
        <v>46</v>
      </c>
      <c r="Q306" s="10" t="s">
        <v>47</v>
      </c>
      <c r="R306" s="10" t="s">
        <v>74</v>
      </c>
      <c r="S306" s="10">
        <v>5000</v>
      </c>
      <c r="T306" s="10">
        <v>0</v>
      </c>
      <c r="U306" s="10">
        <v>0</v>
      </c>
      <c r="V306" s="10">
        <v>0</v>
      </c>
      <c r="W306" s="10" t="s">
        <v>1638</v>
      </c>
      <c r="Y306" s="72" t="s">
        <v>1639</v>
      </c>
      <c r="Z306" s="10" t="s">
        <v>361</v>
      </c>
      <c r="AA306" s="10" t="s">
        <v>156</v>
      </c>
      <c r="AB306" s="10" t="s">
        <v>207</v>
      </c>
      <c r="AC306" s="10" t="s">
        <v>68</v>
      </c>
      <c r="AD306" s="10" t="str">
        <f>IFERROR(VLOOKUP(B306,'Regiões Administrativas'!$A$1:$B$646,2,0),"")</f>
        <v>São José dos Campos</v>
      </c>
      <c r="AE306" s="10">
        <f>IFERROR(VLOOKUP(Form_Responses[[#This Row],[Município]],'Regiões Administrativas'!$A$1:$I$646,3,0),"")</f>
        <v>16894</v>
      </c>
      <c r="AF306" s="10">
        <f>IFERROR(VLOOKUP(Form_Responses[[#This Row],[Município]],'Regiões Administrativas'!$A$1:$I$646,4,0),"")</f>
        <v>354075405000001</v>
      </c>
      <c r="AG306" s="10">
        <f>IFERROR(VLOOKUP(Form_Responses[[#This Row],[Município]],'Regiões Administrativas'!$A$1:$I$646,4,0),"")</f>
        <v>354075405000001</v>
      </c>
      <c r="AH306" s="10">
        <f>IFERROR(VLOOKUP(B306,'Regiões Administrativas'!$A$1:$I$646,5,0),"")</f>
        <v>3540754</v>
      </c>
      <c r="AI306" s="10">
        <f>IFERROR(VLOOKUP(B306,'Regiões Administrativas'!$A$1:$I$646,6,0),"")</f>
        <v>-45.255974299999998</v>
      </c>
      <c r="AJ306" s="10">
        <f>IFERROR(VLOOKUP(B306,'Regiões Administrativas'!$A$1:$I$646,8,0),"")</f>
        <v>536</v>
      </c>
      <c r="AK306" s="10" t="str">
        <f>IFERROR(VLOOKUP(Form_Responses[[#This Row],[Município]],'Regiões Administrativas'!$A$1:$I$646,9,0),"")</f>
        <v>1J6tv2@,:BQf</v>
      </c>
    </row>
    <row r="307" spans="1:37" ht="22.5" customHeight="1">
      <c r="A307" s="18">
        <v>46035.534048402777</v>
      </c>
      <c r="B307" s="10" t="s">
        <v>1630</v>
      </c>
      <c r="C307" s="10" t="s">
        <v>417</v>
      </c>
      <c r="D307" s="10" t="s">
        <v>1640</v>
      </c>
      <c r="E307" s="10" t="s">
        <v>1641</v>
      </c>
      <c r="G307" s="10" t="s">
        <v>1642</v>
      </c>
      <c r="I307" s="10" t="s">
        <v>43</v>
      </c>
      <c r="J307" s="16">
        <v>46231</v>
      </c>
      <c r="K307" s="16">
        <v>46240</v>
      </c>
      <c r="L307" s="17">
        <v>0.75</v>
      </c>
      <c r="M307" s="17">
        <v>0</v>
      </c>
      <c r="N307" s="10" t="s">
        <v>98</v>
      </c>
      <c r="O307" s="10" t="s">
        <v>221</v>
      </c>
      <c r="P307" s="10" t="s">
        <v>221</v>
      </c>
      <c r="Q307" s="10" t="s">
        <v>47</v>
      </c>
      <c r="R307" s="10" t="s">
        <v>74</v>
      </c>
      <c r="S307" s="10">
        <v>5000</v>
      </c>
      <c r="T307" s="10">
        <v>3000</v>
      </c>
      <c r="U307" s="10">
        <v>0</v>
      </c>
      <c r="V307" s="10">
        <v>0</v>
      </c>
      <c r="W307" s="10" t="s">
        <v>1643</v>
      </c>
      <c r="Y307" s="10" t="s">
        <v>1644</v>
      </c>
      <c r="Z307" s="10" t="s">
        <v>361</v>
      </c>
      <c r="AA307" s="10" t="s">
        <v>297</v>
      </c>
      <c r="AB307" s="10" t="s">
        <v>207</v>
      </c>
      <c r="AC307" s="10" t="s">
        <v>68</v>
      </c>
      <c r="AD307" s="10" t="str">
        <f>IFERROR(VLOOKUP(B307,'Regiões Administrativas'!$A$1:$B$646,2,0),"")</f>
        <v>São José dos Campos</v>
      </c>
      <c r="AE307" s="10">
        <f>IFERROR(VLOOKUP(Form_Responses[[#This Row],[Município]],'Regiões Administrativas'!$A$1:$I$646,3,0),"")</f>
        <v>16894</v>
      </c>
      <c r="AF307" s="10">
        <f>IFERROR(VLOOKUP(Form_Responses[[#This Row],[Município]],'Regiões Administrativas'!$A$1:$I$646,4,0),"")</f>
        <v>354075405000001</v>
      </c>
      <c r="AG307" s="10">
        <f>IFERROR(VLOOKUP(Form_Responses[[#This Row],[Município]],'Regiões Administrativas'!$A$1:$I$646,4,0),"")</f>
        <v>354075405000001</v>
      </c>
      <c r="AH307" s="10">
        <f>IFERROR(VLOOKUP(B307,'Regiões Administrativas'!$A$1:$I$646,5,0),"")</f>
        <v>3540754</v>
      </c>
      <c r="AI307" s="10">
        <f>IFERROR(VLOOKUP(B307,'Regiões Administrativas'!$A$1:$I$646,6,0),"")</f>
        <v>-45.255974299999998</v>
      </c>
      <c r="AJ307" s="10">
        <f>IFERROR(VLOOKUP(B307,'Regiões Administrativas'!$A$1:$I$646,8,0),"")</f>
        <v>536</v>
      </c>
      <c r="AK307" s="10" t="str">
        <f>IFERROR(VLOOKUP(Form_Responses[[#This Row],[Município]],'Regiões Administrativas'!$A$1:$I$646,9,0),"")</f>
        <v>1J6tv2@,:BQf</v>
      </c>
    </row>
    <row r="308" spans="1:37" ht="22.5" customHeight="1">
      <c r="A308" s="15">
        <v>46035.537777337959</v>
      </c>
      <c r="B308" s="10" t="s">
        <v>662</v>
      </c>
      <c r="C308" s="10" t="s">
        <v>216</v>
      </c>
      <c r="D308" s="10" t="s">
        <v>1645</v>
      </c>
      <c r="E308" s="10" t="s">
        <v>1646</v>
      </c>
      <c r="G308" s="10" t="s">
        <v>1647</v>
      </c>
      <c r="H308" s="72" t="s">
        <v>1648</v>
      </c>
      <c r="I308" s="10" t="s">
        <v>267</v>
      </c>
      <c r="J308" s="16">
        <v>46041</v>
      </c>
      <c r="K308" s="16">
        <v>46041</v>
      </c>
      <c r="L308" s="17">
        <v>0.35416666666424135</v>
      </c>
      <c r="M308" s="17">
        <v>0.45833333333575865</v>
      </c>
      <c r="N308" s="10" t="s">
        <v>110</v>
      </c>
      <c r="O308" s="10" t="s">
        <v>62</v>
      </c>
      <c r="P308" s="10" t="s">
        <v>99</v>
      </c>
      <c r="Q308" s="10" t="s">
        <v>47</v>
      </c>
      <c r="R308" s="10" t="s">
        <v>256</v>
      </c>
      <c r="S308" s="19">
        <v>5000</v>
      </c>
      <c r="T308" s="19">
        <v>5000</v>
      </c>
      <c r="U308" s="19">
        <v>4000</v>
      </c>
      <c r="V308" s="19">
        <v>3000</v>
      </c>
      <c r="W308" s="10" t="s">
        <v>1649</v>
      </c>
      <c r="Y308" s="10" t="s">
        <v>1650</v>
      </c>
      <c r="Z308" s="10" t="s">
        <v>402</v>
      </c>
      <c r="AA308" s="10" t="s">
        <v>67</v>
      </c>
      <c r="AB308" s="10" t="s">
        <v>66</v>
      </c>
      <c r="AC308" s="10" t="s">
        <v>68</v>
      </c>
      <c r="AD308" s="10" t="str">
        <f>IFERROR(VLOOKUP(B308,'Regiões Administrativas'!$A$1:$B$646,2,0),"")</f>
        <v>Santos</v>
      </c>
      <c r="AE308" s="10">
        <f>IFERROR(VLOOKUP(Form_Responses[[#This Row],[Município]],'Regiões Administrativas'!$A$1:$I$646,3,0),"")</f>
        <v>16898</v>
      </c>
      <c r="AF308" s="10">
        <f>IFERROR(VLOOKUP(Form_Responses[[#This Row],[Município]],'Regiões Administrativas'!$A$1:$I$646,4,0),"")</f>
        <v>354100005000001</v>
      </c>
      <c r="AG308" s="10">
        <f>IFERROR(VLOOKUP(Form_Responses[[#This Row],[Município]],'Regiões Administrativas'!$A$1:$I$646,4,0),"")</f>
        <v>354100005000001</v>
      </c>
      <c r="AH308" s="10">
        <f>IFERROR(VLOOKUP(B308,'Regiões Administrativas'!$A$1:$I$646,5,0),"")</f>
        <v>3541000</v>
      </c>
      <c r="AI308" s="10">
        <f>IFERROR(VLOOKUP(B308,'Regiões Administrativas'!$A$1:$I$646,6,0),"")</f>
        <v>-46.412049600000003</v>
      </c>
      <c r="AJ308" s="10">
        <f>IFERROR(VLOOKUP(B308,'Regiões Administrativas'!$A$1:$I$646,8,0),"")</f>
        <v>8.6821260000000002</v>
      </c>
      <c r="AK308" s="10" t="str">
        <f>IFERROR(VLOOKUP(Form_Responses[[#This Row],[Município]],'Regiões Administrativas'!$A$1:$I$646,9,0),"")</f>
        <v>1J6toXTzH9Kf</v>
      </c>
    </row>
    <row r="309" spans="1:37" ht="22.5" customHeight="1">
      <c r="A309" s="18">
        <v>46035.540531782404</v>
      </c>
      <c r="B309" s="10" t="s">
        <v>1630</v>
      </c>
      <c r="C309" s="10" t="s">
        <v>417</v>
      </c>
      <c r="D309" s="10" t="s">
        <v>1651</v>
      </c>
      <c r="E309" s="10" t="s">
        <v>1652</v>
      </c>
      <c r="G309" s="10" t="s">
        <v>1633</v>
      </c>
      <c r="I309" s="10" t="s">
        <v>162</v>
      </c>
      <c r="J309" s="16">
        <v>46361</v>
      </c>
      <c r="K309" s="16">
        <v>46387</v>
      </c>
      <c r="L309" s="17">
        <v>0.75</v>
      </c>
      <c r="M309" s="17">
        <v>0</v>
      </c>
      <c r="N309" s="10" t="s">
        <v>73</v>
      </c>
      <c r="O309" s="10" t="s">
        <v>45</v>
      </c>
      <c r="P309" s="10" t="s">
        <v>251</v>
      </c>
      <c r="Q309" s="10" t="s">
        <v>47</v>
      </c>
      <c r="R309" s="10" t="s">
        <v>74</v>
      </c>
      <c r="S309" s="10">
        <v>5000</v>
      </c>
      <c r="T309" s="10">
        <v>3000</v>
      </c>
      <c r="U309" s="10">
        <v>0</v>
      </c>
      <c r="V309" s="10">
        <v>0</v>
      </c>
      <c r="W309" s="10" t="s">
        <v>1638</v>
      </c>
      <c r="Y309" s="72" t="s">
        <v>1639</v>
      </c>
      <c r="Z309" s="10" t="s">
        <v>361</v>
      </c>
      <c r="AA309" s="10" t="s">
        <v>156</v>
      </c>
      <c r="AB309" s="10" t="s">
        <v>207</v>
      </c>
      <c r="AC309" s="10" t="s">
        <v>68</v>
      </c>
      <c r="AD309" s="10" t="str">
        <f>IFERROR(VLOOKUP(B309,'Regiões Administrativas'!$A$1:$B$646,2,0),"")</f>
        <v>São José dos Campos</v>
      </c>
      <c r="AE309" s="10">
        <f>IFERROR(VLOOKUP(Form_Responses[[#This Row],[Município]],'Regiões Administrativas'!$A$1:$I$646,3,0),"")</f>
        <v>16894</v>
      </c>
      <c r="AF309" s="10">
        <f>IFERROR(VLOOKUP(Form_Responses[[#This Row],[Município]],'Regiões Administrativas'!$A$1:$I$646,4,0),"")</f>
        <v>354075405000001</v>
      </c>
      <c r="AG309" s="10">
        <f>IFERROR(VLOOKUP(Form_Responses[[#This Row],[Município]],'Regiões Administrativas'!$A$1:$I$646,4,0),"")</f>
        <v>354075405000001</v>
      </c>
      <c r="AH309" s="10">
        <f>IFERROR(VLOOKUP(B309,'Regiões Administrativas'!$A$1:$I$646,5,0),"")</f>
        <v>3540754</v>
      </c>
      <c r="AI309" s="10">
        <f>IFERROR(VLOOKUP(B309,'Regiões Administrativas'!$A$1:$I$646,6,0),"")</f>
        <v>-45.255974299999998</v>
      </c>
      <c r="AJ309" s="10">
        <f>IFERROR(VLOOKUP(B309,'Regiões Administrativas'!$A$1:$I$646,8,0),"")</f>
        <v>536</v>
      </c>
      <c r="AK309" s="10" t="str">
        <f>IFERROR(VLOOKUP(Form_Responses[[#This Row],[Município]],'Regiões Administrativas'!$A$1:$I$646,9,0),"")</f>
        <v>1J6tv2@,:BQf</v>
      </c>
    </row>
    <row r="310" spans="1:37" ht="22.5" customHeight="1">
      <c r="A310" s="18">
        <v>46035.614876168984</v>
      </c>
      <c r="B310" s="10" t="s">
        <v>1604</v>
      </c>
      <c r="C310" s="10" t="s">
        <v>538</v>
      </c>
      <c r="D310" s="10" t="s">
        <v>1653</v>
      </c>
      <c r="E310" s="10" t="s">
        <v>1654</v>
      </c>
      <c r="G310" s="10" t="s">
        <v>1620</v>
      </c>
      <c r="I310" s="10" t="s">
        <v>81</v>
      </c>
      <c r="J310" s="16">
        <v>46285</v>
      </c>
      <c r="K310" s="16">
        <v>46285</v>
      </c>
      <c r="L310" s="17">
        <v>0.25</v>
      </c>
      <c r="M310" s="17">
        <v>0.75</v>
      </c>
      <c r="N310" s="10" t="s">
        <v>44</v>
      </c>
      <c r="O310" s="10" t="s">
        <v>221</v>
      </c>
      <c r="P310" s="10" t="s">
        <v>221</v>
      </c>
      <c r="Q310" s="10" t="s">
        <v>47</v>
      </c>
      <c r="R310" s="10" t="s">
        <v>74</v>
      </c>
      <c r="S310" s="10">
        <v>4000</v>
      </c>
      <c r="T310" s="10">
        <v>4000</v>
      </c>
      <c r="U310" s="10">
        <v>2500</v>
      </c>
      <c r="V310" s="10">
        <v>2000</v>
      </c>
      <c r="W310" s="10" t="s">
        <v>1655</v>
      </c>
      <c r="Y310" s="10" t="s">
        <v>1622</v>
      </c>
      <c r="Z310" s="10" t="s">
        <v>66</v>
      </c>
      <c r="AA310" s="10" t="s">
        <v>113</v>
      </c>
      <c r="AB310" s="10" t="s">
        <v>66</v>
      </c>
      <c r="AC310" s="10" t="s">
        <v>68</v>
      </c>
      <c r="AD310" s="10" t="str">
        <f>IFERROR(VLOOKUP(B310,'Regiões Administrativas'!$A$1:$B$646,2,0),"")</f>
        <v>Marília</v>
      </c>
      <c r="AE310" s="10">
        <f>IFERROR(VLOOKUP(Form_Responses[[#This Row],[Município]],'Regiões Administrativas'!$A$1:$I$646,3,0),"")</f>
        <v>17438</v>
      </c>
      <c r="AF310" s="10">
        <f>IFERROR(VLOOKUP(Form_Responses[[#This Row],[Município]],'Regiões Administrativas'!$A$1:$I$646,4,0),"")</f>
        <v>355660205000001</v>
      </c>
      <c r="AG310" s="10">
        <f>IFERROR(VLOOKUP(Form_Responses[[#This Row],[Município]],'Regiões Administrativas'!$A$1:$I$646,4,0),"")</f>
        <v>355660205000001</v>
      </c>
      <c r="AH310" s="10">
        <f>IFERROR(VLOOKUP(B310,'Regiões Administrativas'!$A$1:$I$646,5,0),"")</f>
        <v>3556602</v>
      </c>
      <c r="AI310" s="10">
        <f>IFERROR(VLOOKUP(B310,'Regiões Administrativas'!$A$1:$I$646,6,0),"")</f>
        <v>-49.821781700000003</v>
      </c>
      <c r="AJ310" s="10">
        <f>IFERROR(VLOOKUP(B310,'Regiões Administrativas'!$A$1:$I$646,8,0),"")</f>
        <v>650.27430400000003</v>
      </c>
      <c r="AK310" s="10" t="str">
        <f>IFERROR(VLOOKUP(Form_Responses[[#This Row],[Município]],'Regiões Administrativas'!$A$1:$I$646,9,0),"")</f>
        <v>1J6RRmwR?=op</v>
      </c>
    </row>
    <row r="311" spans="1:37" ht="22.5" customHeight="1">
      <c r="A311" s="18">
        <v>46035.617868263886</v>
      </c>
      <c r="B311" s="10" t="s">
        <v>1604</v>
      </c>
      <c r="C311" s="10" t="s">
        <v>538</v>
      </c>
      <c r="D311" s="10" t="s">
        <v>1656</v>
      </c>
      <c r="E311" s="10" t="s">
        <v>1657</v>
      </c>
      <c r="G311" s="10" t="s">
        <v>1613</v>
      </c>
      <c r="I311" s="10" t="s">
        <v>197</v>
      </c>
      <c r="J311" s="16">
        <v>46345</v>
      </c>
      <c r="K311" s="16">
        <v>46346</v>
      </c>
      <c r="L311" s="17">
        <v>0.79166666666424135</v>
      </c>
      <c r="M311" s="17">
        <v>8.3333333335758653E-2</v>
      </c>
      <c r="N311" s="10" t="s">
        <v>44</v>
      </c>
      <c r="O311" s="10" t="s">
        <v>45</v>
      </c>
      <c r="P311" s="10" t="s">
        <v>63</v>
      </c>
      <c r="Q311" s="10" t="s">
        <v>47</v>
      </c>
      <c r="R311" s="10" t="s">
        <v>74</v>
      </c>
      <c r="S311" s="10">
        <v>1000</v>
      </c>
      <c r="T311" s="10">
        <v>400</v>
      </c>
      <c r="W311" s="10" t="s">
        <v>1608</v>
      </c>
      <c r="Y311" s="10" t="s">
        <v>1609</v>
      </c>
      <c r="Z311" s="10" t="s">
        <v>402</v>
      </c>
      <c r="AA311" s="10" t="s">
        <v>1610</v>
      </c>
      <c r="AB311" s="10" t="s">
        <v>306</v>
      </c>
      <c r="AC311" s="10" t="s">
        <v>68</v>
      </c>
      <c r="AD311" s="10" t="str">
        <f>IFERROR(VLOOKUP(B311,'Regiões Administrativas'!$A$1:$B$646,2,0),"")</f>
        <v>Marília</v>
      </c>
      <c r="AE311" s="10">
        <f>IFERROR(VLOOKUP(Form_Responses[[#This Row],[Município]],'Regiões Administrativas'!$A$1:$I$646,3,0),"")</f>
        <v>17438</v>
      </c>
      <c r="AF311" s="10">
        <f>IFERROR(VLOOKUP(Form_Responses[[#This Row],[Município]],'Regiões Administrativas'!$A$1:$I$646,4,0),"")</f>
        <v>355660205000001</v>
      </c>
      <c r="AG311" s="10">
        <f>IFERROR(VLOOKUP(Form_Responses[[#This Row],[Município]],'Regiões Administrativas'!$A$1:$I$646,4,0),"")</f>
        <v>355660205000001</v>
      </c>
      <c r="AH311" s="10">
        <f>IFERROR(VLOOKUP(B311,'Regiões Administrativas'!$A$1:$I$646,5,0),"")</f>
        <v>3556602</v>
      </c>
      <c r="AI311" s="10">
        <f>IFERROR(VLOOKUP(B311,'Regiões Administrativas'!$A$1:$I$646,6,0),"")</f>
        <v>-49.821781700000003</v>
      </c>
      <c r="AJ311" s="10">
        <f>IFERROR(VLOOKUP(B311,'Regiões Administrativas'!$A$1:$I$646,8,0),"")</f>
        <v>650.27430400000003</v>
      </c>
      <c r="AK311" s="10" t="str">
        <f>IFERROR(VLOOKUP(Form_Responses[[#This Row],[Município]],'Regiões Administrativas'!$A$1:$I$646,9,0),"")</f>
        <v>1J6RRmwR?=op</v>
      </c>
    </row>
    <row r="312" spans="1:37" ht="22.5" customHeight="1">
      <c r="A312" s="18">
        <v>46035.621433877313</v>
      </c>
      <c r="B312" s="10" t="s">
        <v>1604</v>
      </c>
      <c r="C312" s="10" t="s">
        <v>538</v>
      </c>
      <c r="D312" s="10" t="s">
        <v>1658</v>
      </c>
      <c r="E312" s="10" t="s">
        <v>1659</v>
      </c>
      <c r="G312" s="10" t="s">
        <v>1613</v>
      </c>
      <c r="I312" s="10" t="s">
        <v>197</v>
      </c>
      <c r="J312" s="16">
        <v>46347</v>
      </c>
      <c r="K312" s="16">
        <v>46347</v>
      </c>
      <c r="L312" s="17">
        <v>0.70833333333575865</v>
      </c>
      <c r="M312" s="17">
        <v>0.91666666666424135</v>
      </c>
      <c r="N312" s="10" t="s">
        <v>44</v>
      </c>
      <c r="O312" s="10" t="s">
        <v>221</v>
      </c>
      <c r="P312" s="10" t="s">
        <v>221</v>
      </c>
      <c r="Q312" s="10" t="s">
        <v>47</v>
      </c>
      <c r="R312" s="10" t="s">
        <v>74</v>
      </c>
      <c r="S312" s="10">
        <v>600</v>
      </c>
      <c r="T312" s="10">
        <v>500</v>
      </c>
      <c r="U312" s="10">
        <v>300</v>
      </c>
      <c r="V312" s="10">
        <v>300</v>
      </c>
      <c r="W312" s="10" t="s">
        <v>1608</v>
      </c>
      <c r="Y312" s="10" t="s">
        <v>1609</v>
      </c>
      <c r="Z312" s="10" t="s">
        <v>402</v>
      </c>
      <c r="AA312" s="10" t="s">
        <v>1610</v>
      </c>
      <c r="AB312" s="10" t="s">
        <v>306</v>
      </c>
      <c r="AC312" s="10" t="s">
        <v>68</v>
      </c>
      <c r="AD312" s="10" t="str">
        <f>IFERROR(VLOOKUP(B312,'Regiões Administrativas'!$A$1:$B$646,2,0),"")</f>
        <v>Marília</v>
      </c>
      <c r="AE312" s="10">
        <f>IFERROR(VLOOKUP(Form_Responses[[#This Row],[Município]],'Regiões Administrativas'!$A$1:$I$646,3,0),"")</f>
        <v>17438</v>
      </c>
      <c r="AF312" s="10">
        <f>IFERROR(VLOOKUP(Form_Responses[[#This Row],[Município]],'Regiões Administrativas'!$A$1:$I$646,4,0),"")</f>
        <v>355660205000001</v>
      </c>
      <c r="AG312" s="10">
        <f>IFERROR(VLOOKUP(Form_Responses[[#This Row],[Município]],'Regiões Administrativas'!$A$1:$I$646,4,0),"")</f>
        <v>355660205000001</v>
      </c>
      <c r="AH312" s="10">
        <f>IFERROR(VLOOKUP(B312,'Regiões Administrativas'!$A$1:$I$646,5,0),"")</f>
        <v>3556602</v>
      </c>
      <c r="AI312" s="10">
        <f>IFERROR(VLOOKUP(B312,'Regiões Administrativas'!$A$1:$I$646,6,0),"")</f>
        <v>-49.821781700000003</v>
      </c>
      <c r="AJ312" s="10">
        <f>IFERROR(VLOOKUP(B312,'Regiões Administrativas'!$A$1:$I$646,8,0),"")</f>
        <v>650.27430400000003</v>
      </c>
      <c r="AK312" s="10" t="str">
        <f>IFERROR(VLOOKUP(Form_Responses[[#This Row],[Município]],'Regiões Administrativas'!$A$1:$I$646,9,0),"")</f>
        <v>1J6RRmwR?=op</v>
      </c>
    </row>
    <row r="313" spans="1:37" ht="22.5" customHeight="1">
      <c r="A313" s="15">
        <v>46035.62495153935</v>
      </c>
      <c r="B313" s="10" t="s">
        <v>1660</v>
      </c>
      <c r="C313" s="10" t="s">
        <v>521</v>
      </c>
      <c r="D313" s="10" t="s">
        <v>1661</v>
      </c>
      <c r="E313" s="10" t="s">
        <v>1662</v>
      </c>
      <c r="G313" s="10" t="s">
        <v>1663</v>
      </c>
      <c r="I313" s="10" t="s">
        <v>267</v>
      </c>
      <c r="J313" s="16">
        <v>46051</v>
      </c>
      <c r="K313" s="16">
        <v>46053</v>
      </c>
      <c r="L313" s="17">
        <v>0.70833333333575865</v>
      </c>
      <c r="M313" s="17">
        <v>0.91666666666424135</v>
      </c>
      <c r="N313" s="10" t="s">
        <v>268</v>
      </c>
      <c r="O313" s="10" t="s">
        <v>99</v>
      </c>
      <c r="P313" s="10" t="s">
        <v>99</v>
      </c>
      <c r="Q313" s="10" t="s">
        <v>47</v>
      </c>
      <c r="R313" s="10" t="s">
        <v>74</v>
      </c>
      <c r="S313" s="10">
        <v>5000</v>
      </c>
      <c r="W313" s="10" t="s">
        <v>1664</v>
      </c>
      <c r="Y313" s="10">
        <v>17997262627</v>
      </c>
      <c r="Z313" s="10" t="s">
        <v>76</v>
      </c>
      <c r="AA313" s="10" t="s">
        <v>206</v>
      </c>
      <c r="AB313" s="10" t="s">
        <v>344</v>
      </c>
      <c r="AC313" s="10" t="s">
        <v>68</v>
      </c>
      <c r="AD313" s="10" t="str">
        <f>IFERROR(VLOOKUP(B313,'Regiões Administrativas'!$A$1:$B$646,2,0),"")</f>
        <v>São José do Rio Preto</v>
      </c>
      <c r="AE313" s="10">
        <f>IFERROR(VLOOKUP(Form_Responses[[#This Row],[Município]],'Regiões Administrativas'!$A$1:$I$646,3,0),"")</f>
        <v>15766</v>
      </c>
      <c r="AF313" s="10">
        <f>IFERROR(VLOOKUP(Form_Responses[[#This Row],[Município]],'Regiões Administrativas'!$A$1:$I$646,4,0),"")</f>
        <v>351110205000001</v>
      </c>
      <c r="AG313" s="10">
        <f>IFERROR(VLOOKUP(Form_Responses[[#This Row],[Município]],'Regiões Administrativas'!$A$1:$I$646,4,0),"")</f>
        <v>351110205000001</v>
      </c>
      <c r="AH313" s="10">
        <f>IFERROR(VLOOKUP(B313,'Regiões Administrativas'!$A$1:$I$646,5,0),"")</f>
        <v>3511102</v>
      </c>
      <c r="AI313" s="10">
        <f>IFERROR(VLOOKUP(B313,'Regiões Administrativas'!$A$1:$I$646,6,0),"")</f>
        <v>-48.975870899999997</v>
      </c>
      <c r="AJ313" s="10">
        <f>IFERROR(VLOOKUP(B313,'Regiões Administrativas'!$A$1:$I$646,8,0),"")</f>
        <v>524.83555899999999</v>
      </c>
      <c r="AK313" s="10" t="str">
        <f>IFERROR(VLOOKUP(Form_Responses[[#This Row],[Município]],'Regiões Administrativas'!$A$1:$I$646,9,0),"")</f>
        <v>1J6Re@eZ]vwp</v>
      </c>
    </row>
    <row r="314" spans="1:37" ht="22.5" customHeight="1">
      <c r="A314" s="15">
        <v>46035.661153865745</v>
      </c>
      <c r="B314" s="10" t="s">
        <v>790</v>
      </c>
      <c r="C314" s="10" t="s">
        <v>791</v>
      </c>
      <c r="D314" s="10" t="s">
        <v>1665</v>
      </c>
      <c r="E314" s="10" t="s">
        <v>1666</v>
      </c>
      <c r="G314" s="10" t="s">
        <v>1667</v>
      </c>
      <c r="I314" s="10" t="s">
        <v>128</v>
      </c>
      <c r="J314" s="16">
        <v>46115</v>
      </c>
      <c r="K314" s="16">
        <v>46115</v>
      </c>
      <c r="N314" s="10" t="s">
        <v>44</v>
      </c>
      <c r="O314" s="10" t="s">
        <v>221</v>
      </c>
      <c r="P314" s="10" t="s">
        <v>221</v>
      </c>
      <c r="Q314" s="10" t="s">
        <v>47</v>
      </c>
      <c r="R314" s="10" t="s">
        <v>256</v>
      </c>
      <c r="S314" s="10">
        <v>1500</v>
      </c>
      <c r="T314" s="10">
        <v>1500</v>
      </c>
      <c r="W314" s="10" t="s">
        <v>1668</v>
      </c>
      <c r="Y314" s="10" t="s">
        <v>1669</v>
      </c>
      <c r="Z314" s="10" t="s">
        <v>66</v>
      </c>
      <c r="AA314" s="10" t="s">
        <v>1670</v>
      </c>
      <c r="AB314" s="10" t="s">
        <v>66</v>
      </c>
      <c r="AC314" s="10" t="s">
        <v>68</v>
      </c>
      <c r="AD314" s="10" t="str">
        <f>IFERROR(VLOOKUP(B314,'Regiões Administrativas'!$A$1:$B$646,2,0),"")</f>
        <v>Campinas</v>
      </c>
      <c r="AE314" s="10">
        <f>IFERROR(VLOOKUP(Form_Responses[[#This Row],[Município]],'Regiões Administrativas'!$A$1:$I$646,3,0),"")</f>
        <v>15710</v>
      </c>
      <c r="AF314" s="10">
        <f>IFERROR(VLOOKUP(Form_Responses[[#This Row],[Município]],'Regiões Administrativas'!$A$1:$I$646,4,0),"")</f>
        <v>350950205000001</v>
      </c>
      <c r="AG314" s="10">
        <f>IFERROR(VLOOKUP(Form_Responses[[#This Row],[Município]],'Regiões Administrativas'!$A$1:$I$646,4,0),"")</f>
        <v>350950205000001</v>
      </c>
      <c r="AH314" s="10">
        <f>IFERROR(VLOOKUP(B314,'Regiões Administrativas'!$A$1:$I$646,5,0),"")</f>
        <v>3509502</v>
      </c>
      <c r="AI314" s="10">
        <f>IFERROR(VLOOKUP(B314,'Regiões Administrativas'!$A$1:$I$646,6,0),"")</f>
        <v>-47.060156300000003</v>
      </c>
      <c r="AJ314" s="10">
        <f>IFERROR(VLOOKUP(B314,'Regiões Administrativas'!$A$1:$I$646,8,0),"")</f>
        <v>688.98713699999996</v>
      </c>
      <c r="AK314" s="10" t="str">
        <f>IFERROR(VLOOKUP(Form_Responses[[#This Row],[Município]],'Regiões Administrativas'!$A$1:$I$646,9,0),"")</f>
        <v>1J6tL4:8Z?Sf</v>
      </c>
    </row>
    <row r="315" spans="1:37" ht="22.5" customHeight="1">
      <c r="A315" s="15">
        <v>46035.670233773148</v>
      </c>
      <c r="B315" s="10" t="s">
        <v>1671</v>
      </c>
      <c r="C315" s="10" t="s">
        <v>417</v>
      </c>
      <c r="D315" s="10" t="s">
        <v>1672</v>
      </c>
      <c r="E315" s="10" t="s">
        <v>1673</v>
      </c>
      <c r="F315" s="19">
        <v>9479</v>
      </c>
      <c r="G315" s="10" t="s">
        <v>1674</v>
      </c>
      <c r="I315" s="10" t="s">
        <v>128</v>
      </c>
      <c r="J315" s="16">
        <v>46084</v>
      </c>
      <c r="K315" s="16">
        <v>46084</v>
      </c>
      <c r="L315" s="17">
        <v>0.79166666666424135</v>
      </c>
      <c r="M315" s="17">
        <v>0.95833333333575865</v>
      </c>
      <c r="N315" s="10" t="s">
        <v>98</v>
      </c>
      <c r="O315" s="10" t="s">
        <v>221</v>
      </c>
      <c r="P315" s="10" t="s">
        <v>221</v>
      </c>
      <c r="Q315" s="10" t="s">
        <v>47</v>
      </c>
      <c r="R315" s="10" t="s">
        <v>74</v>
      </c>
      <c r="S315" s="19">
        <v>5000</v>
      </c>
      <c r="T315" s="19">
        <v>3000</v>
      </c>
      <c r="U315" s="19">
        <v>4000</v>
      </c>
      <c r="V315" s="19">
        <v>2500</v>
      </c>
      <c r="W315" s="10" t="s">
        <v>1675</v>
      </c>
      <c r="Y315" s="10" t="s">
        <v>1676</v>
      </c>
      <c r="Z315" s="10" t="s">
        <v>1677</v>
      </c>
      <c r="AA315" s="10" t="s">
        <v>66</v>
      </c>
      <c r="AB315" s="10" t="s">
        <v>66</v>
      </c>
      <c r="AC315" s="10" t="s">
        <v>68</v>
      </c>
      <c r="AD315" s="10" t="str">
        <f>IFERROR(VLOOKUP(B315,'Regiões Administrativas'!$A$1:$B$646,2,0),"")</f>
        <v>Central</v>
      </c>
      <c r="AE315" s="10">
        <f>IFERROR(VLOOKUP(Form_Responses[[#This Row],[Município]],'Regiões Administrativas'!$A$1:$I$646,3,0),"")</f>
        <v>15450</v>
      </c>
      <c r="AF315" s="10">
        <f>IFERROR(VLOOKUP(Form_Responses[[#This Row],[Município]],'Regiões Administrativas'!$A$1:$I$646,4,0),"")</f>
        <v>350320805000001</v>
      </c>
      <c r="AG315" s="10">
        <f>IFERROR(VLOOKUP(Form_Responses[[#This Row],[Município]],'Regiões Administrativas'!$A$1:$I$646,4,0),"")</f>
        <v>350320805000001</v>
      </c>
      <c r="AH315" s="10">
        <f>IFERROR(VLOOKUP(B315,'Regiões Administrativas'!$A$1:$I$646,5,0),"")</f>
        <v>3503208</v>
      </c>
      <c r="AI315" s="10">
        <f>IFERROR(VLOOKUP(B315,'Regiões Administrativas'!$A$1:$I$646,6,0),"")</f>
        <v>-48.174439900000003</v>
      </c>
      <c r="AJ315" s="10">
        <f>IFERROR(VLOOKUP(B315,'Regiões Administrativas'!$A$1:$I$646,8,0),"")</f>
        <v>673.07259399999998</v>
      </c>
      <c r="AK315" s="10" t="str">
        <f>IFERROR(VLOOKUP(Form_Responses[[#This Row],[Município]],'Regiões Administrativas'!$A$1:$I$646,9,0),"")</f>
        <v>1J6RTd3.MPuf</v>
      </c>
    </row>
    <row r="316" spans="1:37" ht="22.5" customHeight="1">
      <c r="A316" s="18">
        <v>46035.700419166664</v>
      </c>
      <c r="B316" s="10" t="s">
        <v>1604</v>
      </c>
      <c r="C316" s="10" t="s">
        <v>538</v>
      </c>
      <c r="D316" s="10" t="s">
        <v>1678</v>
      </c>
      <c r="E316" s="10" t="s">
        <v>1679</v>
      </c>
      <c r="G316" s="10" t="s">
        <v>1680</v>
      </c>
      <c r="H316" s="72" t="s">
        <v>1681</v>
      </c>
      <c r="I316" s="10" t="s">
        <v>72</v>
      </c>
      <c r="J316" s="16">
        <v>46207</v>
      </c>
      <c r="K316" s="16">
        <v>46208</v>
      </c>
      <c r="N316" s="10" t="s">
        <v>61</v>
      </c>
      <c r="O316" s="10" t="s">
        <v>190</v>
      </c>
      <c r="P316" s="10" t="s">
        <v>99</v>
      </c>
      <c r="Q316" s="10" t="s">
        <v>47</v>
      </c>
      <c r="R316" s="10" t="s">
        <v>48</v>
      </c>
      <c r="S316" s="10">
        <v>250</v>
      </c>
      <c r="T316" s="10">
        <v>100</v>
      </c>
      <c r="U316" s="10">
        <v>80</v>
      </c>
      <c r="V316" s="10">
        <v>60</v>
      </c>
      <c r="W316" s="10" t="s">
        <v>1680</v>
      </c>
      <c r="Y316" s="10" t="s">
        <v>1682</v>
      </c>
      <c r="Z316" s="10" t="s">
        <v>1683</v>
      </c>
      <c r="AA316" s="10" t="s">
        <v>1684</v>
      </c>
      <c r="AB316" s="10" t="s">
        <v>306</v>
      </c>
      <c r="AC316" s="10" t="s">
        <v>68</v>
      </c>
      <c r="AD316" s="10" t="str">
        <f>IFERROR(VLOOKUP(B316,'Regiões Administrativas'!$A$1:$B$646,2,0),"")</f>
        <v>Marília</v>
      </c>
      <c r="AE316" s="10">
        <f>IFERROR(VLOOKUP(Form_Responses[[#This Row],[Município]],'Regiões Administrativas'!$A$1:$I$646,3,0),"")</f>
        <v>17438</v>
      </c>
      <c r="AF316" s="10">
        <f>IFERROR(VLOOKUP(Form_Responses[[#This Row],[Município]],'Regiões Administrativas'!$A$1:$I$646,4,0),"")</f>
        <v>355660205000001</v>
      </c>
      <c r="AG316" s="10">
        <f>IFERROR(VLOOKUP(Form_Responses[[#This Row],[Município]],'Regiões Administrativas'!$A$1:$I$646,4,0),"")</f>
        <v>355660205000001</v>
      </c>
      <c r="AH316" s="10">
        <f>IFERROR(VLOOKUP(B316,'Regiões Administrativas'!$A$1:$I$646,5,0),"")</f>
        <v>3556602</v>
      </c>
      <c r="AI316" s="10">
        <f>IFERROR(VLOOKUP(B316,'Regiões Administrativas'!$A$1:$I$646,6,0),"")</f>
        <v>-49.821781700000003</v>
      </c>
      <c r="AJ316" s="10">
        <f>IFERROR(VLOOKUP(B316,'Regiões Administrativas'!$A$1:$I$646,8,0),"")</f>
        <v>650.27430400000003</v>
      </c>
      <c r="AK316" s="10" t="str">
        <f>IFERROR(VLOOKUP(Form_Responses[[#This Row],[Município]],'Regiões Administrativas'!$A$1:$I$646,9,0),"")</f>
        <v>1J6RRmwR?=op</v>
      </c>
    </row>
    <row r="317" spans="1:37" ht="22.5" customHeight="1">
      <c r="A317" s="15">
        <v>46036.363854664349</v>
      </c>
      <c r="B317" s="10" t="s">
        <v>1685</v>
      </c>
      <c r="C317" s="10" t="s">
        <v>538</v>
      </c>
      <c r="D317" s="10" t="s">
        <v>1686</v>
      </c>
      <c r="E317" s="10" t="s">
        <v>1687</v>
      </c>
      <c r="G317" s="10" t="s">
        <v>1688</v>
      </c>
      <c r="H317" s="72" t="s">
        <v>1689</v>
      </c>
      <c r="I317" s="10" t="s">
        <v>89</v>
      </c>
      <c r="J317" s="16">
        <v>46060</v>
      </c>
      <c r="K317" s="16">
        <v>46061</v>
      </c>
      <c r="N317" s="10" t="s">
        <v>44</v>
      </c>
      <c r="O317" s="10" t="s">
        <v>221</v>
      </c>
      <c r="P317" s="10" t="s">
        <v>63</v>
      </c>
      <c r="Q317" s="10" t="s">
        <v>47</v>
      </c>
      <c r="R317" s="10" t="s">
        <v>74</v>
      </c>
      <c r="S317" s="10">
        <v>8000</v>
      </c>
      <c r="T317" s="10">
        <v>0</v>
      </c>
      <c r="U317" s="10">
        <v>0</v>
      </c>
      <c r="V317" s="10">
        <v>0</v>
      </c>
      <c r="W317" s="10" t="s">
        <v>1690</v>
      </c>
      <c r="Y317" s="10" t="s">
        <v>1691</v>
      </c>
      <c r="Z317" s="10" t="s">
        <v>76</v>
      </c>
      <c r="AA317" s="10" t="s">
        <v>113</v>
      </c>
      <c r="AB317" s="10" t="s">
        <v>66</v>
      </c>
      <c r="AC317" s="10" t="s">
        <v>68</v>
      </c>
      <c r="AD317" s="10" t="str">
        <f>IFERROR(VLOOKUP(B317,'Regiões Administrativas'!$A$1:$B$646,2,0),"")</f>
        <v>Marília</v>
      </c>
      <c r="AE317" s="10">
        <f>IFERROR(VLOOKUP(Form_Responses[[#This Row],[Município]],'Regiões Administrativas'!$A$1:$I$646,3,0),"")</f>
        <v>15923</v>
      </c>
      <c r="AF317" s="10">
        <f>IFERROR(VLOOKUP(Form_Responses[[#This Row],[Município]],'Regiões Administrativas'!$A$1:$I$646,4,0),"")</f>
        <v>351670505000001</v>
      </c>
      <c r="AG317" s="10">
        <f>IFERROR(VLOOKUP(Form_Responses[[#This Row],[Município]],'Regiões Administrativas'!$A$1:$I$646,4,0),"")</f>
        <v>351670505000001</v>
      </c>
      <c r="AH317" s="10">
        <f>IFERROR(VLOOKUP(B317,'Regiões Administrativas'!$A$1:$I$646,5,0),"")</f>
        <v>3516705</v>
      </c>
      <c r="AI317" s="10">
        <f>IFERROR(VLOOKUP(B317,'Regiões Administrativas'!$A$1:$I$646,6,0),"")</f>
        <v>-49.656529900000002</v>
      </c>
      <c r="AJ317" s="10">
        <f>IFERROR(VLOOKUP(B317,'Regiões Administrativas'!$A$1:$I$646,8,0),"")</f>
        <v>679.96329800000001</v>
      </c>
      <c r="AK317" s="10" t="str">
        <f>IFERROR(VLOOKUP(Form_Responses[[#This Row],[Município]],'Regiões Administrativas'!$A$1:$I$646,9,0),"")</f>
        <v>1J6RRoY:.l+-</v>
      </c>
    </row>
    <row r="318" spans="1:37" ht="22.5" customHeight="1">
      <c r="A318" s="15">
        <v>46036.369442002309</v>
      </c>
      <c r="B318" s="10" t="s">
        <v>1685</v>
      </c>
      <c r="C318" s="10" t="s">
        <v>538</v>
      </c>
      <c r="D318" s="10" t="s">
        <v>1692</v>
      </c>
      <c r="E318" s="10" t="s">
        <v>1693</v>
      </c>
      <c r="G318" s="10" t="s">
        <v>1694</v>
      </c>
      <c r="H318" s="72" t="s">
        <v>1695</v>
      </c>
      <c r="I318" s="10" t="s">
        <v>109</v>
      </c>
      <c r="J318" s="16">
        <v>46089</v>
      </c>
      <c r="K318" s="16">
        <v>46089</v>
      </c>
      <c r="L318" s="17">
        <v>0.29166666666424135</v>
      </c>
      <c r="M318" s="17">
        <v>0.5</v>
      </c>
      <c r="N318" s="10" t="s">
        <v>98</v>
      </c>
      <c r="O318" s="10" t="s">
        <v>62</v>
      </c>
      <c r="P318" s="10" t="s">
        <v>63</v>
      </c>
      <c r="Q318" s="10" t="s">
        <v>47</v>
      </c>
      <c r="R318" s="10" t="s">
        <v>74</v>
      </c>
      <c r="S318" s="10">
        <v>1500</v>
      </c>
      <c r="T318" s="10">
        <v>0</v>
      </c>
      <c r="U318" s="10">
        <v>0</v>
      </c>
      <c r="V318" s="10">
        <v>0</v>
      </c>
      <c r="W318" s="10" t="s">
        <v>1696</v>
      </c>
      <c r="X318" s="72" t="s">
        <v>1695</v>
      </c>
      <c r="Y318" s="10" t="s">
        <v>1697</v>
      </c>
      <c r="Z318" s="10" t="s">
        <v>66</v>
      </c>
      <c r="AA318" s="10" t="s">
        <v>156</v>
      </c>
      <c r="AB318" s="10" t="s">
        <v>66</v>
      </c>
      <c r="AC318" s="10" t="s">
        <v>68</v>
      </c>
      <c r="AD318" s="10" t="str">
        <f>IFERROR(VLOOKUP(B318,'Regiões Administrativas'!$A$1:$B$646,2,0),"")</f>
        <v>Marília</v>
      </c>
      <c r="AE318" s="10">
        <f>IFERROR(VLOOKUP(Form_Responses[[#This Row],[Município]],'Regiões Administrativas'!$A$1:$I$646,3,0),"")</f>
        <v>15923</v>
      </c>
      <c r="AF318" s="10">
        <f>IFERROR(VLOOKUP(Form_Responses[[#This Row],[Município]],'Regiões Administrativas'!$A$1:$I$646,4,0),"")</f>
        <v>351670505000001</v>
      </c>
      <c r="AG318" s="10">
        <f>IFERROR(VLOOKUP(Form_Responses[[#This Row],[Município]],'Regiões Administrativas'!$A$1:$I$646,4,0),"")</f>
        <v>351670505000001</v>
      </c>
      <c r="AH318" s="10">
        <f>IFERROR(VLOOKUP(B318,'Regiões Administrativas'!$A$1:$I$646,5,0),"")</f>
        <v>3516705</v>
      </c>
      <c r="AI318" s="10">
        <f>IFERROR(VLOOKUP(B318,'Regiões Administrativas'!$A$1:$I$646,6,0),"")</f>
        <v>-49.656529900000002</v>
      </c>
      <c r="AJ318" s="10">
        <f>IFERROR(VLOOKUP(B318,'Regiões Administrativas'!$A$1:$I$646,8,0),"")</f>
        <v>679.96329800000001</v>
      </c>
      <c r="AK318" s="10" t="str">
        <f>IFERROR(VLOOKUP(Form_Responses[[#This Row],[Município]],'Regiões Administrativas'!$A$1:$I$646,9,0),"")</f>
        <v>1J6RRoY:.l+-</v>
      </c>
    </row>
    <row r="319" spans="1:37" ht="22.5" customHeight="1">
      <c r="A319" s="15">
        <v>46036.37237420139</v>
      </c>
      <c r="B319" s="10" t="s">
        <v>1685</v>
      </c>
      <c r="C319" s="10" t="s">
        <v>538</v>
      </c>
      <c r="D319" s="10" t="s">
        <v>1698</v>
      </c>
      <c r="E319" s="10" t="s">
        <v>1693</v>
      </c>
      <c r="G319" s="10" t="s">
        <v>1699</v>
      </c>
      <c r="H319" s="72" t="s">
        <v>1700</v>
      </c>
      <c r="I319" s="10" t="s">
        <v>109</v>
      </c>
      <c r="J319" s="16">
        <v>46102</v>
      </c>
      <c r="K319" s="16">
        <v>46103</v>
      </c>
      <c r="N319" s="10" t="s">
        <v>73</v>
      </c>
      <c r="O319" s="10" t="s">
        <v>45</v>
      </c>
      <c r="P319" s="10" t="s">
        <v>63</v>
      </c>
      <c r="Q319" s="10" t="s">
        <v>47</v>
      </c>
      <c r="R319" s="10" t="s">
        <v>74</v>
      </c>
      <c r="S319" s="10">
        <v>3000</v>
      </c>
      <c r="T319" s="10">
        <v>0</v>
      </c>
      <c r="U319" s="10">
        <v>0</v>
      </c>
      <c r="V319" s="10">
        <v>0</v>
      </c>
      <c r="W319" s="10" t="s">
        <v>1701</v>
      </c>
      <c r="Y319" s="10" t="s">
        <v>1702</v>
      </c>
      <c r="Z319" s="10" t="s">
        <v>76</v>
      </c>
      <c r="AA319" s="10" t="s">
        <v>113</v>
      </c>
      <c r="AB319" s="10" t="s">
        <v>318</v>
      </c>
      <c r="AC319" s="10" t="s">
        <v>68</v>
      </c>
      <c r="AD319" s="10" t="str">
        <f>IFERROR(VLOOKUP(B319,'Regiões Administrativas'!$A$1:$B$646,2,0),"")</f>
        <v>Marília</v>
      </c>
      <c r="AE319" s="10">
        <f>IFERROR(VLOOKUP(Form_Responses[[#This Row],[Município]],'Regiões Administrativas'!$A$1:$I$646,3,0),"")</f>
        <v>15923</v>
      </c>
      <c r="AF319" s="10">
        <f>IFERROR(VLOOKUP(Form_Responses[[#This Row],[Município]],'Regiões Administrativas'!$A$1:$I$646,4,0),"")</f>
        <v>351670505000001</v>
      </c>
      <c r="AG319" s="10">
        <f>IFERROR(VLOOKUP(Form_Responses[[#This Row],[Município]],'Regiões Administrativas'!$A$1:$I$646,4,0),"")</f>
        <v>351670505000001</v>
      </c>
      <c r="AH319" s="10">
        <f>IFERROR(VLOOKUP(B319,'Regiões Administrativas'!$A$1:$I$646,5,0),"")</f>
        <v>3516705</v>
      </c>
      <c r="AI319" s="10">
        <f>IFERROR(VLOOKUP(B319,'Regiões Administrativas'!$A$1:$I$646,6,0),"")</f>
        <v>-49.656529900000002</v>
      </c>
      <c r="AJ319" s="10">
        <f>IFERROR(VLOOKUP(B319,'Regiões Administrativas'!$A$1:$I$646,8,0),"")</f>
        <v>679.96329800000001</v>
      </c>
      <c r="AK319" s="10" t="str">
        <f>IFERROR(VLOOKUP(Form_Responses[[#This Row],[Município]],'Regiões Administrativas'!$A$1:$I$646,9,0),"")</f>
        <v>1J6RRoY:.l+-</v>
      </c>
    </row>
    <row r="320" spans="1:37" ht="22.5" customHeight="1">
      <c r="A320" s="15">
        <v>46036.376301180557</v>
      </c>
      <c r="B320" s="10" t="s">
        <v>1685</v>
      </c>
      <c r="C320" s="10" t="s">
        <v>538</v>
      </c>
      <c r="D320" s="10" t="s">
        <v>1703</v>
      </c>
      <c r="E320" s="10" t="s">
        <v>1704</v>
      </c>
      <c r="G320" s="10" t="s">
        <v>1694</v>
      </c>
      <c r="H320" s="72" t="s">
        <v>1705</v>
      </c>
      <c r="I320" s="10" t="s">
        <v>128</v>
      </c>
      <c r="J320" s="16">
        <v>46129</v>
      </c>
      <c r="K320" s="16">
        <v>46131</v>
      </c>
      <c r="N320" s="10" t="s">
        <v>73</v>
      </c>
      <c r="O320" s="10" t="s">
        <v>99</v>
      </c>
      <c r="P320" s="10" t="s">
        <v>99</v>
      </c>
      <c r="Q320" s="10" t="s">
        <v>47</v>
      </c>
      <c r="R320" s="10" t="s">
        <v>74</v>
      </c>
      <c r="S320" s="10">
        <v>20000</v>
      </c>
      <c r="T320" s="10">
        <v>17000</v>
      </c>
      <c r="U320" s="10">
        <v>15000</v>
      </c>
      <c r="V320" s="10">
        <v>16000</v>
      </c>
      <c r="W320" s="10" t="s">
        <v>1706</v>
      </c>
      <c r="Y320" s="10" t="s">
        <v>1707</v>
      </c>
      <c r="Z320" s="10" t="s">
        <v>76</v>
      </c>
      <c r="AA320" s="10" t="s">
        <v>156</v>
      </c>
      <c r="AB320" s="10" t="s">
        <v>66</v>
      </c>
      <c r="AC320" s="10" t="s">
        <v>68</v>
      </c>
      <c r="AD320" s="10" t="str">
        <f>IFERROR(VLOOKUP(B320,'Regiões Administrativas'!$A$1:$B$646,2,0),"")</f>
        <v>Marília</v>
      </c>
      <c r="AE320" s="10">
        <f>IFERROR(VLOOKUP(Form_Responses[[#This Row],[Município]],'Regiões Administrativas'!$A$1:$I$646,3,0),"")</f>
        <v>15923</v>
      </c>
      <c r="AF320" s="10">
        <f>IFERROR(VLOOKUP(Form_Responses[[#This Row],[Município]],'Regiões Administrativas'!$A$1:$I$646,4,0),"")</f>
        <v>351670505000001</v>
      </c>
      <c r="AG320" s="10">
        <f>IFERROR(VLOOKUP(Form_Responses[[#This Row],[Município]],'Regiões Administrativas'!$A$1:$I$646,4,0),"")</f>
        <v>351670505000001</v>
      </c>
      <c r="AH320" s="10">
        <f>IFERROR(VLOOKUP(B320,'Regiões Administrativas'!$A$1:$I$646,5,0),"")</f>
        <v>3516705</v>
      </c>
      <c r="AI320" s="10">
        <f>IFERROR(VLOOKUP(B320,'Regiões Administrativas'!$A$1:$I$646,6,0),"")</f>
        <v>-49.656529900000002</v>
      </c>
      <c r="AJ320" s="10">
        <f>IFERROR(VLOOKUP(B320,'Regiões Administrativas'!$A$1:$I$646,8,0),"")</f>
        <v>679.96329800000001</v>
      </c>
      <c r="AK320" s="10" t="str">
        <f>IFERROR(VLOOKUP(Form_Responses[[#This Row],[Município]],'Regiões Administrativas'!$A$1:$I$646,9,0),"")</f>
        <v>1J6RRoY:.l+-</v>
      </c>
    </row>
    <row r="321" spans="1:37" ht="22.5" customHeight="1">
      <c r="A321" s="15">
        <v>46036.418131770828</v>
      </c>
      <c r="B321" s="10" t="s">
        <v>1685</v>
      </c>
      <c r="C321" s="10" t="s">
        <v>538</v>
      </c>
      <c r="D321" s="10" t="s">
        <v>1708</v>
      </c>
      <c r="E321" s="10" t="s">
        <v>1709</v>
      </c>
      <c r="G321" s="10" t="s">
        <v>1710</v>
      </c>
      <c r="H321" s="72" t="s">
        <v>1711</v>
      </c>
      <c r="I321" s="10" t="s">
        <v>220</v>
      </c>
      <c r="J321" s="16">
        <v>46145</v>
      </c>
      <c r="K321" s="16">
        <v>46145</v>
      </c>
      <c r="L321" s="17">
        <v>0.29166666666424135</v>
      </c>
      <c r="M321" s="17">
        <v>0.5</v>
      </c>
      <c r="N321" s="10" t="s">
        <v>98</v>
      </c>
      <c r="O321" s="10" t="s">
        <v>62</v>
      </c>
      <c r="P321" s="10" t="s">
        <v>63</v>
      </c>
      <c r="Q321" s="10" t="s">
        <v>47</v>
      </c>
      <c r="R321" s="10" t="s">
        <v>74</v>
      </c>
      <c r="S321" s="10">
        <v>1500</v>
      </c>
      <c r="T321" s="10">
        <v>1000</v>
      </c>
      <c r="U321" s="10">
        <v>900</v>
      </c>
      <c r="V321" s="10">
        <v>0</v>
      </c>
      <c r="W321" s="10" t="s">
        <v>1712</v>
      </c>
      <c r="X321" s="72" t="s">
        <v>1711</v>
      </c>
      <c r="Y321" s="10" t="s">
        <v>1713</v>
      </c>
      <c r="Z321" s="10" t="s">
        <v>76</v>
      </c>
      <c r="AA321" s="10" t="s">
        <v>156</v>
      </c>
      <c r="AB321" s="10" t="s">
        <v>66</v>
      </c>
      <c r="AC321" s="10" t="s">
        <v>68</v>
      </c>
      <c r="AD321" s="10" t="str">
        <f>IFERROR(VLOOKUP(B321,'Regiões Administrativas'!$A$1:$B$646,2,0),"")</f>
        <v>Marília</v>
      </c>
      <c r="AE321" s="10">
        <f>IFERROR(VLOOKUP(Form_Responses[[#This Row],[Município]],'Regiões Administrativas'!$A$1:$I$646,3,0),"")</f>
        <v>15923</v>
      </c>
      <c r="AF321" s="10">
        <f>IFERROR(VLOOKUP(Form_Responses[[#This Row],[Município]],'Regiões Administrativas'!$A$1:$I$646,4,0),"")</f>
        <v>351670505000001</v>
      </c>
      <c r="AG321" s="10">
        <f>IFERROR(VLOOKUP(Form_Responses[[#This Row],[Município]],'Regiões Administrativas'!$A$1:$I$646,4,0),"")</f>
        <v>351670505000001</v>
      </c>
      <c r="AH321" s="10">
        <f>IFERROR(VLOOKUP(B321,'Regiões Administrativas'!$A$1:$I$646,5,0),"")</f>
        <v>3516705</v>
      </c>
      <c r="AI321" s="10">
        <f>IFERROR(VLOOKUP(B321,'Regiões Administrativas'!$A$1:$I$646,6,0),"")</f>
        <v>-49.656529900000002</v>
      </c>
      <c r="AJ321" s="10">
        <f>IFERROR(VLOOKUP(B321,'Regiões Administrativas'!$A$1:$I$646,8,0),"")</f>
        <v>679.96329800000001</v>
      </c>
      <c r="AK321" s="10" t="str">
        <f>IFERROR(VLOOKUP(Form_Responses[[#This Row],[Município]],'Regiões Administrativas'!$A$1:$I$646,9,0),"")</f>
        <v>1J6RRoY:.l+-</v>
      </c>
    </row>
    <row r="322" spans="1:37" ht="22.5" customHeight="1">
      <c r="A322" s="15">
        <v>46036.421129236114</v>
      </c>
      <c r="B322" s="10" t="s">
        <v>1685</v>
      </c>
      <c r="C322" s="10" t="s">
        <v>538</v>
      </c>
      <c r="D322" s="10" t="s">
        <v>1714</v>
      </c>
      <c r="E322" s="10" t="s">
        <v>1715</v>
      </c>
      <c r="G322" s="10" t="s">
        <v>1716</v>
      </c>
      <c r="H322" s="72" t="s">
        <v>1717</v>
      </c>
      <c r="I322" s="10" t="s">
        <v>220</v>
      </c>
      <c r="J322" s="16">
        <v>46156</v>
      </c>
      <c r="K322" s="16">
        <v>46156</v>
      </c>
      <c r="N322" s="10" t="s">
        <v>268</v>
      </c>
      <c r="O322" s="10" t="s">
        <v>642</v>
      </c>
      <c r="P322" s="10" t="s">
        <v>63</v>
      </c>
      <c r="Q322" s="10" t="s">
        <v>47</v>
      </c>
      <c r="R322" s="10" t="s">
        <v>74</v>
      </c>
      <c r="S322" s="10">
        <v>10000</v>
      </c>
      <c r="T322" s="10">
        <v>0</v>
      </c>
      <c r="U322" s="10">
        <v>8000</v>
      </c>
      <c r="V322" s="10">
        <v>0</v>
      </c>
      <c r="W322" s="10" t="s">
        <v>1718</v>
      </c>
      <c r="Y322" s="10" t="s">
        <v>1719</v>
      </c>
      <c r="Z322" s="10" t="s">
        <v>66</v>
      </c>
      <c r="AA322" s="10" t="s">
        <v>93</v>
      </c>
      <c r="AB322" s="10" t="s">
        <v>66</v>
      </c>
      <c r="AC322" s="10" t="s">
        <v>68</v>
      </c>
      <c r="AD322" s="10" t="str">
        <f>IFERROR(VLOOKUP(B322,'Regiões Administrativas'!$A$1:$B$646,2,0),"")</f>
        <v>Marília</v>
      </c>
      <c r="AE322" s="10">
        <f>IFERROR(VLOOKUP(Form_Responses[[#This Row],[Município]],'Regiões Administrativas'!$A$1:$I$646,3,0),"")</f>
        <v>15923</v>
      </c>
      <c r="AF322" s="10">
        <f>IFERROR(VLOOKUP(Form_Responses[[#This Row],[Município]],'Regiões Administrativas'!$A$1:$I$646,4,0),"")</f>
        <v>351670505000001</v>
      </c>
      <c r="AG322" s="10">
        <f>IFERROR(VLOOKUP(Form_Responses[[#This Row],[Município]],'Regiões Administrativas'!$A$1:$I$646,4,0),"")</f>
        <v>351670505000001</v>
      </c>
      <c r="AH322" s="10">
        <f>IFERROR(VLOOKUP(B322,'Regiões Administrativas'!$A$1:$I$646,5,0),"")</f>
        <v>3516705</v>
      </c>
      <c r="AI322" s="10">
        <f>IFERROR(VLOOKUP(B322,'Regiões Administrativas'!$A$1:$I$646,6,0),"")</f>
        <v>-49.656529900000002</v>
      </c>
      <c r="AJ322" s="10">
        <f>IFERROR(VLOOKUP(B322,'Regiões Administrativas'!$A$1:$I$646,8,0),"")</f>
        <v>679.96329800000001</v>
      </c>
      <c r="AK322" s="10" t="str">
        <f>IFERROR(VLOOKUP(Form_Responses[[#This Row],[Município]],'Regiões Administrativas'!$A$1:$I$646,9,0),"")</f>
        <v>1J6RRoY:.l+-</v>
      </c>
    </row>
    <row r="323" spans="1:37" ht="22.5" customHeight="1">
      <c r="A323" s="15">
        <v>46036.42353255787</v>
      </c>
      <c r="B323" s="10" t="s">
        <v>165</v>
      </c>
      <c r="C323" s="10" t="s">
        <v>166</v>
      </c>
      <c r="D323" s="10" t="s">
        <v>1720</v>
      </c>
      <c r="E323" s="10" t="s">
        <v>1721</v>
      </c>
      <c r="G323" s="10" t="s">
        <v>1722</v>
      </c>
      <c r="H323" s="72" t="s">
        <v>1723</v>
      </c>
      <c r="I323" s="10" t="s">
        <v>109</v>
      </c>
      <c r="J323" s="16">
        <v>46103</v>
      </c>
      <c r="K323" s="16">
        <v>46103</v>
      </c>
      <c r="L323" s="17">
        <v>0.29166666666424135</v>
      </c>
      <c r="N323" s="10" t="s">
        <v>61</v>
      </c>
      <c r="O323" s="10" t="s">
        <v>62</v>
      </c>
      <c r="P323" s="10" t="s">
        <v>63</v>
      </c>
      <c r="Q323" s="10" t="s">
        <v>47</v>
      </c>
      <c r="R323" s="10" t="s">
        <v>48</v>
      </c>
      <c r="S323" s="10">
        <v>5000</v>
      </c>
      <c r="T323" s="10">
        <v>5000</v>
      </c>
      <c r="U323" s="10">
        <v>3500</v>
      </c>
      <c r="V323" s="10">
        <v>5000</v>
      </c>
      <c r="W323" s="10" t="s">
        <v>1724</v>
      </c>
      <c r="X323" s="72" t="s">
        <v>1725</v>
      </c>
      <c r="Y323" s="10" t="s">
        <v>173</v>
      </c>
      <c r="Z323" s="10" t="s">
        <v>66</v>
      </c>
      <c r="AA323" s="10" t="s">
        <v>113</v>
      </c>
      <c r="AB323" s="10" t="s">
        <v>66</v>
      </c>
      <c r="AC323" s="10" t="s">
        <v>55</v>
      </c>
      <c r="AD323" s="10" t="str">
        <f>IFERROR(VLOOKUP(B323,'Regiões Administrativas'!$A$1:$B$646,2,0),"")</f>
        <v>São José dos Campos</v>
      </c>
      <c r="AE323" s="10">
        <f>IFERROR(VLOOKUP(Form_Responses[[#This Row],[Município]],'Regiões Administrativas'!$A$1:$I$646,3,0),"")</f>
        <v>16025</v>
      </c>
      <c r="AF323" s="10">
        <f>IFERROR(VLOOKUP(Form_Responses[[#This Row],[Município]],'Regiões Administrativas'!$A$1:$I$646,4,0),"")</f>
        <v>352020205000001</v>
      </c>
      <c r="AG323" s="10">
        <f>IFERROR(VLOOKUP(Form_Responses[[#This Row],[Município]],'Regiões Administrativas'!$A$1:$I$646,4,0),"")</f>
        <v>352020205000001</v>
      </c>
      <c r="AH323" s="10">
        <f>IFERROR(VLOOKUP(B323,'Regiões Administrativas'!$A$1:$I$646,5,0),"")</f>
        <v>3520202</v>
      </c>
      <c r="AI323" s="10">
        <f>IFERROR(VLOOKUP(B323,'Regiões Administrativas'!$A$1:$I$646,6,0),"")</f>
        <v>-46.156314399999999</v>
      </c>
      <c r="AJ323" s="10">
        <f>IFERROR(VLOOKUP(B323,'Regiões Administrativas'!$A$1:$I$646,8,0),"")</f>
        <v>741.813129</v>
      </c>
      <c r="AK323" s="10" t="str">
        <f>IFERROR(VLOOKUP(Form_Responses[[#This Row],[Município]],'Regiões Administrativas'!$A$1:$I$646,9,0),"")</f>
        <v>1J6tOGPM^=vp</v>
      </c>
    </row>
    <row r="324" spans="1:37" ht="22.5" customHeight="1">
      <c r="A324" s="15">
        <v>46036.425168946764</v>
      </c>
      <c r="B324" s="10" t="s">
        <v>1685</v>
      </c>
      <c r="C324" s="10" t="s">
        <v>538</v>
      </c>
      <c r="D324" s="10" t="s">
        <v>1726</v>
      </c>
      <c r="E324" s="10" t="s">
        <v>1727</v>
      </c>
      <c r="G324" s="10" t="s">
        <v>1728</v>
      </c>
      <c r="H324" s="72" t="s">
        <v>1729</v>
      </c>
      <c r="I324" s="10" t="s">
        <v>220</v>
      </c>
      <c r="J324" s="16">
        <v>46165</v>
      </c>
      <c r="K324" s="16">
        <v>46166</v>
      </c>
      <c r="N324" s="10" t="s">
        <v>61</v>
      </c>
      <c r="O324" s="10" t="s">
        <v>62</v>
      </c>
      <c r="P324" s="10" t="s">
        <v>63</v>
      </c>
      <c r="Q324" s="10" t="s">
        <v>47</v>
      </c>
      <c r="R324" s="10" t="s">
        <v>74</v>
      </c>
      <c r="S324" s="10">
        <v>5000</v>
      </c>
      <c r="T324" s="10">
        <v>10000</v>
      </c>
      <c r="U324" s="10">
        <v>3000</v>
      </c>
      <c r="V324" s="10">
        <v>2500</v>
      </c>
      <c r="W324" s="10" t="s">
        <v>1730</v>
      </c>
      <c r="X324" s="72" t="s">
        <v>1731</v>
      </c>
      <c r="Y324" s="10" t="s">
        <v>1732</v>
      </c>
      <c r="Z324" s="10" t="s">
        <v>66</v>
      </c>
      <c r="AA324" s="10" t="s">
        <v>66</v>
      </c>
      <c r="AB324" s="10" t="s">
        <v>66</v>
      </c>
      <c r="AC324" s="10" t="s">
        <v>68</v>
      </c>
      <c r="AD324" s="10" t="str">
        <f>IFERROR(VLOOKUP(B324,'Regiões Administrativas'!$A$1:$B$646,2,0),"")</f>
        <v>Marília</v>
      </c>
      <c r="AE324" s="10">
        <f>IFERROR(VLOOKUP(Form_Responses[[#This Row],[Município]],'Regiões Administrativas'!$A$1:$I$646,3,0),"")</f>
        <v>15923</v>
      </c>
      <c r="AF324" s="10">
        <f>IFERROR(VLOOKUP(Form_Responses[[#This Row],[Município]],'Regiões Administrativas'!$A$1:$I$646,4,0),"")</f>
        <v>351670505000001</v>
      </c>
      <c r="AG324" s="10">
        <f>IFERROR(VLOOKUP(Form_Responses[[#This Row],[Município]],'Regiões Administrativas'!$A$1:$I$646,4,0),"")</f>
        <v>351670505000001</v>
      </c>
      <c r="AH324" s="10">
        <f>IFERROR(VLOOKUP(B324,'Regiões Administrativas'!$A$1:$I$646,5,0),"")</f>
        <v>3516705</v>
      </c>
      <c r="AI324" s="10">
        <f>IFERROR(VLOOKUP(B324,'Regiões Administrativas'!$A$1:$I$646,6,0),"")</f>
        <v>-49.656529900000002</v>
      </c>
      <c r="AJ324" s="10">
        <f>IFERROR(VLOOKUP(B324,'Regiões Administrativas'!$A$1:$I$646,8,0),"")</f>
        <v>679.96329800000001</v>
      </c>
      <c r="AK324" s="10" t="str">
        <f>IFERROR(VLOOKUP(Form_Responses[[#This Row],[Município]],'Regiões Administrativas'!$A$1:$I$646,9,0),"")</f>
        <v>1J6RRoY:.l+-</v>
      </c>
    </row>
    <row r="325" spans="1:37" ht="22.5" customHeight="1">
      <c r="A325" s="15">
        <v>46036.429479861108</v>
      </c>
      <c r="B325" s="10" t="s">
        <v>1685</v>
      </c>
      <c r="C325" s="10" t="s">
        <v>538</v>
      </c>
      <c r="D325" s="10" t="s">
        <v>1733</v>
      </c>
      <c r="E325" s="10" t="s">
        <v>1734</v>
      </c>
      <c r="G325" s="10" t="s">
        <v>1735</v>
      </c>
      <c r="H325" s="72" t="s">
        <v>1700</v>
      </c>
      <c r="I325" s="10" t="s">
        <v>220</v>
      </c>
      <c r="J325" s="16">
        <v>46170</v>
      </c>
      <c r="K325" s="16">
        <v>46173</v>
      </c>
      <c r="N325" s="10" t="s">
        <v>268</v>
      </c>
      <c r="O325" s="10" t="s">
        <v>45</v>
      </c>
      <c r="P325" s="10" t="s">
        <v>46</v>
      </c>
      <c r="Q325" s="10" t="s">
        <v>47</v>
      </c>
      <c r="R325" s="10" t="s">
        <v>74</v>
      </c>
      <c r="S325" s="10">
        <v>25000</v>
      </c>
      <c r="T325" s="10">
        <v>0</v>
      </c>
      <c r="U325" s="10">
        <v>0</v>
      </c>
      <c r="V325" s="10">
        <v>0</v>
      </c>
      <c r="W325" s="10" t="s">
        <v>1701</v>
      </c>
      <c r="Y325" s="10" t="s">
        <v>1736</v>
      </c>
      <c r="Z325" s="10" t="s">
        <v>76</v>
      </c>
      <c r="AA325" s="10" t="s">
        <v>156</v>
      </c>
      <c r="AB325" s="10" t="s">
        <v>318</v>
      </c>
      <c r="AC325" s="10" t="s">
        <v>68</v>
      </c>
      <c r="AD325" s="10" t="str">
        <f>IFERROR(VLOOKUP(B325,'Regiões Administrativas'!$A$1:$B$646,2,0),"")</f>
        <v>Marília</v>
      </c>
      <c r="AE325" s="10">
        <f>IFERROR(VLOOKUP(Form_Responses[[#This Row],[Município]],'Regiões Administrativas'!$A$1:$I$646,3,0),"")</f>
        <v>15923</v>
      </c>
      <c r="AF325" s="10">
        <f>IFERROR(VLOOKUP(Form_Responses[[#This Row],[Município]],'Regiões Administrativas'!$A$1:$I$646,4,0),"")</f>
        <v>351670505000001</v>
      </c>
      <c r="AG325" s="10">
        <f>IFERROR(VLOOKUP(Form_Responses[[#This Row],[Município]],'Regiões Administrativas'!$A$1:$I$646,4,0),"")</f>
        <v>351670505000001</v>
      </c>
      <c r="AH325" s="10">
        <f>IFERROR(VLOOKUP(B325,'Regiões Administrativas'!$A$1:$I$646,5,0),"")</f>
        <v>3516705</v>
      </c>
      <c r="AI325" s="10">
        <f>IFERROR(VLOOKUP(B325,'Regiões Administrativas'!$A$1:$I$646,6,0),"")</f>
        <v>-49.656529900000002</v>
      </c>
      <c r="AJ325" s="10">
        <f>IFERROR(VLOOKUP(B325,'Regiões Administrativas'!$A$1:$I$646,8,0),"")</f>
        <v>679.96329800000001</v>
      </c>
      <c r="AK325" s="10" t="str">
        <f>IFERROR(VLOOKUP(Form_Responses[[#This Row],[Município]],'Regiões Administrativas'!$A$1:$I$646,9,0),"")</f>
        <v>1J6RRoY:.l+-</v>
      </c>
    </row>
    <row r="326" spans="1:37" ht="22.5" customHeight="1">
      <c r="A326" s="18">
        <v>46036.435292951384</v>
      </c>
      <c r="B326" s="10" t="s">
        <v>1685</v>
      </c>
      <c r="C326" s="10" t="s">
        <v>538</v>
      </c>
      <c r="D326" s="10" t="s">
        <v>1737</v>
      </c>
      <c r="E326" s="10" t="s">
        <v>1738</v>
      </c>
      <c r="G326" s="10" t="s">
        <v>1735</v>
      </c>
      <c r="H326" s="72" t="s">
        <v>1739</v>
      </c>
      <c r="I326" s="10" t="s">
        <v>60</v>
      </c>
      <c r="J326" s="16">
        <v>46178</v>
      </c>
      <c r="K326" s="16">
        <v>46180</v>
      </c>
      <c r="N326" s="10" t="s">
        <v>44</v>
      </c>
      <c r="O326" s="10" t="s">
        <v>45</v>
      </c>
      <c r="P326" s="10" t="s">
        <v>135</v>
      </c>
      <c r="Q326" s="10" t="s">
        <v>47</v>
      </c>
      <c r="R326" s="10" t="s">
        <v>74</v>
      </c>
      <c r="S326" s="10">
        <v>20000</v>
      </c>
      <c r="T326" s="10">
        <v>17000</v>
      </c>
      <c r="U326" s="10">
        <v>18000</v>
      </c>
      <c r="V326" s="10">
        <v>18000</v>
      </c>
      <c r="W326" s="10" t="s">
        <v>1740</v>
      </c>
      <c r="Y326" s="10" t="s">
        <v>1741</v>
      </c>
      <c r="Z326" s="10" t="s">
        <v>76</v>
      </c>
      <c r="AA326" s="10" t="s">
        <v>67</v>
      </c>
      <c r="AB326" s="10" t="s">
        <v>66</v>
      </c>
      <c r="AC326" s="10" t="s">
        <v>68</v>
      </c>
      <c r="AD326" s="10" t="str">
        <f>IFERROR(VLOOKUP(B326,'Regiões Administrativas'!$A$1:$B$646,2,0),"")</f>
        <v>Marília</v>
      </c>
      <c r="AE326" s="10">
        <f>IFERROR(VLOOKUP(Form_Responses[[#This Row],[Município]],'Regiões Administrativas'!$A$1:$I$646,3,0),"")</f>
        <v>15923</v>
      </c>
      <c r="AF326" s="10">
        <f>IFERROR(VLOOKUP(Form_Responses[[#This Row],[Município]],'Regiões Administrativas'!$A$1:$I$646,4,0),"")</f>
        <v>351670505000001</v>
      </c>
      <c r="AG326" s="10">
        <f>IFERROR(VLOOKUP(Form_Responses[[#This Row],[Município]],'Regiões Administrativas'!$A$1:$I$646,4,0),"")</f>
        <v>351670505000001</v>
      </c>
      <c r="AH326" s="10">
        <f>IFERROR(VLOOKUP(B326,'Regiões Administrativas'!$A$1:$I$646,5,0),"")</f>
        <v>3516705</v>
      </c>
      <c r="AI326" s="10">
        <f>IFERROR(VLOOKUP(B326,'Regiões Administrativas'!$A$1:$I$646,6,0),"")</f>
        <v>-49.656529900000002</v>
      </c>
      <c r="AJ326" s="10">
        <f>IFERROR(VLOOKUP(B326,'Regiões Administrativas'!$A$1:$I$646,8,0),"")</f>
        <v>679.96329800000001</v>
      </c>
      <c r="AK326" s="10" t="str">
        <f>IFERROR(VLOOKUP(Form_Responses[[#This Row],[Município]],'Regiões Administrativas'!$A$1:$I$646,9,0),"")</f>
        <v>1J6RRoY:.l+-</v>
      </c>
    </row>
    <row r="327" spans="1:37" ht="22.5" customHeight="1">
      <c r="A327" s="18">
        <v>46036.450994247687</v>
      </c>
      <c r="B327" s="10" t="s">
        <v>1685</v>
      </c>
      <c r="C327" s="10" t="s">
        <v>538</v>
      </c>
      <c r="D327" s="10" t="s">
        <v>1742</v>
      </c>
      <c r="E327" s="10" t="s">
        <v>1743</v>
      </c>
      <c r="G327" s="10" t="s">
        <v>1744</v>
      </c>
      <c r="H327" s="72" t="s">
        <v>1745</v>
      </c>
      <c r="I327" s="10" t="s">
        <v>60</v>
      </c>
      <c r="J327" s="16">
        <v>46199</v>
      </c>
      <c r="K327" s="16">
        <v>46201</v>
      </c>
      <c r="N327" s="10" t="s">
        <v>44</v>
      </c>
      <c r="O327" s="10" t="s">
        <v>45</v>
      </c>
      <c r="P327" s="10" t="s">
        <v>135</v>
      </c>
      <c r="Q327" s="10" t="s">
        <v>47</v>
      </c>
      <c r="R327" s="10" t="s">
        <v>256</v>
      </c>
      <c r="S327" s="10">
        <v>20000</v>
      </c>
      <c r="T327" s="10">
        <v>15000</v>
      </c>
      <c r="U327" s="10">
        <v>0</v>
      </c>
      <c r="V327" s="10">
        <v>0</v>
      </c>
      <c r="W327" s="10" t="s">
        <v>1746</v>
      </c>
      <c r="Y327" s="10" t="s">
        <v>1702</v>
      </c>
      <c r="Z327" s="10" t="s">
        <v>76</v>
      </c>
      <c r="AA327" s="10" t="s">
        <v>156</v>
      </c>
      <c r="AB327" s="10" t="s">
        <v>318</v>
      </c>
      <c r="AC327" s="10" t="s">
        <v>68</v>
      </c>
      <c r="AD327" s="10" t="str">
        <f>IFERROR(VLOOKUP(B327,'Regiões Administrativas'!$A$1:$B$646,2,0),"")</f>
        <v>Marília</v>
      </c>
      <c r="AE327" s="10">
        <f>IFERROR(VLOOKUP(Form_Responses[[#This Row],[Município]],'Regiões Administrativas'!$A$1:$I$646,3,0),"")</f>
        <v>15923</v>
      </c>
      <c r="AF327" s="10">
        <f>IFERROR(VLOOKUP(Form_Responses[[#This Row],[Município]],'Regiões Administrativas'!$A$1:$I$646,4,0),"")</f>
        <v>351670505000001</v>
      </c>
      <c r="AG327" s="10">
        <f>IFERROR(VLOOKUP(Form_Responses[[#This Row],[Município]],'Regiões Administrativas'!$A$1:$I$646,4,0),"")</f>
        <v>351670505000001</v>
      </c>
      <c r="AH327" s="10">
        <f>IFERROR(VLOOKUP(B327,'Regiões Administrativas'!$A$1:$I$646,5,0),"")</f>
        <v>3516705</v>
      </c>
      <c r="AI327" s="10">
        <f>IFERROR(VLOOKUP(B327,'Regiões Administrativas'!$A$1:$I$646,6,0),"")</f>
        <v>-49.656529900000002</v>
      </c>
      <c r="AJ327" s="10">
        <f>IFERROR(VLOOKUP(B327,'Regiões Administrativas'!$A$1:$I$646,8,0),"")</f>
        <v>679.96329800000001</v>
      </c>
      <c r="AK327" s="10" t="str">
        <f>IFERROR(VLOOKUP(Form_Responses[[#This Row],[Município]],'Regiões Administrativas'!$A$1:$I$646,9,0),"")</f>
        <v>1J6RRoY:.l+-</v>
      </c>
    </row>
    <row r="328" spans="1:37" ht="22.5" customHeight="1">
      <c r="A328" s="18">
        <v>46036.453673333337</v>
      </c>
      <c r="B328" s="10" t="s">
        <v>1685</v>
      </c>
      <c r="C328" s="10" t="s">
        <v>538</v>
      </c>
      <c r="D328" s="10" t="s">
        <v>1747</v>
      </c>
      <c r="E328" s="10" t="s">
        <v>1748</v>
      </c>
      <c r="G328" s="10" t="s">
        <v>1749</v>
      </c>
      <c r="H328" s="72" t="s">
        <v>1750</v>
      </c>
      <c r="I328" s="10" t="s">
        <v>60</v>
      </c>
      <c r="J328" s="16">
        <v>46185</v>
      </c>
      <c r="K328" s="16">
        <v>46187</v>
      </c>
      <c r="N328" s="10" t="s">
        <v>44</v>
      </c>
      <c r="O328" s="10" t="s">
        <v>45</v>
      </c>
      <c r="P328" s="10" t="s">
        <v>135</v>
      </c>
      <c r="Q328" s="10" t="s">
        <v>47</v>
      </c>
      <c r="R328" s="10" t="s">
        <v>256</v>
      </c>
      <c r="S328" s="10">
        <v>10000</v>
      </c>
      <c r="T328" s="10">
        <v>8000</v>
      </c>
      <c r="U328" s="10">
        <v>0</v>
      </c>
      <c r="V328" s="10">
        <v>0</v>
      </c>
      <c r="W328" s="10" t="s">
        <v>1751</v>
      </c>
      <c r="Y328" s="10" t="s">
        <v>1752</v>
      </c>
      <c r="Z328" s="10" t="s">
        <v>76</v>
      </c>
      <c r="AA328" s="10" t="s">
        <v>113</v>
      </c>
      <c r="AB328" s="10" t="s">
        <v>66</v>
      </c>
      <c r="AC328" s="10" t="s">
        <v>68</v>
      </c>
      <c r="AD328" s="10" t="str">
        <f>IFERROR(VLOOKUP(B328,'Regiões Administrativas'!$A$1:$B$646,2,0),"")</f>
        <v>Marília</v>
      </c>
      <c r="AE328" s="10">
        <f>IFERROR(VLOOKUP(Form_Responses[[#This Row],[Município]],'Regiões Administrativas'!$A$1:$I$646,3,0),"")</f>
        <v>15923</v>
      </c>
      <c r="AF328" s="10">
        <f>IFERROR(VLOOKUP(Form_Responses[[#This Row],[Município]],'Regiões Administrativas'!$A$1:$I$646,4,0),"")</f>
        <v>351670505000001</v>
      </c>
      <c r="AG328" s="10">
        <f>IFERROR(VLOOKUP(Form_Responses[[#This Row],[Município]],'Regiões Administrativas'!$A$1:$I$646,4,0),"")</f>
        <v>351670505000001</v>
      </c>
      <c r="AH328" s="10">
        <f>IFERROR(VLOOKUP(B328,'Regiões Administrativas'!$A$1:$I$646,5,0),"")</f>
        <v>3516705</v>
      </c>
      <c r="AI328" s="10">
        <f>IFERROR(VLOOKUP(B328,'Regiões Administrativas'!$A$1:$I$646,6,0),"")</f>
        <v>-49.656529900000002</v>
      </c>
      <c r="AJ328" s="10">
        <f>IFERROR(VLOOKUP(B328,'Regiões Administrativas'!$A$1:$I$646,8,0),"")</f>
        <v>679.96329800000001</v>
      </c>
      <c r="AK328" s="10" t="str">
        <f>IFERROR(VLOOKUP(Form_Responses[[#This Row],[Município]],'Regiões Administrativas'!$A$1:$I$646,9,0),"")</f>
        <v>1J6RRoY:.l+-</v>
      </c>
    </row>
    <row r="329" spans="1:37" ht="22.5" customHeight="1">
      <c r="A329" s="18">
        <v>46036.561953796292</v>
      </c>
      <c r="B329" s="10" t="s">
        <v>744</v>
      </c>
      <c r="C329" s="10" t="s">
        <v>555</v>
      </c>
      <c r="D329" s="10" t="s">
        <v>1753</v>
      </c>
      <c r="E329" s="10" t="s">
        <v>1754</v>
      </c>
      <c r="G329" s="10" t="s">
        <v>1755</v>
      </c>
      <c r="I329" s="10" t="s">
        <v>72</v>
      </c>
      <c r="N329" s="10" t="s">
        <v>98</v>
      </c>
      <c r="O329" s="10" t="s">
        <v>62</v>
      </c>
      <c r="P329" s="10" t="s">
        <v>63</v>
      </c>
      <c r="Q329" s="10" t="s">
        <v>47</v>
      </c>
      <c r="R329" s="10" t="s">
        <v>256</v>
      </c>
      <c r="S329" s="10">
        <v>1000</v>
      </c>
      <c r="W329" s="10" t="s">
        <v>1756</v>
      </c>
      <c r="Y329" s="10" t="s">
        <v>1513</v>
      </c>
      <c r="Z329" s="10" t="s">
        <v>1677</v>
      </c>
      <c r="AA329" s="10" t="s">
        <v>113</v>
      </c>
      <c r="AB329" s="10" t="s">
        <v>66</v>
      </c>
      <c r="AC329" s="10" t="s">
        <v>68</v>
      </c>
      <c r="AD329" s="10" t="str">
        <f>IFERROR(VLOOKUP(B329,'Regiões Administrativas'!$A$1:$B$646,2,0),"")</f>
        <v>São José do Rio Preto</v>
      </c>
      <c r="AE329" s="10">
        <f>IFERROR(VLOOKUP(Form_Responses[[#This Row],[Município]],'Regiões Administrativas'!$A$1:$I$646,3,0),"")</f>
        <v>16510</v>
      </c>
      <c r="AF329" s="10">
        <f>IFERROR(VLOOKUP(Form_Responses[[#This Row],[Município]],'Regiões Administrativas'!$A$1:$I$646,4,0),"")</f>
        <v>353000305000001</v>
      </c>
      <c r="AG329" s="10">
        <f>IFERROR(VLOOKUP(Form_Responses[[#This Row],[Município]],'Regiões Administrativas'!$A$1:$I$646,4,0),"")</f>
        <v>353000305000001</v>
      </c>
      <c r="AH329" s="10">
        <f>IFERROR(VLOOKUP(B329,'Regiões Administrativas'!$A$1:$I$646,5,0),"")</f>
        <v>3530003</v>
      </c>
      <c r="AI329" s="10">
        <f>IFERROR(VLOOKUP(B329,'Regiões Administrativas'!$A$1:$I$646,6,0),"")</f>
        <v>-50.138427200000002</v>
      </c>
      <c r="AJ329" s="10">
        <f>IFERROR(VLOOKUP(B329,'Regiões Administrativas'!$A$1:$I$646,8,0),"")</f>
        <v>459.85779500000001</v>
      </c>
      <c r="AK329" s="10" t="str">
        <f>IFERROR(VLOOKUP(Form_Responses[[#This Row],[Município]],'Regiões Administrativas'!$A$1:$I$646,9,0),"")</f>
        <v>1J6R3A:EK2)f</v>
      </c>
    </row>
    <row r="330" spans="1:37" ht="22.5" customHeight="1">
      <c r="A330" s="18">
        <v>46036.571131874996</v>
      </c>
      <c r="B330" s="10" t="s">
        <v>744</v>
      </c>
      <c r="C330" s="10" t="s">
        <v>555</v>
      </c>
      <c r="D330" s="10" t="s">
        <v>1757</v>
      </c>
      <c r="E330" s="10" t="s">
        <v>1758</v>
      </c>
      <c r="G330" s="10" t="s">
        <v>1522</v>
      </c>
      <c r="I330" s="10" t="s">
        <v>60</v>
      </c>
      <c r="N330" s="10" t="s">
        <v>61</v>
      </c>
      <c r="O330" s="10" t="s">
        <v>436</v>
      </c>
      <c r="P330" s="10" t="s">
        <v>63</v>
      </c>
      <c r="Q330" s="10" t="s">
        <v>47</v>
      </c>
      <c r="R330" s="10" t="s">
        <v>74</v>
      </c>
      <c r="S330" s="10">
        <v>2000</v>
      </c>
      <c r="W330" s="10" t="s">
        <v>749</v>
      </c>
      <c r="Y330" s="10" t="s">
        <v>1513</v>
      </c>
      <c r="Z330" s="10" t="s">
        <v>1683</v>
      </c>
      <c r="AA330" s="10" t="s">
        <v>113</v>
      </c>
      <c r="AB330" s="10" t="s">
        <v>66</v>
      </c>
      <c r="AC330" s="10" t="s">
        <v>68</v>
      </c>
      <c r="AD330" s="10" t="str">
        <f>IFERROR(VLOOKUP(B330,'Regiões Administrativas'!$A$1:$B$646,2,0),"")</f>
        <v>São José do Rio Preto</v>
      </c>
      <c r="AE330" s="10">
        <f>IFERROR(VLOOKUP(Form_Responses[[#This Row],[Município]],'Regiões Administrativas'!$A$1:$I$646,3,0),"")</f>
        <v>16510</v>
      </c>
      <c r="AF330" s="10">
        <f>IFERROR(VLOOKUP(Form_Responses[[#This Row],[Município]],'Regiões Administrativas'!$A$1:$I$646,4,0),"")</f>
        <v>353000305000001</v>
      </c>
      <c r="AG330" s="10">
        <f>IFERROR(VLOOKUP(Form_Responses[[#This Row],[Município]],'Regiões Administrativas'!$A$1:$I$646,4,0),"")</f>
        <v>353000305000001</v>
      </c>
      <c r="AH330" s="10">
        <f>IFERROR(VLOOKUP(B330,'Regiões Administrativas'!$A$1:$I$646,5,0),"")</f>
        <v>3530003</v>
      </c>
      <c r="AI330" s="10">
        <f>IFERROR(VLOOKUP(B330,'Regiões Administrativas'!$A$1:$I$646,6,0),"")</f>
        <v>-50.138427200000002</v>
      </c>
      <c r="AJ330" s="10">
        <f>IFERROR(VLOOKUP(B330,'Regiões Administrativas'!$A$1:$I$646,8,0),"")</f>
        <v>459.85779500000001</v>
      </c>
      <c r="AK330" s="10" t="str">
        <f>IFERROR(VLOOKUP(Form_Responses[[#This Row],[Município]],'Regiões Administrativas'!$A$1:$I$646,9,0),"")</f>
        <v>1J6R3A:EK2)f</v>
      </c>
    </row>
    <row r="331" spans="1:37" ht="22.5" customHeight="1">
      <c r="A331" s="18">
        <v>46036.580583587958</v>
      </c>
      <c r="B331" s="10" t="s">
        <v>744</v>
      </c>
      <c r="C331" s="10" t="s">
        <v>555</v>
      </c>
      <c r="D331" s="10" t="s">
        <v>1759</v>
      </c>
      <c r="E331" s="10" t="s">
        <v>1760</v>
      </c>
      <c r="G331" s="10" t="s">
        <v>1761</v>
      </c>
      <c r="I331" s="10" t="s">
        <v>60</v>
      </c>
      <c r="N331" s="10" t="s">
        <v>44</v>
      </c>
      <c r="O331" s="10" t="s">
        <v>45</v>
      </c>
      <c r="P331" s="10" t="s">
        <v>135</v>
      </c>
      <c r="Q331" s="10" t="s">
        <v>47</v>
      </c>
      <c r="R331" s="10" t="s">
        <v>74</v>
      </c>
      <c r="S331" s="10">
        <v>2000</v>
      </c>
      <c r="W331" s="10" t="s">
        <v>1762</v>
      </c>
      <c r="Y331" s="10" t="s">
        <v>1763</v>
      </c>
      <c r="Z331" s="10" t="s">
        <v>66</v>
      </c>
      <c r="AA331" s="10" t="s">
        <v>66</v>
      </c>
      <c r="AB331" s="10" t="s">
        <v>66</v>
      </c>
      <c r="AC331" s="10" t="s">
        <v>68</v>
      </c>
      <c r="AD331" s="10" t="str">
        <f>IFERROR(VLOOKUP(B331,'Regiões Administrativas'!$A$1:$B$646,2,0),"")</f>
        <v>São José do Rio Preto</v>
      </c>
      <c r="AE331" s="10">
        <f>IFERROR(VLOOKUP(Form_Responses[[#This Row],[Município]],'Regiões Administrativas'!$A$1:$I$646,3,0),"")</f>
        <v>16510</v>
      </c>
      <c r="AF331" s="10">
        <f>IFERROR(VLOOKUP(Form_Responses[[#This Row],[Município]],'Regiões Administrativas'!$A$1:$I$646,4,0),"")</f>
        <v>353000305000001</v>
      </c>
      <c r="AG331" s="10">
        <f>IFERROR(VLOOKUP(Form_Responses[[#This Row],[Município]],'Regiões Administrativas'!$A$1:$I$646,4,0),"")</f>
        <v>353000305000001</v>
      </c>
      <c r="AH331" s="10">
        <f>IFERROR(VLOOKUP(B331,'Regiões Administrativas'!$A$1:$I$646,5,0),"")</f>
        <v>3530003</v>
      </c>
      <c r="AI331" s="10">
        <f>IFERROR(VLOOKUP(B331,'Regiões Administrativas'!$A$1:$I$646,6,0),"")</f>
        <v>-50.138427200000002</v>
      </c>
      <c r="AJ331" s="10">
        <f>IFERROR(VLOOKUP(B331,'Regiões Administrativas'!$A$1:$I$646,8,0),"")</f>
        <v>459.85779500000001</v>
      </c>
      <c r="AK331" s="10" t="str">
        <f>IFERROR(VLOOKUP(Form_Responses[[#This Row],[Município]],'Regiões Administrativas'!$A$1:$I$646,9,0),"")</f>
        <v>1J6R3A:EK2)f</v>
      </c>
    </row>
    <row r="332" spans="1:37" ht="22.5" customHeight="1">
      <c r="A332" s="18">
        <v>46036.587964259263</v>
      </c>
      <c r="B332" s="10" t="s">
        <v>744</v>
      </c>
      <c r="C332" s="10" t="s">
        <v>555</v>
      </c>
      <c r="D332" s="10" t="s">
        <v>1764</v>
      </c>
      <c r="E332" s="10" t="s">
        <v>1765</v>
      </c>
      <c r="G332" s="10" t="s">
        <v>1766</v>
      </c>
      <c r="I332" s="10" t="s">
        <v>81</v>
      </c>
      <c r="N332" s="10" t="s">
        <v>44</v>
      </c>
      <c r="O332" s="10" t="s">
        <v>310</v>
      </c>
      <c r="P332" s="10" t="s">
        <v>63</v>
      </c>
      <c r="Q332" s="10" t="s">
        <v>47</v>
      </c>
      <c r="R332" s="10" t="s">
        <v>74</v>
      </c>
      <c r="S332" s="10">
        <v>2000</v>
      </c>
      <c r="W332" s="10" t="s">
        <v>1767</v>
      </c>
      <c r="Y332" s="10" t="s">
        <v>1513</v>
      </c>
      <c r="Z332" s="10" t="s">
        <v>76</v>
      </c>
      <c r="AA332" s="10" t="s">
        <v>113</v>
      </c>
      <c r="AB332" s="10" t="s">
        <v>66</v>
      </c>
      <c r="AC332" s="10" t="s">
        <v>68</v>
      </c>
      <c r="AD332" s="10" t="str">
        <f>IFERROR(VLOOKUP(B332,'Regiões Administrativas'!$A$1:$B$646,2,0),"")</f>
        <v>São José do Rio Preto</v>
      </c>
      <c r="AE332" s="10">
        <f>IFERROR(VLOOKUP(Form_Responses[[#This Row],[Município]],'Regiões Administrativas'!$A$1:$I$646,3,0),"")</f>
        <v>16510</v>
      </c>
      <c r="AF332" s="10">
        <f>IFERROR(VLOOKUP(Form_Responses[[#This Row],[Município]],'Regiões Administrativas'!$A$1:$I$646,4,0),"")</f>
        <v>353000305000001</v>
      </c>
      <c r="AG332" s="10">
        <f>IFERROR(VLOOKUP(Form_Responses[[#This Row],[Município]],'Regiões Administrativas'!$A$1:$I$646,4,0),"")</f>
        <v>353000305000001</v>
      </c>
      <c r="AH332" s="10">
        <f>IFERROR(VLOOKUP(B332,'Regiões Administrativas'!$A$1:$I$646,5,0),"")</f>
        <v>3530003</v>
      </c>
      <c r="AI332" s="10">
        <f>IFERROR(VLOOKUP(B332,'Regiões Administrativas'!$A$1:$I$646,6,0),"")</f>
        <v>-50.138427200000002</v>
      </c>
      <c r="AJ332" s="10">
        <f>IFERROR(VLOOKUP(B332,'Regiões Administrativas'!$A$1:$I$646,8,0),"")</f>
        <v>459.85779500000001</v>
      </c>
      <c r="AK332" s="10" t="str">
        <f>IFERROR(VLOOKUP(Form_Responses[[#This Row],[Município]],'Regiões Administrativas'!$A$1:$I$646,9,0),"")</f>
        <v>1J6R3A:EK2)f</v>
      </c>
    </row>
    <row r="333" spans="1:37" ht="22.5" customHeight="1">
      <c r="A333" s="18">
        <v>46036.593470891203</v>
      </c>
      <c r="B333" s="10" t="s">
        <v>744</v>
      </c>
      <c r="C333" s="10" t="s">
        <v>555</v>
      </c>
      <c r="D333" s="10" t="s">
        <v>1768</v>
      </c>
      <c r="E333" s="10" t="s">
        <v>1769</v>
      </c>
      <c r="G333" s="10" t="s">
        <v>1770</v>
      </c>
      <c r="I333" s="10" t="s">
        <v>255</v>
      </c>
      <c r="N333" s="10" t="s">
        <v>44</v>
      </c>
      <c r="O333" s="10" t="s">
        <v>45</v>
      </c>
      <c r="P333" s="10" t="s">
        <v>63</v>
      </c>
      <c r="Q333" s="10" t="s">
        <v>47</v>
      </c>
      <c r="R333" s="10" t="s">
        <v>74</v>
      </c>
      <c r="S333" s="10">
        <v>3000</v>
      </c>
      <c r="W333" s="10" t="s">
        <v>1767</v>
      </c>
      <c r="Y333" s="10" t="s">
        <v>1513</v>
      </c>
      <c r="Z333" s="10" t="s">
        <v>76</v>
      </c>
      <c r="AA333" s="10" t="s">
        <v>113</v>
      </c>
      <c r="AB333" s="10" t="s">
        <v>66</v>
      </c>
      <c r="AC333" s="10" t="s">
        <v>68</v>
      </c>
      <c r="AD333" s="10" t="str">
        <f>IFERROR(VLOOKUP(B333,'Regiões Administrativas'!$A$1:$B$646,2,0),"")</f>
        <v>São José do Rio Preto</v>
      </c>
      <c r="AE333" s="10">
        <f>IFERROR(VLOOKUP(Form_Responses[[#This Row],[Município]],'Regiões Administrativas'!$A$1:$I$646,3,0),"")</f>
        <v>16510</v>
      </c>
      <c r="AF333" s="10">
        <f>IFERROR(VLOOKUP(Form_Responses[[#This Row],[Município]],'Regiões Administrativas'!$A$1:$I$646,4,0),"")</f>
        <v>353000305000001</v>
      </c>
      <c r="AG333" s="10">
        <f>IFERROR(VLOOKUP(Form_Responses[[#This Row],[Município]],'Regiões Administrativas'!$A$1:$I$646,4,0),"")</f>
        <v>353000305000001</v>
      </c>
      <c r="AH333" s="10">
        <f>IFERROR(VLOOKUP(B333,'Regiões Administrativas'!$A$1:$I$646,5,0),"")</f>
        <v>3530003</v>
      </c>
      <c r="AI333" s="10">
        <f>IFERROR(VLOOKUP(B333,'Regiões Administrativas'!$A$1:$I$646,6,0),"")</f>
        <v>-50.138427200000002</v>
      </c>
      <c r="AJ333" s="10">
        <f>IFERROR(VLOOKUP(B333,'Regiões Administrativas'!$A$1:$I$646,8,0),"")</f>
        <v>459.85779500000001</v>
      </c>
      <c r="AK333" s="10" t="str">
        <f>IFERROR(VLOOKUP(Form_Responses[[#This Row],[Município]],'Regiões Administrativas'!$A$1:$I$646,9,0),"")</f>
        <v>1J6R3A:EK2)f</v>
      </c>
    </row>
    <row r="334" spans="1:37" ht="22.5" customHeight="1">
      <c r="A334" s="18">
        <v>46036.637547013888</v>
      </c>
      <c r="B334" s="10" t="s">
        <v>1685</v>
      </c>
      <c r="C334" s="10" t="s">
        <v>538</v>
      </c>
      <c r="D334" s="10" t="s">
        <v>1771</v>
      </c>
      <c r="E334" s="10" t="s">
        <v>1772</v>
      </c>
      <c r="G334" s="10" t="s">
        <v>1773</v>
      </c>
      <c r="H334" s="72" t="s">
        <v>1774</v>
      </c>
      <c r="I334" s="10" t="s">
        <v>72</v>
      </c>
      <c r="J334" s="16">
        <v>46120</v>
      </c>
      <c r="K334" s="16">
        <v>46215</v>
      </c>
      <c r="N334" s="10" t="s">
        <v>44</v>
      </c>
      <c r="O334" s="10" t="s">
        <v>45</v>
      </c>
      <c r="P334" s="10" t="s">
        <v>99</v>
      </c>
      <c r="Q334" s="10" t="s">
        <v>47</v>
      </c>
      <c r="R334" s="10" t="s">
        <v>48</v>
      </c>
      <c r="S334" s="10">
        <v>300000</v>
      </c>
      <c r="T334" s="10">
        <v>250000</v>
      </c>
      <c r="U334" s="10">
        <v>200000</v>
      </c>
      <c r="V334" s="10">
        <v>200000</v>
      </c>
      <c r="W334" s="10" t="s">
        <v>1775</v>
      </c>
      <c r="Y334" s="10" t="s">
        <v>1776</v>
      </c>
      <c r="Z334" s="10" t="s">
        <v>333</v>
      </c>
      <c r="AA334" s="10" t="s">
        <v>156</v>
      </c>
      <c r="AB334" s="10" t="s">
        <v>66</v>
      </c>
      <c r="AC334" s="10" t="s">
        <v>68</v>
      </c>
      <c r="AD334" s="10" t="str">
        <f>IFERROR(VLOOKUP(B334,'Regiões Administrativas'!$A$1:$B$646,2,0),"")</f>
        <v>Marília</v>
      </c>
      <c r="AE334" s="10">
        <f>IFERROR(VLOOKUP(Form_Responses[[#This Row],[Município]],'Regiões Administrativas'!$A$1:$I$646,3,0),"")</f>
        <v>15923</v>
      </c>
      <c r="AF334" s="10">
        <f>IFERROR(VLOOKUP(Form_Responses[[#This Row],[Município]],'Regiões Administrativas'!$A$1:$I$646,4,0),"")</f>
        <v>351670505000001</v>
      </c>
      <c r="AG334" s="10">
        <f>IFERROR(VLOOKUP(Form_Responses[[#This Row],[Município]],'Regiões Administrativas'!$A$1:$I$646,4,0),"")</f>
        <v>351670505000001</v>
      </c>
      <c r="AH334" s="10">
        <f>IFERROR(VLOOKUP(B334,'Regiões Administrativas'!$A$1:$I$646,5,0),"")</f>
        <v>3516705</v>
      </c>
      <c r="AI334" s="10">
        <f>IFERROR(VLOOKUP(B334,'Regiões Administrativas'!$A$1:$I$646,6,0),"")</f>
        <v>-49.656529900000002</v>
      </c>
      <c r="AJ334" s="10">
        <f>IFERROR(VLOOKUP(B334,'Regiões Administrativas'!$A$1:$I$646,8,0),"")</f>
        <v>679.96329800000001</v>
      </c>
      <c r="AK334" s="10" t="str">
        <f>IFERROR(VLOOKUP(Form_Responses[[#This Row],[Município]],'Regiões Administrativas'!$A$1:$I$646,9,0),"")</f>
        <v>1J6RRoY:.l+-</v>
      </c>
    </row>
    <row r="335" spans="1:37" ht="22.5" customHeight="1">
      <c r="A335" s="15">
        <v>46036.653517013889</v>
      </c>
      <c r="B335" s="10" t="s">
        <v>1503</v>
      </c>
      <c r="C335" s="10" t="s">
        <v>753</v>
      </c>
      <c r="D335" s="10" t="s">
        <v>1777</v>
      </c>
      <c r="E335" s="10" t="s">
        <v>1778</v>
      </c>
      <c r="G335" s="10" t="s">
        <v>1779</v>
      </c>
      <c r="I335" s="10" t="s">
        <v>220</v>
      </c>
      <c r="N335" s="10" t="s">
        <v>110</v>
      </c>
      <c r="O335" s="10" t="s">
        <v>45</v>
      </c>
      <c r="P335" s="10" t="s">
        <v>46</v>
      </c>
      <c r="Q335" s="10" t="s">
        <v>47</v>
      </c>
      <c r="R335" s="10" t="s">
        <v>74</v>
      </c>
      <c r="S335" s="10">
        <v>30000</v>
      </c>
      <c r="W335" s="10" t="s">
        <v>1780</v>
      </c>
      <c r="Y335" s="10" t="s">
        <v>1781</v>
      </c>
      <c r="Z335" s="10" t="s">
        <v>66</v>
      </c>
      <c r="AA335" s="10" t="s">
        <v>66</v>
      </c>
      <c r="AB335" s="10" t="s">
        <v>66</v>
      </c>
      <c r="AC335" s="10" t="s">
        <v>68</v>
      </c>
      <c r="AD335" s="10" t="str">
        <f>IFERROR(VLOOKUP(B335,'Regiões Administrativas'!$A$1:$B$646,2,0),"")</f>
        <v>Campinas</v>
      </c>
      <c r="AE335" s="10">
        <f>IFERROR(VLOOKUP(Form_Responses[[#This Row],[Município]],'Regiões Administrativas'!$A$1:$I$646,3,0),"")</f>
        <v>17059</v>
      </c>
      <c r="AF335" s="10">
        <f>IFERROR(VLOOKUP(Form_Responses[[#This Row],[Município]],'Regiões Administrativas'!$A$1:$I$646,4,0),"")</f>
        <v>354630605000001</v>
      </c>
      <c r="AG335" s="10">
        <f>IFERROR(VLOOKUP(Form_Responses[[#This Row],[Município]],'Regiões Administrativas'!$A$1:$I$646,4,0),"")</f>
        <v>354630605000001</v>
      </c>
      <c r="AH335" s="10">
        <f>IFERROR(VLOOKUP(B335,'Regiões Administrativas'!$A$1:$I$646,5,0),"")</f>
        <v>3546306</v>
      </c>
      <c r="AI335" s="10">
        <f>IFERROR(VLOOKUP(B335,'Regiões Administrativas'!$A$1:$I$646,6,0),"")</f>
        <v>-47.249414399999999</v>
      </c>
      <c r="AJ335" s="10">
        <f>IFERROR(VLOOKUP(B335,'Regiões Administrativas'!$A$1:$I$646,8,0),"")</f>
        <v>657.94260199999997</v>
      </c>
      <c r="AK335" s="10" t="str">
        <f>IFERROR(VLOOKUP(Form_Responses[[#This Row],[Município]],'Regiões Administrativas'!$A$1:$I$646,9,0),"")</f>
        <v>1J6tG{U4rH.&gt;</v>
      </c>
    </row>
    <row r="336" spans="1:37" ht="22.5" customHeight="1">
      <c r="A336" s="18">
        <v>46036.662009803244</v>
      </c>
      <c r="B336" s="10" t="s">
        <v>1503</v>
      </c>
      <c r="C336" s="10" t="s">
        <v>753</v>
      </c>
      <c r="D336" s="10" t="s">
        <v>1782</v>
      </c>
      <c r="E336" s="10" t="s">
        <v>1783</v>
      </c>
      <c r="G336" s="10" t="s">
        <v>1784</v>
      </c>
      <c r="I336" s="10" t="s">
        <v>72</v>
      </c>
      <c r="N336" s="10" t="s">
        <v>44</v>
      </c>
      <c r="O336" s="10" t="s">
        <v>99</v>
      </c>
      <c r="P336" s="10" t="s">
        <v>135</v>
      </c>
      <c r="Q336" s="10" t="s">
        <v>47</v>
      </c>
      <c r="R336" s="10" t="s">
        <v>74</v>
      </c>
      <c r="S336" s="10">
        <v>20000</v>
      </c>
      <c r="W336" s="10" t="s">
        <v>1780</v>
      </c>
      <c r="Y336" s="10" t="s">
        <v>1781</v>
      </c>
      <c r="Z336" s="10" t="s">
        <v>66</v>
      </c>
      <c r="AA336" s="10" t="s">
        <v>66</v>
      </c>
      <c r="AB336" s="10" t="s">
        <v>66</v>
      </c>
      <c r="AC336" s="10" t="s">
        <v>68</v>
      </c>
      <c r="AD336" s="10" t="str">
        <f>IFERROR(VLOOKUP(B336,'Regiões Administrativas'!$A$1:$B$646,2,0),"")</f>
        <v>Campinas</v>
      </c>
      <c r="AE336" s="10">
        <f>IFERROR(VLOOKUP(Form_Responses[[#This Row],[Município]],'Regiões Administrativas'!$A$1:$I$646,3,0),"")</f>
        <v>17059</v>
      </c>
      <c r="AF336" s="10">
        <f>IFERROR(VLOOKUP(Form_Responses[[#This Row],[Município]],'Regiões Administrativas'!$A$1:$I$646,4,0),"")</f>
        <v>354630605000001</v>
      </c>
      <c r="AG336" s="10">
        <f>IFERROR(VLOOKUP(Form_Responses[[#This Row],[Município]],'Regiões Administrativas'!$A$1:$I$646,4,0),"")</f>
        <v>354630605000001</v>
      </c>
      <c r="AH336" s="10">
        <f>IFERROR(VLOOKUP(B336,'Regiões Administrativas'!$A$1:$I$646,5,0),"")</f>
        <v>3546306</v>
      </c>
      <c r="AI336" s="10">
        <f>IFERROR(VLOOKUP(B336,'Regiões Administrativas'!$A$1:$I$646,6,0),"")</f>
        <v>-47.249414399999999</v>
      </c>
      <c r="AJ336" s="10">
        <f>IFERROR(VLOOKUP(B336,'Regiões Administrativas'!$A$1:$I$646,8,0),"")</f>
        <v>657.94260199999997</v>
      </c>
      <c r="AK336" s="10" t="str">
        <f>IFERROR(VLOOKUP(Form_Responses[[#This Row],[Município]],'Regiões Administrativas'!$A$1:$I$646,9,0),"")</f>
        <v>1J6tG{U4rH.&gt;</v>
      </c>
    </row>
    <row r="337" spans="1:37" ht="22.5" customHeight="1">
      <c r="A337" s="18">
        <v>46036.668090729167</v>
      </c>
      <c r="B337" s="10" t="s">
        <v>1685</v>
      </c>
      <c r="C337" s="10" t="s">
        <v>538</v>
      </c>
      <c r="D337" s="10" t="s">
        <v>1785</v>
      </c>
      <c r="E337" s="10" t="s">
        <v>1786</v>
      </c>
      <c r="G337" s="10" t="s">
        <v>1787</v>
      </c>
      <c r="H337" s="72" t="s">
        <v>1788</v>
      </c>
      <c r="I337" s="10" t="s">
        <v>72</v>
      </c>
      <c r="J337" s="16">
        <v>46211</v>
      </c>
      <c r="K337" s="16">
        <v>46215</v>
      </c>
      <c r="N337" s="10" t="s">
        <v>73</v>
      </c>
      <c r="O337" s="10" t="s">
        <v>45</v>
      </c>
      <c r="P337" s="10" t="s">
        <v>63</v>
      </c>
      <c r="Q337" s="10" t="s">
        <v>47</v>
      </c>
      <c r="R337" s="10" t="s">
        <v>48</v>
      </c>
      <c r="S337" s="10">
        <v>10000</v>
      </c>
      <c r="T337" s="10">
        <v>8000</v>
      </c>
      <c r="U337" s="10">
        <v>0</v>
      </c>
      <c r="V337" s="10">
        <v>0</v>
      </c>
      <c r="W337" s="10" t="s">
        <v>1789</v>
      </c>
      <c r="Y337" s="10" t="s">
        <v>1790</v>
      </c>
      <c r="Z337" s="10" t="s">
        <v>76</v>
      </c>
      <c r="AA337" s="10" t="s">
        <v>113</v>
      </c>
      <c r="AB337" s="10" t="s">
        <v>66</v>
      </c>
      <c r="AC337" s="10" t="s">
        <v>68</v>
      </c>
      <c r="AD337" s="10" t="str">
        <f>IFERROR(VLOOKUP(B337,'Regiões Administrativas'!$A$1:$B$646,2,0),"")</f>
        <v>Marília</v>
      </c>
      <c r="AE337" s="10">
        <f>IFERROR(VLOOKUP(Form_Responses[[#This Row],[Município]],'Regiões Administrativas'!$A$1:$I$646,3,0),"")</f>
        <v>15923</v>
      </c>
      <c r="AF337" s="10">
        <f>IFERROR(VLOOKUP(Form_Responses[[#This Row],[Município]],'Regiões Administrativas'!$A$1:$I$646,4,0),"")</f>
        <v>351670505000001</v>
      </c>
      <c r="AG337" s="10">
        <f>IFERROR(VLOOKUP(Form_Responses[[#This Row],[Município]],'Regiões Administrativas'!$A$1:$I$646,4,0),"")</f>
        <v>351670505000001</v>
      </c>
      <c r="AH337" s="10">
        <f>IFERROR(VLOOKUP(B337,'Regiões Administrativas'!$A$1:$I$646,5,0),"")</f>
        <v>3516705</v>
      </c>
      <c r="AI337" s="10">
        <f>IFERROR(VLOOKUP(B337,'Regiões Administrativas'!$A$1:$I$646,6,0),"")</f>
        <v>-49.656529900000002</v>
      </c>
      <c r="AJ337" s="10">
        <f>IFERROR(VLOOKUP(B337,'Regiões Administrativas'!$A$1:$I$646,8,0),"")</f>
        <v>679.96329800000001</v>
      </c>
      <c r="AK337" s="10" t="str">
        <f>IFERROR(VLOOKUP(Form_Responses[[#This Row],[Município]],'Regiões Administrativas'!$A$1:$I$646,9,0),"")</f>
        <v>1J6RRoY:.l+-</v>
      </c>
    </row>
    <row r="338" spans="1:37" ht="22.5" customHeight="1">
      <c r="A338" s="18">
        <v>46036.673185405089</v>
      </c>
      <c r="B338" s="10" t="s">
        <v>1685</v>
      </c>
      <c r="C338" s="10" t="s">
        <v>538</v>
      </c>
      <c r="D338" s="10" t="s">
        <v>1791</v>
      </c>
      <c r="E338" s="10" t="s">
        <v>1792</v>
      </c>
      <c r="G338" s="10" t="s">
        <v>1793</v>
      </c>
      <c r="H338" s="10" t="s">
        <v>1794</v>
      </c>
      <c r="I338" s="10" t="s">
        <v>43</v>
      </c>
      <c r="J338" s="16">
        <v>46249</v>
      </c>
      <c r="K338" s="16">
        <v>46250</v>
      </c>
      <c r="N338" s="10" t="s">
        <v>44</v>
      </c>
      <c r="O338" s="10" t="s">
        <v>45</v>
      </c>
      <c r="P338" s="10" t="s">
        <v>63</v>
      </c>
      <c r="Q338" s="10" t="s">
        <v>47</v>
      </c>
      <c r="R338" s="10" t="s">
        <v>74</v>
      </c>
      <c r="S338" s="10">
        <v>5000</v>
      </c>
      <c r="T338" s="10">
        <v>1000</v>
      </c>
      <c r="U338" s="10">
        <v>1000</v>
      </c>
      <c r="V338" s="10">
        <v>1000</v>
      </c>
      <c r="W338" s="10" t="s">
        <v>1795</v>
      </c>
      <c r="Y338" s="10" t="s">
        <v>1776</v>
      </c>
      <c r="Z338" s="10" t="s">
        <v>76</v>
      </c>
      <c r="AA338" s="10" t="s">
        <v>156</v>
      </c>
      <c r="AB338" s="10" t="s">
        <v>66</v>
      </c>
      <c r="AC338" s="10" t="s">
        <v>68</v>
      </c>
      <c r="AD338" s="10" t="str">
        <f>IFERROR(VLOOKUP(B338,'Regiões Administrativas'!$A$1:$B$646,2,0),"")</f>
        <v>Marília</v>
      </c>
      <c r="AE338" s="10">
        <f>IFERROR(VLOOKUP(Form_Responses[[#This Row],[Município]],'Regiões Administrativas'!$A$1:$I$646,3,0),"")</f>
        <v>15923</v>
      </c>
      <c r="AF338" s="10">
        <f>IFERROR(VLOOKUP(Form_Responses[[#This Row],[Município]],'Regiões Administrativas'!$A$1:$I$646,4,0),"")</f>
        <v>351670505000001</v>
      </c>
      <c r="AG338" s="10">
        <f>IFERROR(VLOOKUP(Form_Responses[[#This Row],[Município]],'Regiões Administrativas'!$A$1:$I$646,4,0),"")</f>
        <v>351670505000001</v>
      </c>
      <c r="AH338" s="10">
        <f>IFERROR(VLOOKUP(B338,'Regiões Administrativas'!$A$1:$I$646,5,0),"")</f>
        <v>3516705</v>
      </c>
      <c r="AI338" s="10">
        <f>IFERROR(VLOOKUP(B338,'Regiões Administrativas'!$A$1:$I$646,6,0),"")</f>
        <v>-49.656529900000002</v>
      </c>
      <c r="AJ338" s="10">
        <f>IFERROR(VLOOKUP(B338,'Regiões Administrativas'!$A$1:$I$646,8,0),"")</f>
        <v>679.96329800000001</v>
      </c>
      <c r="AK338" s="10" t="str">
        <f>IFERROR(VLOOKUP(Form_Responses[[#This Row],[Município]],'Regiões Administrativas'!$A$1:$I$646,9,0),"")</f>
        <v>1J6RRoY:.l+-</v>
      </c>
    </row>
    <row r="339" spans="1:37" ht="22.5" customHeight="1">
      <c r="A339" s="15">
        <v>46036.810442997681</v>
      </c>
      <c r="B339" s="10" t="s">
        <v>1796</v>
      </c>
      <c r="C339" s="10" t="s">
        <v>417</v>
      </c>
      <c r="D339" s="10" t="s">
        <v>1797</v>
      </c>
      <c r="E339" s="10" t="s">
        <v>1798</v>
      </c>
      <c r="G339" s="10" t="s">
        <v>1799</v>
      </c>
      <c r="I339" s="10" t="s">
        <v>267</v>
      </c>
      <c r="J339" s="16">
        <v>46045</v>
      </c>
      <c r="K339" s="16">
        <v>46054</v>
      </c>
      <c r="L339" s="17">
        <v>0.83333333333575865</v>
      </c>
      <c r="N339" s="10" t="s">
        <v>73</v>
      </c>
      <c r="O339" s="10" t="s">
        <v>45</v>
      </c>
      <c r="P339" s="10" t="s">
        <v>63</v>
      </c>
      <c r="Q339" s="10" t="s">
        <v>47</v>
      </c>
      <c r="R339" s="10" t="s">
        <v>74</v>
      </c>
      <c r="S339" s="10">
        <v>10000</v>
      </c>
      <c r="T339" s="10">
        <v>6000</v>
      </c>
      <c r="U339" s="10">
        <v>4000</v>
      </c>
      <c r="V339" s="10">
        <v>4000</v>
      </c>
      <c r="W339" s="10" t="s">
        <v>1800</v>
      </c>
      <c r="Y339" s="10" t="s">
        <v>1801</v>
      </c>
      <c r="Z339" s="10" t="s">
        <v>76</v>
      </c>
      <c r="AA339" s="10" t="s">
        <v>113</v>
      </c>
      <c r="AB339" s="10" t="s">
        <v>66</v>
      </c>
      <c r="AC339" s="10" t="s">
        <v>68</v>
      </c>
      <c r="AD339" s="10" t="str">
        <f>IFERROR(VLOOKUP(B339,'Regiões Administrativas'!$A$1:$B$646,2,0),"")</f>
        <v>São José dos Campos</v>
      </c>
      <c r="AE339" s="10">
        <f>IFERROR(VLOOKUP(Form_Responses[[#This Row],[Município]],'Regiões Administrativas'!$A$1:$I$646,3,0),"")</f>
        <v>15838</v>
      </c>
      <c r="AF339" s="10">
        <f>IFERROR(VLOOKUP(Form_Responses[[#This Row],[Município]],'Regiões Administrativas'!$A$1:$I$646,4,0),"")</f>
        <v>351360305000001</v>
      </c>
      <c r="AG339" s="10">
        <f>IFERROR(VLOOKUP(Form_Responses[[#This Row],[Município]],'Regiões Administrativas'!$A$1:$I$646,4,0),"")</f>
        <v>351360305000001</v>
      </c>
      <c r="AH339" s="10">
        <f>IFERROR(VLOOKUP(B339,'Regiões Administrativas'!$A$1:$I$646,5,0),"")</f>
        <v>3513603</v>
      </c>
      <c r="AI339" s="10">
        <f>IFERROR(VLOOKUP(B339,'Regiões Administrativas'!$A$1:$I$646,6,0),"")</f>
        <v>-44.9580269</v>
      </c>
      <c r="AJ339" s="10">
        <f>IFERROR(VLOOKUP(B339,'Regiões Administrativas'!$A$1:$I$646,8,0),"")</f>
        <v>939.59264099999996</v>
      </c>
      <c r="AK339" s="10" t="str">
        <f>IFERROR(VLOOKUP(Form_Responses[[#This Row],[Município]],'Regiões Administrativas'!$A$1:$I$646,9,0),"")</f>
        <v>1J6tW_{6ig^-</v>
      </c>
    </row>
    <row r="340" spans="1:37" ht="22.5" customHeight="1">
      <c r="A340" s="18">
        <v>46037.338296273148</v>
      </c>
      <c r="B340" s="10" t="s">
        <v>1685</v>
      </c>
      <c r="C340" s="10" t="s">
        <v>538</v>
      </c>
      <c r="D340" s="10" t="s">
        <v>1802</v>
      </c>
      <c r="E340" s="10" t="s">
        <v>1803</v>
      </c>
      <c r="G340" s="10" t="s">
        <v>1694</v>
      </c>
      <c r="H340" s="72" t="s">
        <v>1700</v>
      </c>
      <c r="I340" s="10" t="s">
        <v>43</v>
      </c>
      <c r="J340" s="16">
        <v>46250</v>
      </c>
      <c r="K340" s="16">
        <v>46981</v>
      </c>
      <c r="N340" s="10" t="s">
        <v>98</v>
      </c>
      <c r="O340" s="10" t="s">
        <v>62</v>
      </c>
      <c r="P340" s="10" t="s">
        <v>63</v>
      </c>
      <c r="Q340" s="10" t="s">
        <v>47</v>
      </c>
      <c r="R340" s="10" t="s">
        <v>256</v>
      </c>
      <c r="S340" s="10">
        <v>300</v>
      </c>
      <c r="T340" s="10">
        <v>250</v>
      </c>
      <c r="U340" s="10">
        <v>250</v>
      </c>
      <c r="V340" s="10">
        <v>250</v>
      </c>
      <c r="W340" s="10" t="s">
        <v>1804</v>
      </c>
      <c r="Y340" s="10" t="s">
        <v>1805</v>
      </c>
      <c r="Z340" s="10" t="s">
        <v>66</v>
      </c>
      <c r="AA340" s="10" t="s">
        <v>156</v>
      </c>
      <c r="AB340" s="10" t="s">
        <v>207</v>
      </c>
      <c r="AC340" s="10" t="s">
        <v>68</v>
      </c>
      <c r="AD340" s="10" t="str">
        <f>IFERROR(VLOOKUP(B340,'Regiões Administrativas'!$A$1:$B$646,2,0),"")</f>
        <v>Marília</v>
      </c>
      <c r="AE340" s="10">
        <f>IFERROR(VLOOKUP(Form_Responses[[#This Row],[Município]],'Regiões Administrativas'!$A$1:$I$646,3,0),"")</f>
        <v>15923</v>
      </c>
      <c r="AF340" s="10">
        <f>IFERROR(VLOOKUP(Form_Responses[[#This Row],[Município]],'Regiões Administrativas'!$A$1:$I$646,4,0),"")</f>
        <v>351670505000001</v>
      </c>
      <c r="AG340" s="10">
        <f>IFERROR(VLOOKUP(Form_Responses[[#This Row],[Município]],'Regiões Administrativas'!$A$1:$I$646,4,0),"")</f>
        <v>351670505000001</v>
      </c>
      <c r="AH340" s="10">
        <f>IFERROR(VLOOKUP(B340,'Regiões Administrativas'!$A$1:$I$646,5,0),"")</f>
        <v>3516705</v>
      </c>
      <c r="AI340" s="10">
        <f>IFERROR(VLOOKUP(B340,'Regiões Administrativas'!$A$1:$I$646,6,0),"")</f>
        <v>-49.656529900000002</v>
      </c>
      <c r="AJ340" s="10">
        <f>IFERROR(VLOOKUP(B340,'Regiões Administrativas'!$A$1:$I$646,8,0),"")</f>
        <v>679.96329800000001</v>
      </c>
      <c r="AK340" s="10" t="str">
        <f>IFERROR(VLOOKUP(Form_Responses[[#This Row],[Município]],'Regiões Administrativas'!$A$1:$I$646,9,0),"")</f>
        <v>1J6RRoY:.l+-</v>
      </c>
    </row>
    <row r="341" spans="1:37" ht="22.5" customHeight="1">
      <c r="A341" s="18">
        <v>46037.343296678242</v>
      </c>
      <c r="B341" s="10" t="s">
        <v>1685</v>
      </c>
      <c r="C341" s="10" t="s">
        <v>538</v>
      </c>
      <c r="D341" s="10" t="s">
        <v>1806</v>
      </c>
      <c r="E341" s="10" t="s">
        <v>1807</v>
      </c>
      <c r="G341" s="10" t="s">
        <v>1808</v>
      </c>
      <c r="H341" s="72" t="s">
        <v>1689</v>
      </c>
      <c r="I341" s="10" t="s">
        <v>81</v>
      </c>
      <c r="J341" s="16">
        <v>46207</v>
      </c>
      <c r="K341" s="16">
        <v>46210</v>
      </c>
      <c r="N341" s="10" t="s">
        <v>44</v>
      </c>
      <c r="O341" s="10" t="s">
        <v>221</v>
      </c>
      <c r="P341" s="10" t="s">
        <v>221</v>
      </c>
      <c r="Q341" s="10" t="s">
        <v>47</v>
      </c>
      <c r="R341" s="10" t="s">
        <v>256</v>
      </c>
      <c r="S341" s="10">
        <v>15000</v>
      </c>
      <c r="T341" s="10">
        <v>13000</v>
      </c>
      <c r="U341" s="10">
        <v>13000</v>
      </c>
      <c r="V341" s="10">
        <v>13000</v>
      </c>
      <c r="W341" s="10" t="s">
        <v>1809</v>
      </c>
      <c r="Y341" s="10" t="s">
        <v>1810</v>
      </c>
      <c r="Z341" s="10" t="s">
        <v>76</v>
      </c>
      <c r="AA341" s="10" t="s">
        <v>113</v>
      </c>
      <c r="AB341" s="10" t="s">
        <v>66</v>
      </c>
      <c r="AC341" s="10" t="s">
        <v>68</v>
      </c>
      <c r="AD341" s="10" t="str">
        <f>IFERROR(VLOOKUP(B341,'Regiões Administrativas'!$A$1:$B$646,2,0),"")</f>
        <v>Marília</v>
      </c>
      <c r="AE341" s="10">
        <f>IFERROR(VLOOKUP(Form_Responses[[#This Row],[Município]],'Regiões Administrativas'!$A$1:$I$646,3,0),"")</f>
        <v>15923</v>
      </c>
      <c r="AF341" s="10">
        <f>IFERROR(VLOOKUP(Form_Responses[[#This Row],[Município]],'Regiões Administrativas'!$A$1:$I$646,4,0),"")</f>
        <v>351670505000001</v>
      </c>
      <c r="AG341" s="10">
        <f>IFERROR(VLOOKUP(Form_Responses[[#This Row],[Município]],'Regiões Administrativas'!$A$1:$I$646,4,0),"")</f>
        <v>351670505000001</v>
      </c>
      <c r="AH341" s="10">
        <f>IFERROR(VLOOKUP(B341,'Regiões Administrativas'!$A$1:$I$646,5,0),"")</f>
        <v>3516705</v>
      </c>
      <c r="AI341" s="10">
        <f>IFERROR(VLOOKUP(B341,'Regiões Administrativas'!$A$1:$I$646,6,0),"")</f>
        <v>-49.656529900000002</v>
      </c>
      <c r="AJ341" s="10">
        <f>IFERROR(VLOOKUP(B341,'Regiões Administrativas'!$A$1:$I$646,8,0),"")</f>
        <v>679.96329800000001</v>
      </c>
      <c r="AK341" s="10" t="str">
        <f>IFERROR(VLOOKUP(Form_Responses[[#This Row],[Município]],'Regiões Administrativas'!$A$1:$I$646,9,0),"")</f>
        <v>1J6RRoY:.l+-</v>
      </c>
    </row>
    <row r="342" spans="1:37" ht="22.5" customHeight="1">
      <c r="A342" s="18">
        <v>46037.346505555557</v>
      </c>
      <c r="B342" s="10" t="s">
        <v>1685</v>
      </c>
      <c r="C342" s="10" t="s">
        <v>538</v>
      </c>
      <c r="D342" s="10" t="s">
        <v>1811</v>
      </c>
      <c r="E342" s="10" t="s">
        <v>1812</v>
      </c>
      <c r="G342" s="10" t="s">
        <v>1813</v>
      </c>
      <c r="H342" s="72" t="s">
        <v>1700</v>
      </c>
      <c r="I342" s="10" t="s">
        <v>81</v>
      </c>
      <c r="J342" s="16">
        <v>46210</v>
      </c>
      <c r="K342" s="16">
        <v>46210</v>
      </c>
      <c r="L342" s="17">
        <v>0.79166666666424135</v>
      </c>
      <c r="M342" s="17">
        <v>0.91666666666424135</v>
      </c>
      <c r="N342" s="10" t="s">
        <v>421</v>
      </c>
      <c r="O342" s="10" t="s">
        <v>99</v>
      </c>
      <c r="P342" s="10" t="s">
        <v>99</v>
      </c>
      <c r="Q342" s="10" t="s">
        <v>47</v>
      </c>
      <c r="R342" s="10" t="s">
        <v>256</v>
      </c>
      <c r="S342" s="10">
        <v>15000</v>
      </c>
      <c r="T342" s="10">
        <v>10000</v>
      </c>
      <c r="U342" s="10">
        <v>10000</v>
      </c>
      <c r="V342" s="10">
        <v>10000</v>
      </c>
      <c r="W342" s="10" t="s">
        <v>990</v>
      </c>
      <c r="Y342" s="10" t="s">
        <v>1814</v>
      </c>
      <c r="Z342" s="10" t="s">
        <v>76</v>
      </c>
      <c r="AA342" s="10" t="s">
        <v>156</v>
      </c>
      <c r="AB342" s="10" t="s">
        <v>207</v>
      </c>
      <c r="AC342" s="10" t="s">
        <v>68</v>
      </c>
      <c r="AD342" s="10" t="str">
        <f>IFERROR(VLOOKUP(B342,'Regiões Administrativas'!$A$1:$B$646,2,0),"")</f>
        <v>Marília</v>
      </c>
      <c r="AE342" s="10">
        <f>IFERROR(VLOOKUP(Form_Responses[[#This Row],[Município]],'Regiões Administrativas'!$A$1:$I$646,3,0),"")</f>
        <v>15923</v>
      </c>
      <c r="AF342" s="10">
        <f>IFERROR(VLOOKUP(Form_Responses[[#This Row],[Município]],'Regiões Administrativas'!$A$1:$I$646,4,0),"")</f>
        <v>351670505000001</v>
      </c>
      <c r="AG342" s="10">
        <f>IFERROR(VLOOKUP(Form_Responses[[#This Row],[Município]],'Regiões Administrativas'!$A$1:$I$646,4,0),"")</f>
        <v>351670505000001</v>
      </c>
      <c r="AH342" s="10">
        <f>IFERROR(VLOOKUP(B342,'Regiões Administrativas'!$A$1:$I$646,5,0),"")</f>
        <v>3516705</v>
      </c>
      <c r="AI342" s="10">
        <f>IFERROR(VLOOKUP(B342,'Regiões Administrativas'!$A$1:$I$646,6,0),"")</f>
        <v>-49.656529900000002</v>
      </c>
      <c r="AJ342" s="10">
        <f>IFERROR(VLOOKUP(B342,'Regiões Administrativas'!$A$1:$I$646,8,0),"")</f>
        <v>679.96329800000001</v>
      </c>
      <c r="AK342" s="10" t="str">
        <f>IFERROR(VLOOKUP(Form_Responses[[#This Row],[Município]],'Regiões Administrativas'!$A$1:$I$646,9,0),"")</f>
        <v>1J6RRoY:.l+-</v>
      </c>
    </row>
    <row r="343" spans="1:37" ht="22.5" customHeight="1">
      <c r="A343" s="18">
        <v>46037.374864259255</v>
      </c>
      <c r="B343" s="10" t="s">
        <v>1685</v>
      </c>
      <c r="C343" s="10" t="s">
        <v>538</v>
      </c>
      <c r="D343" s="10" t="s">
        <v>1815</v>
      </c>
      <c r="E343" s="10" t="s">
        <v>1816</v>
      </c>
      <c r="G343" s="10" t="s">
        <v>1817</v>
      </c>
      <c r="H343" s="72" t="s">
        <v>1818</v>
      </c>
      <c r="I343" s="10" t="s">
        <v>81</v>
      </c>
      <c r="J343" s="16">
        <v>46215</v>
      </c>
      <c r="K343" s="16">
        <v>46216</v>
      </c>
      <c r="N343" s="10" t="s">
        <v>61</v>
      </c>
      <c r="O343" s="10" t="s">
        <v>62</v>
      </c>
      <c r="P343" s="10" t="s">
        <v>63</v>
      </c>
      <c r="Q343" s="10" t="s">
        <v>47</v>
      </c>
      <c r="R343" s="10" t="s">
        <v>74</v>
      </c>
      <c r="S343" s="10">
        <v>5000</v>
      </c>
      <c r="T343" s="10">
        <v>4000</v>
      </c>
      <c r="U343" s="10">
        <v>4000</v>
      </c>
      <c r="V343" s="10">
        <v>4000</v>
      </c>
      <c r="W343" s="10" t="s">
        <v>1819</v>
      </c>
      <c r="X343" s="72" t="s">
        <v>1818</v>
      </c>
      <c r="Y343" s="10" t="s">
        <v>1820</v>
      </c>
      <c r="Z343" s="10" t="s">
        <v>76</v>
      </c>
      <c r="AA343" s="10" t="s">
        <v>156</v>
      </c>
      <c r="AB343" s="10" t="s">
        <v>66</v>
      </c>
      <c r="AC343" s="10" t="s">
        <v>68</v>
      </c>
      <c r="AD343" s="10" t="str">
        <f>IFERROR(VLOOKUP(B343,'Regiões Administrativas'!$A$1:$B$646,2,0),"")</f>
        <v>Marília</v>
      </c>
      <c r="AE343" s="10">
        <f>IFERROR(VLOOKUP(Form_Responses[[#This Row],[Município]],'Regiões Administrativas'!$A$1:$I$646,3,0),"")</f>
        <v>15923</v>
      </c>
      <c r="AF343" s="10">
        <f>IFERROR(VLOOKUP(Form_Responses[[#This Row],[Município]],'Regiões Administrativas'!$A$1:$I$646,4,0),"")</f>
        <v>351670505000001</v>
      </c>
      <c r="AG343" s="10">
        <f>IFERROR(VLOOKUP(Form_Responses[[#This Row],[Município]],'Regiões Administrativas'!$A$1:$I$646,4,0),"")</f>
        <v>351670505000001</v>
      </c>
      <c r="AH343" s="10">
        <f>IFERROR(VLOOKUP(B343,'Regiões Administrativas'!$A$1:$I$646,5,0),"")</f>
        <v>3516705</v>
      </c>
      <c r="AI343" s="10">
        <f>IFERROR(VLOOKUP(B343,'Regiões Administrativas'!$A$1:$I$646,6,0),"")</f>
        <v>-49.656529900000002</v>
      </c>
      <c r="AJ343" s="10">
        <f>IFERROR(VLOOKUP(B343,'Regiões Administrativas'!$A$1:$I$646,8,0),"")</f>
        <v>679.96329800000001</v>
      </c>
      <c r="AK343" s="10" t="str">
        <f>IFERROR(VLOOKUP(Form_Responses[[#This Row],[Município]],'Regiões Administrativas'!$A$1:$I$646,9,0),"")</f>
        <v>1J6RRoY:.l+-</v>
      </c>
    </row>
    <row r="344" spans="1:37" ht="22.5" customHeight="1">
      <c r="A344" s="18">
        <v>46037.378870659726</v>
      </c>
      <c r="B344" s="10" t="s">
        <v>1685</v>
      </c>
      <c r="C344" s="10" t="s">
        <v>538</v>
      </c>
      <c r="D344" s="10" t="s">
        <v>1821</v>
      </c>
      <c r="E344" s="10" t="s">
        <v>1822</v>
      </c>
      <c r="G344" s="10" t="s">
        <v>1773</v>
      </c>
      <c r="H344" s="72" t="s">
        <v>1823</v>
      </c>
      <c r="I344" s="10" t="s">
        <v>81</v>
      </c>
      <c r="J344" s="16">
        <v>46225</v>
      </c>
      <c r="K344" s="16">
        <v>46225</v>
      </c>
      <c r="N344" s="10" t="s">
        <v>61</v>
      </c>
      <c r="O344" s="10" t="s">
        <v>62</v>
      </c>
      <c r="P344" s="10" t="s">
        <v>63</v>
      </c>
      <c r="Q344" s="10" t="s">
        <v>47</v>
      </c>
      <c r="R344" s="10" t="s">
        <v>74</v>
      </c>
      <c r="S344" s="10">
        <v>2000</v>
      </c>
      <c r="T344" s="10">
        <v>1500</v>
      </c>
      <c r="U344" s="10">
        <v>0</v>
      </c>
      <c r="V344" s="10">
        <v>0</v>
      </c>
      <c r="W344" s="10" t="s">
        <v>1824</v>
      </c>
      <c r="Y344" s="10" t="s">
        <v>1825</v>
      </c>
      <c r="Z344" s="10" t="s">
        <v>76</v>
      </c>
      <c r="AA344" s="10" t="s">
        <v>156</v>
      </c>
      <c r="AB344" s="10" t="s">
        <v>66</v>
      </c>
      <c r="AC344" s="10" t="s">
        <v>68</v>
      </c>
      <c r="AD344" s="10" t="str">
        <f>IFERROR(VLOOKUP(B344,'Regiões Administrativas'!$A$1:$B$646,2,0),"")</f>
        <v>Marília</v>
      </c>
      <c r="AE344" s="10">
        <f>IFERROR(VLOOKUP(Form_Responses[[#This Row],[Município]],'Regiões Administrativas'!$A$1:$I$646,3,0),"")</f>
        <v>15923</v>
      </c>
      <c r="AF344" s="10">
        <f>IFERROR(VLOOKUP(Form_Responses[[#This Row],[Município]],'Regiões Administrativas'!$A$1:$I$646,4,0),"")</f>
        <v>351670505000001</v>
      </c>
      <c r="AG344" s="10">
        <f>IFERROR(VLOOKUP(Form_Responses[[#This Row],[Município]],'Regiões Administrativas'!$A$1:$I$646,4,0),"")</f>
        <v>351670505000001</v>
      </c>
      <c r="AH344" s="10">
        <f>IFERROR(VLOOKUP(B344,'Regiões Administrativas'!$A$1:$I$646,5,0),"")</f>
        <v>3516705</v>
      </c>
      <c r="AI344" s="10">
        <f>IFERROR(VLOOKUP(B344,'Regiões Administrativas'!$A$1:$I$646,6,0),"")</f>
        <v>-49.656529900000002</v>
      </c>
      <c r="AJ344" s="10">
        <f>IFERROR(VLOOKUP(B344,'Regiões Administrativas'!$A$1:$I$646,8,0),"")</f>
        <v>679.96329800000001</v>
      </c>
      <c r="AK344" s="10" t="str">
        <f>IFERROR(VLOOKUP(Form_Responses[[#This Row],[Município]],'Regiões Administrativas'!$A$1:$I$646,9,0),"")</f>
        <v>1J6RRoY:.l+-</v>
      </c>
    </row>
    <row r="345" spans="1:37" ht="22.5" customHeight="1">
      <c r="A345" s="18">
        <v>46037.390014861114</v>
      </c>
      <c r="B345" s="10" t="s">
        <v>1685</v>
      </c>
      <c r="C345" s="10" t="s">
        <v>538</v>
      </c>
      <c r="D345" s="10" t="s">
        <v>1826</v>
      </c>
      <c r="E345" s="10" t="s">
        <v>1827</v>
      </c>
      <c r="G345" s="10" t="s">
        <v>1828</v>
      </c>
      <c r="H345" s="72" t="s">
        <v>1829</v>
      </c>
      <c r="I345" s="10" t="s">
        <v>255</v>
      </c>
      <c r="J345" s="16">
        <v>46312</v>
      </c>
      <c r="K345" s="16">
        <v>46313</v>
      </c>
      <c r="N345" s="10" t="s">
        <v>98</v>
      </c>
      <c r="O345" s="10" t="s">
        <v>310</v>
      </c>
      <c r="P345" s="10" t="s">
        <v>63</v>
      </c>
      <c r="Q345" s="10" t="s">
        <v>47</v>
      </c>
      <c r="R345" s="10" t="s">
        <v>74</v>
      </c>
      <c r="S345" s="10">
        <v>50</v>
      </c>
      <c r="T345" s="10">
        <v>50</v>
      </c>
      <c r="U345" s="10">
        <v>50</v>
      </c>
      <c r="V345" s="10">
        <v>50</v>
      </c>
      <c r="W345" s="10" t="s">
        <v>1746</v>
      </c>
      <c r="X345" s="72" t="s">
        <v>1700</v>
      </c>
      <c r="Y345" s="10" t="s">
        <v>1805</v>
      </c>
      <c r="Z345" s="10" t="s">
        <v>66</v>
      </c>
      <c r="AA345" s="10" t="s">
        <v>66</v>
      </c>
      <c r="AB345" s="10" t="s">
        <v>207</v>
      </c>
      <c r="AC345" s="10" t="s">
        <v>68</v>
      </c>
      <c r="AD345" s="10" t="str">
        <f>IFERROR(VLOOKUP(B345,'Regiões Administrativas'!$A$1:$B$646,2,0),"")</f>
        <v>Marília</v>
      </c>
      <c r="AE345" s="10">
        <f>IFERROR(VLOOKUP(Form_Responses[[#This Row],[Município]],'Regiões Administrativas'!$A$1:$I$646,3,0),"")</f>
        <v>15923</v>
      </c>
      <c r="AF345" s="10">
        <f>IFERROR(VLOOKUP(Form_Responses[[#This Row],[Município]],'Regiões Administrativas'!$A$1:$I$646,4,0),"")</f>
        <v>351670505000001</v>
      </c>
      <c r="AG345" s="10">
        <f>IFERROR(VLOOKUP(Form_Responses[[#This Row],[Município]],'Regiões Administrativas'!$A$1:$I$646,4,0),"")</f>
        <v>351670505000001</v>
      </c>
      <c r="AH345" s="10">
        <f>IFERROR(VLOOKUP(B345,'Regiões Administrativas'!$A$1:$I$646,5,0),"")</f>
        <v>3516705</v>
      </c>
      <c r="AI345" s="10">
        <f>IFERROR(VLOOKUP(B345,'Regiões Administrativas'!$A$1:$I$646,6,0),"")</f>
        <v>-49.656529900000002</v>
      </c>
      <c r="AJ345" s="10">
        <f>IFERROR(VLOOKUP(B345,'Regiões Administrativas'!$A$1:$I$646,8,0),"")</f>
        <v>679.96329800000001</v>
      </c>
      <c r="AK345" s="10" t="str">
        <f>IFERROR(VLOOKUP(Form_Responses[[#This Row],[Município]],'Regiões Administrativas'!$A$1:$I$646,9,0),"")</f>
        <v>1J6RRoY:.l+-</v>
      </c>
    </row>
    <row r="346" spans="1:37" ht="22.5" customHeight="1">
      <c r="A346" s="18">
        <v>46037.402375983795</v>
      </c>
      <c r="B346" s="10" t="s">
        <v>1685</v>
      </c>
      <c r="C346" s="10" t="s">
        <v>538</v>
      </c>
      <c r="D346" s="10" t="s">
        <v>1830</v>
      </c>
      <c r="E346" s="10" t="s">
        <v>1831</v>
      </c>
      <c r="G346" s="10" t="s">
        <v>1832</v>
      </c>
      <c r="H346" s="72" t="s">
        <v>1833</v>
      </c>
      <c r="I346" s="10" t="s">
        <v>255</v>
      </c>
      <c r="J346" s="16">
        <v>46317</v>
      </c>
      <c r="K346" s="16">
        <v>46320</v>
      </c>
      <c r="N346" s="10" t="s">
        <v>268</v>
      </c>
      <c r="O346" s="10" t="s">
        <v>642</v>
      </c>
      <c r="P346" s="10" t="s">
        <v>235</v>
      </c>
      <c r="Q346" s="10" t="s">
        <v>47</v>
      </c>
      <c r="R346" s="10" t="s">
        <v>74</v>
      </c>
      <c r="S346" s="10">
        <v>10000</v>
      </c>
      <c r="T346" s="10">
        <v>1000</v>
      </c>
      <c r="U346" s="10">
        <v>10000</v>
      </c>
      <c r="V346" s="10">
        <v>10000</v>
      </c>
      <c r="W346" s="10" t="s">
        <v>1834</v>
      </c>
      <c r="Y346" s="10" t="s">
        <v>1835</v>
      </c>
      <c r="Z346" s="10" t="s">
        <v>76</v>
      </c>
      <c r="AA346" s="10" t="s">
        <v>156</v>
      </c>
      <c r="AB346" s="10" t="s">
        <v>66</v>
      </c>
      <c r="AC346" s="10" t="s">
        <v>68</v>
      </c>
      <c r="AD346" s="10" t="str">
        <f>IFERROR(VLOOKUP(B346,'Regiões Administrativas'!$A$1:$B$646,2,0),"")</f>
        <v>Marília</v>
      </c>
      <c r="AE346" s="10">
        <f>IFERROR(VLOOKUP(Form_Responses[[#This Row],[Município]],'Regiões Administrativas'!$A$1:$I$646,3,0),"")</f>
        <v>15923</v>
      </c>
      <c r="AF346" s="10">
        <f>IFERROR(VLOOKUP(Form_Responses[[#This Row],[Município]],'Regiões Administrativas'!$A$1:$I$646,4,0),"")</f>
        <v>351670505000001</v>
      </c>
      <c r="AG346" s="10">
        <f>IFERROR(VLOOKUP(Form_Responses[[#This Row],[Município]],'Regiões Administrativas'!$A$1:$I$646,4,0),"")</f>
        <v>351670505000001</v>
      </c>
      <c r="AH346" s="10">
        <f>IFERROR(VLOOKUP(B346,'Regiões Administrativas'!$A$1:$I$646,5,0),"")</f>
        <v>3516705</v>
      </c>
      <c r="AI346" s="10">
        <f>IFERROR(VLOOKUP(B346,'Regiões Administrativas'!$A$1:$I$646,6,0),"")</f>
        <v>-49.656529900000002</v>
      </c>
      <c r="AJ346" s="10">
        <f>IFERROR(VLOOKUP(B346,'Regiões Administrativas'!$A$1:$I$646,8,0),"")</f>
        <v>679.96329800000001</v>
      </c>
      <c r="AK346" s="10" t="str">
        <f>IFERROR(VLOOKUP(Form_Responses[[#This Row],[Município]],'Regiões Administrativas'!$A$1:$I$646,9,0),"")</f>
        <v>1J6RRoY:.l+-</v>
      </c>
    </row>
    <row r="347" spans="1:37" ht="22.5" customHeight="1">
      <c r="A347" s="18">
        <v>46037.420699548617</v>
      </c>
      <c r="B347" s="10" t="s">
        <v>1685</v>
      </c>
      <c r="C347" s="10" t="s">
        <v>538</v>
      </c>
      <c r="D347" s="10" t="s">
        <v>1836</v>
      </c>
      <c r="E347" s="10" t="s">
        <v>1837</v>
      </c>
      <c r="G347" s="10" t="s">
        <v>1838</v>
      </c>
      <c r="I347" s="10" t="s">
        <v>197</v>
      </c>
      <c r="J347" s="16">
        <v>46341</v>
      </c>
      <c r="K347" s="16">
        <v>46341</v>
      </c>
      <c r="N347" s="10" t="s">
        <v>98</v>
      </c>
      <c r="O347" s="10" t="s">
        <v>62</v>
      </c>
      <c r="P347" s="10" t="s">
        <v>99</v>
      </c>
      <c r="Q347" s="10" t="s">
        <v>47</v>
      </c>
      <c r="R347" s="10" t="s">
        <v>256</v>
      </c>
      <c r="S347" s="10">
        <v>200</v>
      </c>
      <c r="T347" s="10">
        <v>200</v>
      </c>
      <c r="U347" s="10">
        <v>200</v>
      </c>
      <c r="V347" s="10">
        <v>200</v>
      </c>
      <c r="W347" s="10" t="s">
        <v>1839</v>
      </c>
      <c r="Y347" s="10" t="s">
        <v>1840</v>
      </c>
      <c r="Z347" s="10" t="s">
        <v>76</v>
      </c>
      <c r="AA347" s="10" t="s">
        <v>156</v>
      </c>
      <c r="AB347" s="10" t="s">
        <v>66</v>
      </c>
      <c r="AC347" s="10" t="s">
        <v>68</v>
      </c>
      <c r="AD347" s="10" t="str">
        <f>IFERROR(VLOOKUP(B347,'Regiões Administrativas'!$A$1:$B$646,2,0),"")</f>
        <v>Marília</v>
      </c>
      <c r="AE347" s="10">
        <f>IFERROR(VLOOKUP(Form_Responses[[#This Row],[Município]],'Regiões Administrativas'!$A$1:$I$646,3,0),"")</f>
        <v>15923</v>
      </c>
      <c r="AF347" s="10">
        <f>IFERROR(VLOOKUP(Form_Responses[[#This Row],[Município]],'Regiões Administrativas'!$A$1:$I$646,4,0),"")</f>
        <v>351670505000001</v>
      </c>
      <c r="AG347" s="10">
        <f>IFERROR(VLOOKUP(Form_Responses[[#This Row],[Município]],'Regiões Administrativas'!$A$1:$I$646,4,0),"")</f>
        <v>351670505000001</v>
      </c>
      <c r="AH347" s="10">
        <f>IFERROR(VLOOKUP(B347,'Regiões Administrativas'!$A$1:$I$646,5,0),"")</f>
        <v>3516705</v>
      </c>
      <c r="AI347" s="10">
        <f>IFERROR(VLOOKUP(B347,'Regiões Administrativas'!$A$1:$I$646,6,0),"")</f>
        <v>-49.656529900000002</v>
      </c>
      <c r="AJ347" s="10">
        <f>IFERROR(VLOOKUP(B347,'Regiões Administrativas'!$A$1:$I$646,8,0),"")</f>
        <v>679.96329800000001</v>
      </c>
      <c r="AK347" s="10" t="str">
        <f>IFERROR(VLOOKUP(Form_Responses[[#This Row],[Município]],'Regiões Administrativas'!$A$1:$I$646,9,0),"")</f>
        <v>1J6RRoY:.l+-</v>
      </c>
    </row>
    <row r="348" spans="1:37" ht="22.5" customHeight="1">
      <c r="A348" s="18">
        <v>46037.425447037036</v>
      </c>
      <c r="B348" s="10" t="s">
        <v>1685</v>
      </c>
      <c r="C348" s="10" t="s">
        <v>538</v>
      </c>
      <c r="D348" s="10" t="s">
        <v>390</v>
      </c>
      <c r="E348" s="10" t="s">
        <v>1841</v>
      </c>
      <c r="G348" s="10" t="s">
        <v>1842</v>
      </c>
      <c r="H348" s="72" t="s">
        <v>1700</v>
      </c>
      <c r="I348" s="10" t="s">
        <v>162</v>
      </c>
      <c r="J348" s="16">
        <v>46360</v>
      </c>
      <c r="K348" s="16">
        <v>46380</v>
      </c>
      <c r="N348" s="10" t="s">
        <v>98</v>
      </c>
      <c r="O348" s="10" t="s">
        <v>45</v>
      </c>
      <c r="P348" s="10" t="s">
        <v>251</v>
      </c>
      <c r="Q348" s="10" t="s">
        <v>47</v>
      </c>
      <c r="R348" s="10" t="s">
        <v>256</v>
      </c>
      <c r="S348" s="10">
        <v>10000</v>
      </c>
      <c r="T348" s="10">
        <v>10000</v>
      </c>
      <c r="U348" s="10">
        <v>10000</v>
      </c>
      <c r="V348" s="10">
        <v>10000</v>
      </c>
      <c r="W348" s="10" t="s">
        <v>1843</v>
      </c>
      <c r="Y348" s="10" t="s">
        <v>1702</v>
      </c>
      <c r="Z348" s="10" t="s">
        <v>76</v>
      </c>
      <c r="AA348" s="10" t="s">
        <v>156</v>
      </c>
      <c r="AB348" s="10" t="s">
        <v>318</v>
      </c>
      <c r="AC348" s="10" t="s">
        <v>68</v>
      </c>
      <c r="AD348" s="10" t="str">
        <f>IFERROR(VLOOKUP(B348,'Regiões Administrativas'!$A$1:$B$646,2,0),"")</f>
        <v>Marília</v>
      </c>
      <c r="AE348" s="10">
        <f>IFERROR(VLOOKUP(Form_Responses[[#This Row],[Município]],'Regiões Administrativas'!$A$1:$I$646,3,0),"")</f>
        <v>15923</v>
      </c>
      <c r="AF348" s="10">
        <f>IFERROR(VLOOKUP(Form_Responses[[#This Row],[Município]],'Regiões Administrativas'!$A$1:$I$646,4,0),"")</f>
        <v>351670505000001</v>
      </c>
      <c r="AG348" s="10">
        <f>IFERROR(VLOOKUP(Form_Responses[[#This Row],[Município]],'Regiões Administrativas'!$A$1:$I$646,4,0),"")</f>
        <v>351670505000001</v>
      </c>
      <c r="AH348" s="10">
        <f>IFERROR(VLOOKUP(B348,'Regiões Administrativas'!$A$1:$I$646,5,0),"")</f>
        <v>3516705</v>
      </c>
      <c r="AI348" s="10">
        <f>IFERROR(VLOOKUP(B348,'Regiões Administrativas'!$A$1:$I$646,6,0),"")</f>
        <v>-49.656529900000002</v>
      </c>
      <c r="AJ348" s="10">
        <f>IFERROR(VLOOKUP(B348,'Regiões Administrativas'!$A$1:$I$646,8,0),"")</f>
        <v>679.96329800000001</v>
      </c>
      <c r="AK348" s="10" t="str">
        <f>IFERROR(VLOOKUP(Form_Responses[[#This Row],[Município]],'Regiões Administrativas'!$A$1:$I$646,9,0),"")</f>
        <v>1J6RRoY:.l+-</v>
      </c>
    </row>
    <row r="349" spans="1:37" ht="22.5" customHeight="1">
      <c r="A349" s="18">
        <v>46037.43309460648</v>
      </c>
      <c r="B349" s="10" t="s">
        <v>1844</v>
      </c>
      <c r="C349" s="10" t="s">
        <v>209</v>
      </c>
      <c r="D349" s="10" t="s">
        <v>1845</v>
      </c>
      <c r="E349" s="10" t="s">
        <v>1846</v>
      </c>
      <c r="G349" s="10" t="s">
        <v>1847</v>
      </c>
      <c r="I349" s="10" t="s">
        <v>60</v>
      </c>
      <c r="J349" s="16">
        <v>46185</v>
      </c>
      <c r="K349" s="16">
        <v>46186</v>
      </c>
      <c r="L349" s="17">
        <v>0.79166666666424135</v>
      </c>
      <c r="M349" s="17">
        <v>0.91666666666424135</v>
      </c>
      <c r="N349" s="10" t="s">
        <v>44</v>
      </c>
      <c r="O349" s="10" t="s">
        <v>45</v>
      </c>
      <c r="P349" s="10" t="s">
        <v>135</v>
      </c>
      <c r="Q349" s="10" t="s">
        <v>47</v>
      </c>
      <c r="R349" s="10" t="s">
        <v>74</v>
      </c>
      <c r="S349" s="10">
        <v>4000</v>
      </c>
      <c r="T349" s="10">
        <v>4000</v>
      </c>
      <c r="U349" s="10">
        <v>3000</v>
      </c>
      <c r="V349" s="10">
        <v>3500</v>
      </c>
      <c r="W349" s="10" t="s">
        <v>1127</v>
      </c>
      <c r="Y349" s="10" t="s">
        <v>1848</v>
      </c>
      <c r="Z349" s="10" t="s">
        <v>76</v>
      </c>
      <c r="AA349" s="10" t="s">
        <v>113</v>
      </c>
      <c r="AB349" s="10" t="s">
        <v>66</v>
      </c>
      <c r="AC349" s="10" t="s">
        <v>68</v>
      </c>
      <c r="AD349" s="10" t="str">
        <f>IFERROR(VLOOKUP(B349,'Regiões Administrativas'!$A$1:$B$646,2,0),"")</f>
        <v>Presidente Prudente</v>
      </c>
      <c r="AE349" s="10">
        <f>IFERROR(VLOOKUP(Form_Responses[[#This Row],[Município]],'Regiões Administrativas'!$A$1:$I$646,3,0),"")</f>
        <v>15858</v>
      </c>
      <c r="AF349" s="10">
        <f>IFERROR(VLOOKUP(Form_Responses[[#This Row],[Município]],'Regiões Administrativas'!$A$1:$I$646,4,0),"")</f>
        <v>351440305000001</v>
      </c>
      <c r="AG349" s="10">
        <f>IFERROR(VLOOKUP(Form_Responses[[#This Row],[Município]],'Regiões Administrativas'!$A$1:$I$646,4,0),"")</f>
        <v>351440305000001</v>
      </c>
      <c r="AH349" s="10">
        <f>IFERROR(VLOOKUP(B349,'Regiões Administrativas'!$A$1:$I$646,5,0),"")</f>
        <v>3514403</v>
      </c>
      <c r="AI349" s="10">
        <f>IFERROR(VLOOKUP(B349,'Regiões Administrativas'!$A$1:$I$646,6,0),"")</f>
        <v>-51.534049699999997</v>
      </c>
      <c r="AJ349" s="10">
        <f>IFERROR(VLOOKUP(B349,'Regiões Administrativas'!$A$1:$I$646,8,0),"")</f>
        <v>414.17755799999998</v>
      </c>
      <c r="AK349" s="10" t="str">
        <f>IFERROR(VLOOKUP(Form_Responses[[#This Row],[Município]],'Regiões Administrativas'!$A$1:$I$646,9,0),"")</f>
        <v>1J6R&lt;L6nHX1&gt;</v>
      </c>
    </row>
    <row r="350" spans="1:37" ht="22.5" customHeight="1">
      <c r="A350" s="15">
        <v>46037.456582175924</v>
      </c>
      <c r="B350" s="10" t="s">
        <v>1849</v>
      </c>
      <c r="C350" s="10" t="s">
        <v>791</v>
      </c>
      <c r="D350" s="10" t="s">
        <v>90</v>
      </c>
      <c r="E350" s="10" t="s">
        <v>1850</v>
      </c>
      <c r="G350" s="10" t="s">
        <v>1851</v>
      </c>
      <c r="I350" s="10" t="s">
        <v>89</v>
      </c>
      <c r="J350" s="16">
        <v>46066</v>
      </c>
      <c r="K350" s="16">
        <v>46070</v>
      </c>
      <c r="N350" s="10" t="s">
        <v>421</v>
      </c>
      <c r="O350" s="10" t="s">
        <v>45</v>
      </c>
      <c r="P350" s="10" t="s">
        <v>90</v>
      </c>
      <c r="Q350" s="10" t="s">
        <v>47</v>
      </c>
      <c r="R350" s="10" t="s">
        <v>74</v>
      </c>
      <c r="S350" s="10">
        <v>7000</v>
      </c>
      <c r="T350" s="10">
        <v>6000</v>
      </c>
      <c r="U350" s="10">
        <v>5000</v>
      </c>
      <c r="W350" s="10" t="s">
        <v>181</v>
      </c>
      <c r="Y350" s="10" t="s">
        <v>1852</v>
      </c>
      <c r="Z350" s="10" t="s">
        <v>76</v>
      </c>
      <c r="AA350" s="10" t="s">
        <v>1853</v>
      </c>
      <c r="AB350" s="10" t="s">
        <v>66</v>
      </c>
      <c r="AC350" s="10" t="s">
        <v>68</v>
      </c>
      <c r="AD350" s="10" t="str">
        <f>IFERROR(VLOOKUP(B350,'Regiões Administrativas'!$A$1:$B$646,2,0),"")</f>
        <v>Campinas</v>
      </c>
      <c r="AE350" s="10">
        <f>IFERROR(VLOOKUP(Form_Responses[[#This Row],[Município]],'Regiões Administrativas'!$A$1:$I$646,3,0),"")</f>
        <v>15745</v>
      </c>
      <c r="AF350" s="10">
        <f>IFERROR(VLOOKUP(Form_Responses[[#This Row],[Município]],'Regiões Administrativas'!$A$1:$I$646,4,0),"")</f>
        <v>351040105000001</v>
      </c>
      <c r="AG350" s="10">
        <f>IFERROR(VLOOKUP(Form_Responses[[#This Row],[Município]],'Regiões Administrativas'!$A$1:$I$646,4,0),"")</f>
        <v>351040105000001</v>
      </c>
      <c r="AH350" s="10">
        <f>IFERROR(VLOOKUP(B350,'Regiões Administrativas'!$A$1:$I$646,5,0),"")</f>
        <v>3510401</v>
      </c>
      <c r="AI350" s="10">
        <f>IFERROR(VLOOKUP(B350,'Regiões Administrativas'!$A$1:$I$646,6,0),"")</f>
        <v>-47.502206200000003</v>
      </c>
      <c r="AJ350" s="10">
        <f>IFERROR(VLOOKUP(B350,'Regiões Administrativas'!$A$1:$I$646,8,0),"")</f>
        <v>526.94302800000003</v>
      </c>
      <c r="AK350" s="10" t="str">
        <f>IFERROR(VLOOKUP(Form_Responses[[#This Row],[Município]],'Regiões Administrativas'!$A$1:$I$646,9,0),"")</f>
        <v>1J6tlD+6^vv&gt;</v>
      </c>
    </row>
    <row r="351" spans="1:37" ht="22.5" customHeight="1">
      <c r="A351" s="15">
        <v>46037.466829710647</v>
      </c>
      <c r="B351" s="10" t="s">
        <v>1849</v>
      </c>
      <c r="C351" s="10" t="s">
        <v>791</v>
      </c>
      <c r="D351" s="10" t="s">
        <v>1854</v>
      </c>
      <c r="E351" s="10" t="s">
        <v>1855</v>
      </c>
      <c r="G351" s="10" t="s">
        <v>1856</v>
      </c>
      <c r="I351" s="10" t="s">
        <v>109</v>
      </c>
      <c r="J351" s="16">
        <v>46094</v>
      </c>
      <c r="L351" s="17">
        <v>0.79166666666424135</v>
      </c>
      <c r="N351" s="10" t="s">
        <v>641</v>
      </c>
      <c r="O351" s="10" t="s">
        <v>642</v>
      </c>
      <c r="P351" s="10" t="s">
        <v>99</v>
      </c>
      <c r="Q351" s="10" t="s">
        <v>47</v>
      </c>
      <c r="R351" s="10" t="s">
        <v>74</v>
      </c>
      <c r="S351" s="10">
        <v>400</v>
      </c>
      <c r="T351" s="10">
        <v>300</v>
      </c>
      <c r="W351" s="10" t="s">
        <v>1857</v>
      </c>
      <c r="Y351" s="10" t="s">
        <v>1858</v>
      </c>
      <c r="Z351" s="10" t="s">
        <v>76</v>
      </c>
      <c r="AA351" s="10" t="s">
        <v>1859</v>
      </c>
      <c r="AB351" s="10" t="s">
        <v>66</v>
      </c>
      <c r="AC351" s="10" t="s">
        <v>55</v>
      </c>
      <c r="AD351" s="10" t="str">
        <f>IFERROR(VLOOKUP(B351,'Regiões Administrativas'!$A$1:$B$646,2,0),"")</f>
        <v>Campinas</v>
      </c>
      <c r="AE351" s="10">
        <f>IFERROR(VLOOKUP(Form_Responses[[#This Row],[Município]],'Regiões Administrativas'!$A$1:$I$646,3,0),"")</f>
        <v>15745</v>
      </c>
      <c r="AF351" s="10">
        <f>IFERROR(VLOOKUP(Form_Responses[[#This Row],[Município]],'Regiões Administrativas'!$A$1:$I$646,4,0),"")</f>
        <v>351040105000001</v>
      </c>
      <c r="AG351" s="10">
        <f>IFERROR(VLOOKUP(Form_Responses[[#This Row],[Município]],'Regiões Administrativas'!$A$1:$I$646,4,0),"")</f>
        <v>351040105000001</v>
      </c>
      <c r="AH351" s="10">
        <f>IFERROR(VLOOKUP(B351,'Regiões Administrativas'!$A$1:$I$646,5,0),"")</f>
        <v>3510401</v>
      </c>
      <c r="AI351" s="10">
        <f>IFERROR(VLOOKUP(B351,'Regiões Administrativas'!$A$1:$I$646,6,0),"")</f>
        <v>-47.502206200000003</v>
      </c>
      <c r="AJ351" s="10">
        <f>IFERROR(VLOOKUP(B351,'Regiões Administrativas'!$A$1:$I$646,8,0),"")</f>
        <v>526.94302800000003</v>
      </c>
      <c r="AK351" s="10" t="str">
        <f>IFERROR(VLOOKUP(Form_Responses[[#This Row],[Município]],'Regiões Administrativas'!$A$1:$I$646,9,0),"")</f>
        <v>1J6tlD+6^vv&gt;</v>
      </c>
    </row>
    <row r="352" spans="1:37" ht="22.5" customHeight="1">
      <c r="A352" s="15">
        <v>46037.479731412037</v>
      </c>
      <c r="B352" s="10" t="s">
        <v>1849</v>
      </c>
      <c r="C352" s="10" t="s">
        <v>791</v>
      </c>
      <c r="D352" s="10" t="s">
        <v>1860</v>
      </c>
      <c r="E352" s="10" t="s">
        <v>1861</v>
      </c>
      <c r="G352" s="10" t="s">
        <v>1862</v>
      </c>
      <c r="I352" s="10" t="s">
        <v>128</v>
      </c>
      <c r="J352" s="16">
        <v>46116</v>
      </c>
      <c r="L352" s="17">
        <v>0.83333333333575865</v>
      </c>
      <c r="N352" s="10" t="s">
        <v>44</v>
      </c>
      <c r="O352" s="10" t="s">
        <v>45</v>
      </c>
      <c r="P352" s="10" t="s">
        <v>302</v>
      </c>
      <c r="Q352" s="10" t="s">
        <v>47</v>
      </c>
      <c r="R352" s="10" t="s">
        <v>74</v>
      </c>
      <c r="S352" s="10">
        <v>5000</v>
      </c>
      <c r="T352" s="10">
        <v>5000</v>
      </c>
      <c r="U352" s="10">
        <v>5000</v>
      </c>
      <c r="V352" s="10">
        <v>5000</v>
      </c>
      <c r="W352" s="10" t="s">
        <v>990</v>
      </c>
      <c r="Y352" s="10" t="s">
        <v>1863</v>
      </c>
      <c r="Z352" s="10" t="s">
        <v>76</v>
      </c>
      <c r="AA352" s="10" t="s">
        <v>93</v>
      </c>
      <c r="AB352" s="10" t="s">
        <v>66</v>
      </c>
      <c r="AC352" s="10" t="s">
        <v>68</v>
      </c>
      <c r="AD352" s="10" t="str">
        <f>IFERROR(VLOOKUP(B352,'Regiões Administrativas'!$A$1:$B$646,2,0),"")</f>
        <v>Campinas</v>
      </c>
      <c r="AE352" s="10">
        <f>IFERROR(VLOOKUP(Form_Responses[[#This Row],[Município]],'Regiões Administrativas'!$A$1:$I$646,3,0),"")</f>
        <v>15745</v>
      </c>
      <c r="AF352" s="10">
        <f>IFERROR(VLOOKUP(Form_Responses[[#This Row],[Município]],'Regiões Administrativas'!$A$1:$I$646,4,0),"")</f>
        <v>351040105000001</v>
      </c>
      <c r="AG352" s="10">
        <f>IFERROR(VLOOKUP(Form_Responses[[#This Row],[Município]],'Regiões Administrativas'!$A$1:$I$646,4,0),"")</f>
        <v>351040105000001</v>
      </c>
      <c r="AH352" s="10">
        <f>IFERROR(VLOOKUP(B352,'Regiões Administrativas'!$A$1:$I$646,5,0),"")</f>
        <v>3510401</v>
      </c>
      <c r="AI352" s="10">
        <f>IFERROR(VLOOKUP(B352,'Regiões Administrativas'!$A$1:$I$646,6,0),"")</f>
        <v>-47.502206200000003</v>
      </c>
      <c r="AJ352" s="10">
        <f>IFERROR(VLOOKUP(B352,'Regiões Administrativas'!$A$1:$I$646,8,0),"")</f>
        <v>526.94302800000003</v>
      </c>
      <c r="AK352" s="10" t="str">
        <f>IFERROR(VLOOKUP(Form_Responses[[#This Row],[Município]],'Regiões Administrativas'!$A$1:$I$646,9,0),"")</f>
        <v>1J6tlD+6^vv&gt;</v>
      </c>
    </row>
    <row r="353" spans="1:37" ht="22.5" customHeight="1">
      <c r="A353" s="18">
        <v>46037.575289803237</v>
      </c>
      <c r="B353" s="10" t="s">
        <v>1849</v>
      </c>
      <c r="C353" s="10" t="s">
        <v>791</v>
      </c>
      <c r="D353" s="10" t="s">
        <v>1864</v>
      </c>
      <c r="E353" s="10" t="s">
        <v>1865</v>
      </c>
      <c r="G353" s="10" t="s">
        <v>1866</v>
      </c>
      <c r="I353" s="10" t="s">
        <v>60</v>
      </c>
      <c r="J353" s="16">
        <v>46192</v>
      </c>
      <c r="K353" s="16">
        <v>46201</v>
      </c>
      <c r="L353" s="17">
        <v>0.75</v>
      </c>
      <c r="N353" s="10" t="s">
        <v>44</v>
      </c>
      <c r="O353" s="10" t="s">
        <v>221</v>
      </c>
      <c r="P353" s="10" t="s">
        <v>135</v>
      </c>
      <c r="Q353" s="10" t="s">
        <v>47</v>
      </c>
      <c r="R353" s="10" t="s">
        <v>74</v>
      </c>
      <c r="S353" s="10">
        <v>7000</v>
      </c>
      <c r="W353" s="10" t="s">
        <v>1867</v>
      </c>
      <c r="Y353" s="10" t="s">
        <v>1868</v>
      </c>
      <c r="Z353" s="10" t="s">
        <v>76</v>
      </c>
      <c r="AA353" s="10" t="s">
        <v>66</v>
      </c>
      <c r="AB353" s="10" t="s">
        <v>66</v>
      </c>
      <c r="AC353" s="10" t="s">
        <v>68</v>
      </c>
      <c r="AD353" s="10" t="str">
        <f>IFERROR(VLOOKUP(B353,'Regiões Administrativas'!$A$1:$B$646,2,0),"")</f>
        <v>Campinas</v>
      </c>
      <c r="AE353" s="10">
        <f>IFERROR(VLOOKUP(Form_Responses[[#This Row],[Município]],'Regiões Administrativas'!$A$1:$I$646,3,0),"")</f>
        <v>15745</v>
      </c>
      <c r="AF353" s="10">
        <f>IFERROR(VLOOKUP(Form_Responses[[#This Row],[Município]],'Regiões Administrativas'!$A$1:$I$646,4,0),"")</f>
        <v>351040105000001</v>
      </c>
      <c r="AG353" s="10">
        <f>IFERROR(VLOOKUP(Form_Responses[[#This Row],[Município]],'Regiões Administrativas'!$A$1:$I$646,4,0),"")</f>
        <v>351040105000001</v>
      </c>
      <c r="AH353" s="10">
        <f>IFERROR(VLOOKUP(B353,'Regiões Administrativas'!$A$1:$I$646,5,0),"")</f>
        <v>3510401</v>
      </c>
      <c r="AI353" s="10">
        <f>IFERROR(VLOOKUP(B353,'Regiões Administrativas'!$A$1:$I$646,6,0),"")</f>
        <v>-47.502206200000003</v>
      </c>
      <c r="AJ353" s="10">
        <f>IFERROR(VLOOKUP(B353,'Regiões Administrativas'!$A$1:$I$646,8,0),"")</f>
        <v>526.94302800000003</v>
      </c>
      <c r="AK353" s="10" t="str">
        <f>IFERROR(VLOOKUP(Form_Responses[[#This Row],[Município]],'Regiões Administrativas'!$A$1:$I$646,9,0),"")</f>
        <v>1J6tlD+6^vv&gt;</v>
      </c>
    </row>
    <row r="354" spans="1:37" ht="22.5" customHeight="1">
      <c r="A354" s="18">
        <v>46037.660068958328</v>
      </c>
      <c r="B354" s="10" t="s">
        <v>1869</v>
      </c>
      <c r="C354" s="10" t="s">
        <v>1870</v>
      </c>
      <c r="D354" s="10" t="s">
        <v>1871</v>
      </c>
      <c r="E354" s="10" t="s">
        <v>1872</v>
      </c>
      <c r="F354" s="10" t="s">
        <v>1873</v>
      </c>
      <c r="G354" s="10" t="s">
        <v>1874</v>
      </c>
      <c r="H354" s="72" t="s">
        <v>1875</v>
      </c>
      <c r="I354" s="10" t="s">
        <v>255</v>
      </c>
      <c r="J354" s="16">
        <v>46318</v>
      </c>
      <c r="K354" s="16">
        <v>46321</v>
      </c>
      <c r="L354" s="17">
        <v>0.41666666666424135</v>
      </c>
      <c r="M354" s="17">
        <v>0</v>
      </c>
      <c r="N354" s="10" t="s">
        <v>268</v>
      </c>
      <c r="O354" s="10" t="s">
        <v>45</v>
      </c>
      <c r="P354" s="10" t="s">
        <v>63</v>
      </c>
      <c r="Q354" s="10" t="s">
        <v>47</v>
      </c>
      <c r="R354" s="10" t="s">
        <v>48</v>
      </c>
      <c r="S354" s="19">
        <v>185000</v>
      </c>
      <c r="T354" s="19">
        <v>160000</v>
      </c>
      <c r="U354" s="10">
        <v>0</v>
      </c>
      <c r="V354" s="10">
        <v>0</v>
      </c>
      <c r="W354" s="10" t="s">
        <v>1876</v>
      </c>
      <c r="X354" s="10" t="s">
        <v>1877</v>
      </c>
      <c r="Y354" s="10" t="s">
        <v>1878</v>
      </c>
      <c r="Z354" s="10" t="s">
        <v>402</v>
      </c>
      <c r="AA354" s="10" t="s">
        <v>536</v>
      </c>
      <c r="AB354" s="10" t="s">
        <v>54</v>
      </c>
      <c r="AC354" s="10" t="s">
        <v>68</v>
      </c>
      <c r="AD354" s="10" t="str">
        <f>IFERROR(VLOOKUP(B354,'Regiões Administrativas'!$A$1:$B$646,2,0),"")</f>
        <v>RMSP</v>
      </c>
      <c r="AE354" s="10">
        <f>IFERROR(VLOOKUP(Form_Responses[[#This Row],[Município]],'Regiões Administrativas'!$A$1:$I$646,3,0),"")</f>
        <v>16848</v>
      </c>
      <c r="AF354" s="10">
        <f>IFERROR(VLOOKUP(Form_Responses[[#This Row],[Município]],'Regiões Administrativas'!$A$1:$I$646,4,0),"")</f>
        <v>353980605000001</v>
      </c>
      <c r="AG354" s="10">
        <f>IFERROR(VLOOKUP(Form_Responses[[#This Row],[Município]],'Regiões Administrativas'!$A$1:$I$646,4,0),"")</f>
        <v>353980605000001</v>
      </c>
      <c r="AH354" s="10">
        <f>IFERROR(VLOOKUP(B354,'Regiões Administrativas'!$A$1:$I$646,5,0),"")</f>
        <v>3539806</v>
      </c>
      <c r="AI354" s="10">
        <f>IFERROR(VLOOKUP(B354,'Regiões Administrativas'!$A$1:$I$646,6,0),"")</f>
        <v>-46.3462204</v>
      </c>
      <c r="AJ354" s="10">
        <f>IFERROR(VLOOKUP(B354,'Regiões Administrativas'!$A$1:$I$646,8,0),"")</f>
        <v>755.62460599999997</v>
      </c>
      <c r="AK354" s="10" t="str">
        <f>IFERROR(VLOOKUP(Form_Responses[[#This Row],[Município]],'Regiões Administrativas'!$A$1:$I$646,9,0),"")</f>
        <v>1J6to8dE]Xt-</v>
      </c>
    </row>
    <row r="355" spans="1:37" ht="22.5" customHeight="1">
      <c r="A355" s="18">
        <v>46037.690162141203</v>
      </c>
      <c r="B355" s="10" t="s">
        <v>1685</v>
      </c>
      <c r="D355" s="10" t="s">
        <v>1879</v>
      </c>
      <c r="E355" s="10" t="s">
        <v>1880</v>
      </c>
      <c r="G355" s="10" t="s">
        <v>1881</v>
      </c>
      <c r="H355" s="10" t="s">
        <v>1882</v>
      </c>
      <c r="I355" s="10" t="s">
        <v>89</v>
      </c>
      <c r="J355" s="16">
        <v>46059</v>
      </c>
      <c r="K355" s="16">
        <v>46059</v>
      </c>
      <c r="L355" s="17">
        <v>0.72916666666424135</v>
      </c>
      <c r="M355" s="17">
        <v>0.91666666666424135</v>
      </c>
      <c r="N355" s="10" t="s">
        <v>268</v>
      </c>
      <c r="O355" s="10" t="s">
        <v>190</v>
      </c>
      <c r="P355" s="10" t="s">
        <v>63</v>
      </c>
      <c r="Q355" s="10" t="s">
        <v>47</v>
      </c>
      <c r="R355" s="10" t="s">
        <v>74</v>
      </c>
      <c r="S355" s="10">
        <v>90</v>
      </c>
      <c r="W355" s="10" t="s">
        <v>1883</v>
      </c>
      <c r="Y355" s="10" t="s">
        <v>1884</v>
      </c>
      <c r="Z355" s="10" t="s">
        <v>361</v>
      </c>
      <c r="AA355" s="10" t="s">
        <v>225</v>
      </c>
      <c r="AB355" s="10" t="s">
        <v>66</v>
      </c>
      <c r="AC355" s="10" t="s">
        <v>68</v>
      </c>
      <c r="AD355" s="10" t="str">
        <f>IFERROR(VLOOKUP(B355,'Regiões Administrativas'!$A$1:$B$646,2,0),"")</f>
        <v>Marília</v>
      </c>
      <c r="AE355" s="10">
        <f>IFERROR(VLOOKUP(Form_Responses[[#This Row],[Município]],'Regiões Administrativas'!$A$1:$I$646,3,0),"")</f>
        <v>15923</v>
      </c>
      <c r="AF355" s="10">
        <f>IFERROR(VLOOKUP(Form_Responses[[#This Row],[Município]],'Regiões Administrativas'!$A$1:$I$646,4,0),"")</f>
        <v>351670505000001</v>
      </c>
      <c r="AG355" s="10">
        <f>IFERROR(VLOOKUP(Form_Responses[[#This Row],[Município]],'Regiões Administrativas'!$A$1:$I$646,4,0),"")</f>
        <v>351670505000001</v>
      </c>
      <c r="AH355" s="10">
        <f>IFERROR(VLOOKUP(B355,'Regiões Administrativas'!$A$1:$I$646,5,0),"")</f>
        <v>3516705</v>
      </c>
      <c r="AI355" s="10">
        <f>IFERROR(VLOOKUP(B355,'Regiões Administrativas'!$A$1:$I$646,6,0),"")</f>
        <v>-49.656529900000002</v>
      </c>
      <c r="AJ355" s="10">
        <f>IFERROR(VLOOKUP(B355,'Regiões Administrativas'!$A$1:$I$646,8,0),"")</f>
        <v>679.96329800000001</v>
      </c>
      <c r="AK355" s="10" t="str">
        <f>IFERROR(VLOOKUP(Form_Responses[[#This Row],[Município]],'Regiões Administrativas'!$A$1:$I$646,9,0),"")</f>
        <v>1J6RRoY:.l+-</v>
      </c>
    </row>
    <row r="356" spans="1:37" ht="22.5" customHeight="1">
      <c r="A356" s="15">
        <v>46037.834232395835</v>
      </c>
      <c r="B356" s="10" t="s">
        <v>1303</v>
      </c>
      <c r="C356" s="10" t="s">
        <v>1304</v>
      </c>
      <c r="D356" s="10" t="s">
        <v>1885</v>
      </c>
      <c r="E356" s="10" t="s">
        <v>1886</v>
      </c>
      <c r="F356" s="10" t="s">
        <v>1887</v>
      </c>
      <c r="G356" s="10" t="s">
        <v>1888</v>
      </c>
      <c r="H356" s="72" t="s">
        <v>1889</v>
      </c>
      <c r="I356" s="10" t="s">
        <v>128</v>
      </c>
      <c r="J356" s="16">
        <v>46119</v>
      </c>
      <c r="K356" s="16">
        <v>46119</v>
      </c>
      <c r="L356" s="17">
        <v>0.79166666666424135</v>
      </c>
      <c r="M356" s="17">
        <v>0.99930555555329192</v>
      </c>
      <c r="N356" s="10" t="s">
        <v>73</v>
      </c>
      <c r="O356" s="10" t="s">
        <v>221</v>
      </c>
      <c r="P356" s="10" t="s">
        <v>221</v>
      </c>
      <c r="Q356" s="10" t="s">
        <v>47</v>
      </c>
      <c r="R356" s="10" t="s">
        <v>48</v>
      </c>
      <c r="S356" s="10">
        <v>2000</v>
      </c>
      <c r="T356" s="10">
        <v>1500</v>
      </c>
      <c r="U356" s="10">
        <v>1000</v>
      </c>
      <c r="V356" s="10">
        <v>500</v>
      </c>
      <c r="W356" s="10" t="s">
        <v>1890</v>
      </c>
      <c r="Y356" s="10" t="s">
        <v>1891</v>
      </c>
      <c r="Z356" s="10" t="s">
        <v>76</v>
      </c>
      <c r="AA356" s="10" t="s">
        <v>536</v>
      </c>
      <c r="AB356" s="10" t="s">
        <v>54</v>
      </c>
      <c r="AC356" s="10" t="s">
        <v>68</v>
      </c>
      <c r="AD356" s="10" t="str">
        <f>IFERROR(VLOOKUP(B356,'Regiões Administrativas'!$A$1:$B$646,2,0),"")</f>
        <v>RMSP</v>
      </c>
      <c r="AE356" s="10">
        <f>IFERROR(VLOOKUP(Form_Responses[[#This Row],[Município]],'Regiões Administrativas'!$A$1:$I$646,3,0),"")</f>
        <v>17200</v>
      </c>
      <c r="AF356" s="10">
        <f>IFERROR(VLOOKUP(Form_Responses[[#This Row],[Município]],'Regiões Administrativas'!$A$1:$I$646,4,0),"")</f>
        <v>355030801000001</v>
      </c>
      <c r="AG356" s="10">
        <f>IFERROR(VLOOKUP(Form_Responses[[#This Row],[Município]],'Regiões Administrativas'!$A$1:$I$646,4,0),"")</f>
        <v>355030801000001</v>
      </c>
      <c r="AH356" s="10">
        <f>IFERROR(VLOOKUP(B356,'Regiões Administrativas'!$A$1:$I$646,5,0),"")</f>
        <v>3550308</v>
      </c>
      <c r="AI356" s="10">
        <f>IFERROR(VLOOKUP(B356,'Regiões Administrativas'!$A$1:$I$646,6,0),"")</f>
        <v>-46.570383200000002</v>
      </c>
      <c r="AJ356" s="10">
        <f>IFERROR(VLOOKUP(B356,'Regiões Administrativas'!$A$1:$I$646,8,0),"")</f>
        <v>783.61512700000003</v>
      </c>
      <c r="AK356" s="10" t="str">
        <f>IFERROR(VLOOKUP(Form_Responses[[#This Row],[Município]],'Regiões Administrativas'!$A$1:$I$646,9,0),"")</f>
        <v>1J6to@yg_@Q&gt;</v>
      </c>
    </row>
    <row r="357" spans="1:37" ht="22.5" customHeight="1">
      <c r="A357" s="15">
        <v>46038.436092766206</v>
      </c>
      <c r="B357" s="10" t="s">
        <v>1892</v>
      </c>
      <c r="C357" s="10" t="s">
        <v>1109</v>
      </c>
      <c r="D357" s="10" t="s">
        <v>1893</v>
      </c>
      <c r="E357" s="10" t="s">
        <v>1894</v>
      </c>
      <c r="G357" s="10" t="s">
        <v>1895</v>
      </c>
      <c r="I357" s="10" t="s">
        <v>89</v>
      </c>
      <c r="J357" s="16">
        <v>46073</v>
      </c>
      <c r="K357" s="16">
        <v>46075</v>
      </c>
      <c r="L357" s="17">
        <v>0.79166666666424135</v>
      </c>
      <c r="M357" s="17">
        <v>0.95833333333575865</v>
      </c>
      <c r="N357" s="10" t="s">
        <v>110</v>
      </c>
      <c r="O357" s="10" t="s">
        <v>45</v>
      </c>
      <c r="P357" s="10" t="s">
        <v>63</v>
      </c>
      <c r="Q357" s="10" t="s">
        <v>47</v>
      </c>
      <c r="R357" s="10" t="s">
        <v>74</v>
      </c>
      <c r="S357" s="19">
        <v>10000</v>
      </c>
      <c r="T357" s="10">
        <v>5000</v>
      </c>
      <c r="W357" s="10" t="s">
        <v>1896</v>
      </c>
      <c r="Y357" s="10" t="s">
        <v>1897</v>
      </c>
      <c r="Z357" s="10" t="s">
        <v>76</v>
      </c>
      <c r="AA357" s="10" t="s">
        <v>1898</v>
      </c>
      <c r="AB357" s="10" t="s">
        <v>66</v>
      </c>
      <c r="AC357" s="10" t="s">
        <v>68</v>
      </c>
      <c r="AD357" s="10" t="str">
        <f>IFERROR(VLOOKUP(B357,'Regiões Administrativas'!$A$1:$B$646,2,0),"")</f>
        <v>Campinas</v>
      </c>
      <c r="AE357" s="10">
        <f>IFERROR(VLOOKUP(Form_Responses[[#This Row],[Município]],'Regiões Administrativas'!$A$1:$I$646,3,0),"")</f>
        <v>17270</v>
      </c>
      <c r="AF357" s="10">
        <f>IFERROR(VLOOKUP(Form_Responses[[#This Row],[Município]],'Regiões Administrativas'!$A$1:$I$646,4,0),"")</f>
        <v>355040705000001</v>
      </c>
      <c r="AG357" s="10">
        <f>IFERROR(VLOOKUP(Form_Responses[[#This Row],[Município]],'Regiões Administrativas'!$A$1:$I$646,4,0),"")</f>
        <v>355040705000001</v>
      </c>
      <c r="AH357" s="10">
        <f>IFERROR(VLOOKUP(B357,'Regiões Administrativas'!$A$1:$I$646,5,0),"")</f>
        <v>3550407</v>
      </c>
      <c r="AI357" s="10">
        <f>IFERROR(VLOOKUP(B357,'Regiões Administrativas'!$A$1:$I$646,6,0),"")</f>
        <v>-47.914033000000003</v>
      </c>
      <c r="AJ357" s="10">
        <f>IFERROR(VLOOKUP(B357,'Regiões Administrativas'!$A$1:$I$646,8,0),"")</f>
        <v>565.011977</v>
      </c>
      <c r="AK357" s="10" t="str">
        <f>IFERROR(VLOOKUP(Form_Responses[[#This Row],[Município]],'Regiões Administrativas'!$A$1:$I$646,9,0),"")</f>
        <v>1J6tHGD7^e7-</v>
      </c>
    </row>
    <row r="358" spans="1:37" ht="22.5" customHeight="1">
      <c r="A358" s="18">
        <v>46038.464791018516</v>
      </c>
      <c r="B358" s="10" t="s">
        <v>1899</v>
      </c>
      <c r="C358" s="10" t="s">
        <v>185</v>
      </c>
      <c r="D358" s="10" t="s">
        <v>1900</v>
      </c>
      <c r="E358" s="10" t="s">
        <v>1901</v>
      </c>
      <c r="G358" s="10" t="s">
        <v>1902</v>
      </c>
      <c r="H358" s="72" t="s">
        <v>1903</v>
      </c>
      <c r="I358" s="10" t="s">
        <v>60</v>
      </c>
      <c r="J358" s="16">
        <v>46177</v>
      </c>
      <c r="K358" s="16">
        <v>46179</v>
      </c>
      <c r="L358" s="17">
        <v>0.83333333333575865</v>
      </c>
      <c r="M358" s="17">
        <v>0</v>
      </c>
      <c r="N358" s="10" t="s">
        <v>73</v>
      </c>
      <c r="O358" s="10" t="s">
        <v>221</v>
      </c>
      <c r="P358" s="10" t="s">
        <v>221</v>
      </c>
      <c r="Q358" s="10" t="s">
        <v>47</v>
      </c>
      <c r="R358" s="10" t="s">
        <v>48</v>
      </c>
      <c r="S358" s="19">
        <v>15000</v>
      </c>
      <c r="T358" s="19">
        <v>11000</v>
      </c>
      <c r="U358" s="19">
        <v>9000</v>
      </c>
      <c r="V358" s="19">
        <v>9000</v>
      </c>
      <c r="W358" s="10" t="s">
        <v>1904</v>
      </c>
      <c r="X358" s="10" t="s">
        <v>1905</v>
      </c>
      <c r="Y358" s="10" t="s">
        <v>1906</v>
      </c>
      <c r="Z358" s="10" t="s">
        <v>296</v>
      </c>
      <c r="AA358" s="10" t="s">
        <v>1541</v>
      </c>
      <c r="AB358" s="10" t="s">
        <v>66</v>
      </c>
      <c r="AC358" s="10" t="s">
        <v>68</v>
      </c>
      <c r="AD358" s="10" t="str">
        <f>IFERROR(VLOOKUP(B358,'Regiões Administrativas'!$A$1:$B$646,2,0),"")</f>
        <v>Registro</v>
      </c>
      <c r="AE358" s="10">
        <f>IFERROR(VLOOKUP(Form_Responses[[#This Row],[Município]],'Regiões Administrativas'!$A$1:$I$646,3,0),"")</f>
        <v>16499</v>
      </c>
      <c r="AF358" s="10">
        <f>IFERROR(VLOOKUP(Form_Responses[[#This Row],[Município]],'Regiões Administrativas'!$A$1:$I$646,4,0),"")</f>
        <v>352990605000001</v>
      </c>
      <c r="AG358" s="10">
        <f>IFERROR(VLOOKUP(Form_Responses[[#This Row],[Município]],'Regiões Administrativas'!$A$1:$I$646,4,0),"")</f>
        <v>352990605000001</v>
      </c>
      <c r="AH358" s="10">
        <f>IFERROR(VLOOKUP(B358,'Regiões Administrativas'!$A$1:$I$646,5,0),"")</f>
        <v>3529906</v>
      </c>
      <c r="AI358" s="10">
        <f>IFERROR(VLOOKUP(B358,'Regiões Administrativas'!$A$1:$I$646,6,0),"")</f>
        <v>-47.457104000000001</v>
      </c>
      <c r="AJ358" s="10">
        <f>IFERROR(VLOOKUP(B358,'Regiões Administrativas'!$A$1:$I$646,8,0),"")</f>
        <v>34.310102000000001</v>
      </c>
      <c r="AK358" s="10" t="str">
        <f>IFERROR(VLOOKUP(Form_Responses[[#This Row],[Município]],'Regiões Administrativas'!$A$1:$I$646,9,0),"")</f>
        <v>1J6U*^\w1\w-</v>
      </c>
    </row>
    <row r="359" spans="1:37" ht="22.5" customHeight="1">
      <c r="A359" s="18">
        <v>46038.468818761576</v>
      </c>
      <c r="B359" s="10" t="s">
        <v>1907</v>
      </c>
      <c r="C359" s="10" t="s">
        <v>1543</v>
      </c>
      <c r="D359" s="10" t="s">
        <v>1908</v>
      </c>
      <c r="E359" s="10" t="s">
        <v>1909</v>
      </c>
      <c r="G359" s="10" t="s">
        <v>1910</v>
      </c>
      <c r="I359" s="10" t="s">
        <v>60</v>
      </c>
      <c r="J359" s="16">
        <v>46162</v>
      </c>
      <c r="K359" s="16">
        <v>46187</v>
      </c>
      <c r="L359" s="17">
        <v>0.75</v>
      </c>
      <c r="M359" s="17">
        <v>0.95833333333575865</v>
      </c>
      <c r="N359" s="10" t="s">
        <v>44</v>
      </c>
      <c r="O359" s="10" t="s">
        <v>221</v>
      </c>
      <c r="P359" s="10" t="s">
        <v>221</v>
      </c>
      <c r="Q359" s="10" t="s">
        <v>47</v>
      </c>
      <c r="R359" s="10" t="s">
        <v>74</v>
      </c>
      <c r="S359" s="10">
        <v>20000</v>
      </c>
      <c r="W359" s="10" t="s">
        <v>1911</v>
      </c>
      <c r="Y359" s="10" t="s">
        <v>1912</v>
      </c>
      <c r="Z359" s="10" t="s">
        <v>76</v>
      </c>
      <c r="AA359" s="10" t="s">
        <v>225</v>
      </c>
      <c r="AB359" s="10" t="s">
        <v>66</v>
      </c>
      <c r="AC359" s="10" t="s">
        <v>68</v>
      </c>
      <c r="AD359" s="10" t="str">
        <f>IFERROR(VLOOKUP(B359,'Regiões Administrativas'!$A$1:$B$646,2,0),"")</f>
        <v>Bauru</v>
      </c>
      <c r="AE359" s="10">
        <f>IFERROR(VLOOKUP(Form_Responses[[#This Row],[Município]],'Regiões Administrativas'!$A$1:$I$646,3,0),"")</f>
        <v>16361</v>
      </c>
      <c r="AF359" s="10">
        <f>IFERROR(VLOOKUP(Form_Responses[[#This Row],[Município]],'Regiões Administrativas'!$A$1:$I$646,4,0),"")</f>
        <v>352710805000001</v>
      </c>
      <c r="AG359" s="10">
        <f>IFERROR(VLOOKUP(Form_Responses[[#This Row],[Município]],'Regiões Administrativas'!$A$1:$I$646,4,0),"")</f>
        <v>352710805000001</v>
      </c>
      <c r="AH359" s="10">
        <f>IFERROR(VLOOKUP(B359,'Regiões Administrativas'!$A$1:$I$646,5,0),"")</f>
        <v>3527108</v>
      </c>
      <c r="AI359" s="10">
        <f>IFERROR(VLOOKUP(B359,'Regiões Administrativas'!$A$1:$I$646,6,0),"")</f>
        <v>-49.7514234</v>
      </c>
      <c r="AJ359" s="10">
        <f>IFERROR(VLOOKUP(B359,'Regiões Administrativas'!$A$1:$I$646,8,0),"")</f>
        <v>433.93564700000002</v>
      </c>
      <c r="AK359" s="10" t="str">
        <f>IFERROR(VLOOKUP(Form_Responses[[#This Row],[Município]],'Regiões Administrativas'!$A$1:$I$646,9,0),"")</f>
        <v>1J6RR*Qh&lt;^8-</v>
      </c>
    </row>
    <row r="360" spans="1:37" ht="22.5" customHeight="1">
      <c r="A360" s="18">
        <v>46038.476560416668</v>
      </c>
      <c r="B360" s="10" t="s">
        <v>1907</v>
      </c>
      <c r="C360" s="10" t="s">
        <v>1543</v>
      </c>
      <c r="D360" s="10" t="s">
        <v>1913</v>
      </c>
      <c r="E360" s="10" t="s">
        <v>1914</v>
      </c>
      <c r="G360" s="10" t="s">
        <v>1915</v>
      </c>
      <c r="I360" s="10" t="s">
        <v>60</v>
      </c>
      <c r="N360" s="10" t="s">
        <v>268</v>
      </c>
      <c r="O360" s="10" t="s">
        <v>45</v>
      </c>
      <c r="P360" s="10" t="s">
        <v>46</v>
      </c>
      <c r="Q360" s="10" t="s">
        <v>47</v>
      </c>
      <c r="R360" s="10" t="s">
        <v>74</v>
      </c>
      <c r="S360" s="10">
        <v>120000</v>
      </c>
      <c r="T360" s="10">
        <v>100000</v>
      </c>
      <c r="U360" s="10">
        <v>120000</v>
      </c>
      <c r="W360" s="10" t="s">
        <v>1916</v>
      </c>
      <c r="Y360" s="10" t="s">
        <v>1912</v>
      </c>
      <c r="Z360" s="10" t="s">
        <v>66</v>
      </c>
      <c r="AA360" s="10" t="s">
        <v>66</v>
      </c>
      <c r="AB360" s="10" t="s">
        <v>66</v>
      </c>
      <c r="AC360" s="10" t="s">
        <v>68</v>
      </c>
      <c r="AD360" s="10" t="str">
        <f>IFERROR(VLOOKUP(B360,'Regiões Administrativas'!$A$1:$B$646,2,0),"")</f>
        <v>Bauru</v>
      </c>
      <c r="AE360" s="10">
        <f>IFERROR(VLOOKUP(Form_Responses[[#This Row],[Município]],'Regiões Administrativas'!$A$1:$I$646,3,0),"")</f>
        <v>16361</v>
      </c>
      <c r="AF360" s="10">
        <f>IFERROR(VLOOKUP(Form_Responses[[#This Row],[Município]],'Regiões Administrativas'!$A$1:$I$646,4,0),"")</f>
        <v>352710805000001</v>
      </c>
      <c r="AG360" s="10">
        <f>IFERROR(VLOOKUP(Form_Responses[[#This Row],[Município]],'Regiões Administrativas'!$A$1:$I$646,4,0),"")</f>
        <v>352710805000001</v>
      </c>
      <c r="AH360" s="10">
        <f>IFERROR(VLOOKUP(B360,'Regiões Administrativas'!$A$1:$I$646,5,0),"")</f>
        <v>3527108</v>
      </c>
      <c r="AI360" s="10">
        <f>IFERROR(VLOOKUP(B360,'Regiões Administrativas'!$A$1:$I$646,6,0),"")</f>
        <v>-49.7514234</v>
      </c>
      <c r="AJ360" s="10">
        <f>IFERROR(VLOOKUP(B360,'Regiões Administrativas'!$A$1:$I$646,8,0),"")</f>
        <v>433.93564700000002</v>
      </c>
      <c r="AK360" s="10" t="str">
        <f>IFERROR(VLOOKUP(Form_Responses[[#This Row],[Município]],'Regiões Administrativas'!$A$1:$I$646,9,0),"")</f>
        <v>1J6RR*Qh&lt;^8-</v>
      </c>
    </row>
    <row r="361" spans="1:37" ht="22.5" customHeight="1">
      <c r="A361" s="18">
        <v>46038.49464005787</v>
      </c>
      <c r="B361" s="10" t="s">
        <v>1907</v>
      </c>
      <c r="C361" s="10" t="s">
        <v>1543</v>
      </c>
      <c r="D361" s="10" t="s">
        <v>1917</v>
      </c>
      <c r="E361" s="10" t="s">
        <v>1918</v>
      </c>
      <c r="G361" s="10" t="s">
        <v>1919</v>
      </c>
      <c r="I361" s="10" t="s">
        <v>81</v>
      </c>
      <c r="J361" s="16">
        <v>46270</v>
      </c>
      <c r="K361" s="16">
        <v>46272</v>
      </c>
      <c r="L361" s="17">
        <v>0.75</v>
      </c>
      <c r="M361" s="17">
        <v>0.91666666666424135</v>
      </c>
      <c r="N361" s="10" t="s">
        <v>44</v>
      </c>
      <c r="O361" s="10" t="s">
        <v>221</v>
      </c>
      <c r="P361" s="10" t="s">
        <v>221</v>
      </c>
      <c r="Q361" s="10" t="s">
        <v>47</v>
      </c>
      <c r="R361" s="10" t="s">
        <v>74</v>
      </c>
      <c r="S361" s="10">
        <v>5000</v>
      </c>
      <c r="W361" s="10" t="s">
        <v>1920</v>
      </c>
      <c r="Y361" s="10" t="s">
        <v>1912</v>
      </c>
      <c r="Z361" s="10" t="s">
        <v>66</v>
      </c>
      <c r="AA361" s="10" t="s">
        <v>66</v>
      </c>
      <c r="AB361" s="10" t="s">
        <v>66</v>
      </c>
      <c r="AC361" s="10" t="s">
        <v>68</v>
      </c>
      <c r="AD361" s="10" t="str">
        <f>IFERROR(VLOOKUP(B361,'Regiões Administrativas'!$A$1:$B$646,2,0),"")</f>
        <v>Bauru</v>
      </c>
      <c r="AE361" s="10">
        <f>IFERROR(VLOOKUP(Form_Responses[[#This Row],[Município]],'Regiões Administrativas'!$A$1:$I$646,3,0),"")</f>
        <v>16361</v>
      </c>
      <c r="AF361" s="10">
        <f>IFERROR(VLOOKUP(Form_Responses[[#This Row],[Município]],'Regiões Administrativas'!$A$1:$I$646,4,0),"")</f>
        <v>352710805000001</v>
      </c>
      <c r="AG361" s="10">
        <f>IFERROR(VLOOKUP(Form_Responses[[#This Row],[Município]],'Regiões Administrativas'!$A$1:$I$646,4,0),"")</f>
        <v>352710805000001</v>
      </c>
      <c r="AH361" s="10">
        <f>IFERROR(VLOOKUP(B361,'Regiões Administrativas'!$A$1:$I$646,5,0),"")</f>
        <v>3527108</v>
      </c>
      <c r="AI361" s="10">
        <f>IFERROR(VLOOKUP(B361,'Regiões Administrativas'!$A$1:$I$646,6,0),"")</f>
        <v>-49.7514234</v>
      </c>
      <c r="AJ361" s="10">
        <f>IFERROR(VLOOKUP(B361,'Regiões Administrativas'!$A$1:$I$646,8,0),"")</f>
        <v>433.93564700000002</v>
      </c>
      <c r="AK361" s="10" t="str">
        <f>IFERROR(VLOOKUP(Form_Responses[[#This Row],[Município]],'Regiões Administrativas'!$A$1:$I$646,9,0),"")</f>
        <v>1J6RR*Qh&lt;^8-</v>
      </c>
    </row>
    <row r="362" spans="1:37" ht="22.5" customHeight="1">
      <c r="A362" s="15">
        <v>46038.554174502315</v>
      </c>
      <c r="B362" s="10" t="s">
        <v>1921</v>
      </c>
      <c r="C362" s="10" t="s">
        <v>1922</v>
      </c>
      <c r="D362" s="10" t="s">
        <v>1923</v>
      </c>
      <c r="E362" s="10" t="s">
        <v>1924</v>
      </c>
      <c r="G362" s="10" t="s">
        <v>1925</v>
      </c>
      <c r="H362" s="10" t="s">
        <v>1926</v>
      </c>
      <c r="I362" s="10" t="s">
        <v>267</v>
      </c>
      <c r="J362" s="16">
        <v>46038</v>
      </c>
      <c r="K362" s="16">
        <v>46041</v>
      </c>
      <c r="L362" s="17">
        <v>0.91666666666424135</v>
      </c>
      <c r="M362" s="17">
        <v>0.125</v>
      </c>
      <c r="N362" s="10" t="s">
        <v>110</v>
      </c>
      <c r="O362" s="10" t="s">
        <v>45</v>
      </c>
      <c r="P362" s="10" t="s">
        <v>221</v>
      </c>
      <c r="Q362" s="10" t="s">
        <v>47</v>
      </c>
      <c r="R362" s="10" t="s">
        <v>256</v>
      </c>
      <c r="S362" s="10">
        <v>2000</v>
      </c>
      <c r="W362" s="10" t="s">
        <v>1927</v>
      </c>
      <c r="Y362" s="10" t="s">
        <v>181</v>
      </c>
      <c r="Z362" s="10" t="s">
        <v>66</v>
      </c>
      <c r="AA362" s="10" t="s">
        <v>113</v>
      </c>
      <c r="AB362" s="10" t="s">
        <v>66</v>
      </c>
      <c r="AC362" s="10" t="s">
        <v>68</v>
      </c>
      <c r="AD362" s="10" t="str">
        <f>IFERROR(VLOOKUP(B362,'Regiões Administrativas'!$A$1:$B$646,2,0),"")</f>
        <v>Central</v>
      </c>
      <c r="AE362" s="10">
        <f>IFERROR(VLOOKUP(Form_Responses[[#This Row],[Município]],'Regiões Administrativas'!$A$1:$I$646,3,0),"")</f>
        <v>16609</v>
      </c>
      <c r="AF362" s="10">
        <f>IFERROR(VLOOKUP(Form_Responses[[#This Row],[Município]],'Regiões Administrativas'!$A$1:$I$646,4,0),"")</f>
        <v>353205805000001</v>
      </c>
      <c r="AG362" s="10">
        <f>IFERROR(VLOOKUP(Form_Responses[[#This Row],[Município]],'Regiões Administrativas'!$A$1:$I$646,4,0),"")</f>
        <v>353205805000001</v>
      </c>
      <c r="AH362" s="10">
        <f>IFERROR(VLOOKUP(B362,'Regiões Administrativas'!$A$1:$I$646,5,0),"")</f>
        <v>3532058</v>
      </c>
      <c r="AI362" s="10">
        <f>IFERROR(VLOOKUP(B362,'Regiões Administrativas'!$A$1:$I$646,6,0),"")</f>
        <v>-48.150661300000003</v>
      </c>
      <c r="AJ362" s="10">
        <f>IFERROR(VLOOKUP(B362,'Regiões Administrativas'!$A$1:$I$646,8,0),"")</f>
        <v>618.54385400000001</v>
      </c>
      <c r="AK362" s="10" t="str">
        <f>IFERROR(VLOOKUP(Form_Responses[[#This Row],[Município]],'Regiões Administrativas'!$A$1:$I$646,9,0),"")</f>
        <v>1J6REYe4;A6p</v>
      </c>
    </row>
    <row r="363" spans="1:37" ht="22.5" customHeight="1">
      <c r="A363" s="18">
        <v>46038.584144143519</v>
      </c>
      <c r="B363" s="10" t="s">
        <v>1907</v>
      </c>
      <c r="C363" s="10" t="s">
        <v>1543</v>
      </c>
      <c r="D363" s="10" t="s">
        <v>1928</v>
      </c>
      <c r="E363" s="10" t="s">
        <v>1929</v>
      </c>
      <c r="G363" s="10" t="s">
        <v>1930</v>
      </c>
      <c r="I363" s="10" t="s">
        <v>43</v>
      </c>
      <c r="N363" s="10" t="s">
        <v>44</v>
      </c>
      <c r="O363" s="10" t="s">
        <v>45</v>
      </c>
      <c r="P363" s="10" t="s">
        <v>63</v>
      </c>
      <c r="Q363" s="10" t="s">
        <v>47</v>
      </c>
      <c r="R363" s="10" t="s">
        <v>48</v>
      </c>
      <c r="S363" s="10">
        <v>20000</v>
      </c>
      <c r="W363" s="10" t="s">
        <v>1931</v>
      </c>
      <c r="Y363" s="10" t="s">
        <v>1912</v>
      </c>
      <c r="Z363" s="10" t="s">
        <v>76</v>
      </c>
      <c r="AA363" s="10" t="s">
        <v>77</v>
      </c>
      <c r="AB363" s="10" t="s">
        <v>66</v>
      </c>
      <c r="AC363" s="10" t="s">
        <v>68</v>
      </c>
      <c r="AD363" s="10" t="str">
        <f>IFERROR(VLOOKUP(B363,'Regiões Administrativas'!$A$1:$B$646,2,0),"")</f>
        <v>Bauru</v>
      </c>
      <c r="AE363" s="10">
        <f>IFERROR(VLOOKUP(Form_Responses[[#This Row],[Município]],'Regiões Administrativas'!$A$1:$I$646,3,0),"")</f>
        <v>16361</v>
      </c>
      <c r="AF363" s="10">
        <f>IFERROR(VLOOKUP(Form_Responses[[#This Row],[Município]],'Regiões Administrativas'!$A$1:$I$646,4,0),"")</f>
        <v>352710805000001</v>
      </c>
      <c r="AG363" s="10">
        <f>IFERROR(VLOOKUP(Form_Responses[[#This Row],[Município]],'Regiões Administrativas'!$A$1:$I$646,4,0),"")</f>
        <v>352710805000001</v>
      </c>
      <c r="AH363" s="10">
        <f>IFERROR(VLOOKUP(B363,'Regiões Administrativas'!$A$1:$I$646,5,0),"")</f>
        <v>3527108</v>
      </c>
      <c r="AI363" s="10">
        <f>IFERROR(VLOOKUP(B363,'Regiões Administrativas'!$A$1:$I$646,6,0),"")</f>
        <v>-49.7514234</v>
      </c>
      <c r="AJ363" s="10">
        <f>IFERROR(VLOOKUP(B363,'Regiões Administrativas'!$A$1:$I$646,8,0),"")</f>
        <v>433.93564700000002</v>
      </c>
      <c r="AK363" s="10" t="str">
        <f>IFERROR(VLOOKUP(Form_Responses[[#This Row],[Município]],'Regiões Administrativas'!$A$1:$I$646,9,0),"")</f>
        <v>1J6RR*Qh&lt;^8-</v>
      </c>
    </row>
    <row r="364" spans="1:37" ht="22.5" customHeight="1">
      <c r="A364" s="15">
        <v>46038.654379571759</v>
      </c>
      <c r="B364" s="10" t="s">
        <v>1932</v>
      </c>
      <c r="C364" s="10" t="s">
        <v>1933</v>
      </c>
      <c r="D364" s="10" t="s">
        <v>1934</v>
      </c>
      <c r="E364" s="10" t="s">
        <v>1935</v>
      </c>
      <c r="G364" s="10" t="s">
        <v>1936</v>
      </c>
      <c r="H364" s="72" t="s">
        <v>1937</v>
      </c>
      <c r="I364" s="10" t="s">
        <v>267</v>
      </c>
      <c r="J364" s="16">
        <v>46046</v>
      </c>
      <c r="K364" s="16">
        <v>46047</v>
      </c>
      <c r="L364" s="17">
        <v>0.70833333333575865</v>
      </c>
      <c r="M364" s="17">
        <v>0.91666666666424135</v>
      </c>
      <c r="N364" s="10" t="s">
        <v>73</v>
      </c>
      <c r="O364" s="10" t="s">
        <v>45</v>
      </c>
      <c r="P364" s="10" t="s">
        <v>63</v>
      </c>
      <c r="Q364" s="10" t="s">
        <v>47</v>
      </c>
      <c r="R364" s="10" t="s">
        <v>74</v>
      </c>
      <c r="S364" s="19">
        <v>5000</v>
      </c>
      <c r="T364" s="10">
        <v>0</v>
      </c>
      <c r="U364" s="10">
        <v>0</v>
      </c>
      <c r="V364" s="10">
        <v>0</v>
      </c>
      <c r="W364" s="10" t="s">
        <v>1938</v>
      </c>
      <c r="Y364" s="10" t="s">
        <v>1939</v>
      </c>
      <c r="Z364" s="10" t="s">
        <v>76</v>
      </c>
      <c r="AA364" s="10" t="s">
        <v>617</v>
      </c>
      <c r="AB364" s="10" t="s">
        <v>66</v>
      </c>
      <c r="AC364" s="10" t="s">
        <v>68</v>
      </c>
      <c r="AD364" s="10" t="str">
        <f>IFERROR(VLOOKUP(B364,'Regiões Administrativas'!$A$1:$B$646,2,0),"")</f>
        <v>Araçatuba</v>
      </c>
      <c r="AE364" s="10">
        <f>IFERROR(VLOOKUP(Form_Responses[[#This Row],[Município]],'Regiões Administrativas'!$A$1:$I$646,3,0),"")</f>
        <v>15642</v>
      </c>
      <c r="AF364" s="10">
        <f>IFERROR(VLOOKUP(Form_Responses[[#This Row],[Município]],'Regiões Administrativas'!$A$1:$I$646,4,0),"")</f>
        <v>350810805000001</v>
      </c>
      <c r="AG364" s="10">
        <f>IFERROR(VLOOKUP(Form_Responses[[#This Row],[Município]],'Regiões Administrativas'!$A$1:$I$646,4,0),"")</f>
        <v>350810805000001</v>
      </c>
      <c r="AH364" s="10">
        <f>IFERROR(VLOOKUP(B364,'Regiões Administrativas'!$A$1:$I$646,5,0),"")</f>
        <v>3508108</v>
      </c>
      <c r="AI364" s="10">
        <f>IFERROR(VLOOKUP(B364,'Regiões Administrativas'!$A$1:$I$646,6,0),"")</f>
        <v>-50.149281299999998</v>
      </c>
      <c r="AJ364" s="10">
        <f>IFERROR(VLOOKUP(B364,'Regiões Administrativas'!$A$1:$I$646,8,0),"")</f>
        <v>399.17229900000001</v>
      </c>
      <c r="AK364" s="10" t="str">
        <f>IFERROR(VLOOKUP(Form_Responses[[#This Row],[Município]],'Regiões Administrativas'!$A$1:$I$646,9,0),"")</f>
        <v>1J6Rb1G8GRl-</v>
      </c>
    </row>
    <row r="365" spans="1:37" ht="22.5" customHeight="1">
      <c r="A365" s="18">
        <v>46038.965546550928</v>
      </c>
      <c r="B365" s="10" t="s">
        <v>1940</v>
      </c>
      <c r="C365" s="10" t="s">
        <v>1274</v>
      </c>
      <c r="D365" s="10" t="s">
        <v>1941</v>
      </c>
      <c r="E365" s="10" t="s">
        <v>1942</v>
      </c>
      <c r="G365" s="10" t="s">
        <v>1943</v>
      </c>
      <c r="H365" s="72" t="s">
        <v>1944</v>
      </c>
      <c r="I365" s="10" t="s">
        <v>81</v>
      </c>
      <c r="J365" s="16">
        <v>46249</v>
      </c>
      <c r="K365" s="16">
        <v>46294</v>
      </c>
      <c r="L365" s="17">
        <v>0.79166666666424135</v>
      </c>
      <c r="M365" s="17">
        <v>0</v>
      </c>
      <c r="N365" s="10" t="s">
        <v>44</v>
      </c>
      <c r="O365" s="10" t="s">
        <v>221</v>
      </c>
      <c r="P365" s="10" t="s">
        <v>221</v>
      </c>
      <c r="Q365" s="10" t="s">
        <v>47</v>
      </c>
      <c r="R365" s="10" t="s">
        <v>230</v>
      </c>
      <c r="S365" s="10">
        <v>80000</v>
      </c>
      <c r="T365" s="10">
        <v>60000</v>
      </c>
      <c r="U365" s="10">
        <v>40000</v>
      </c>
      <c r="V365" s="10">
        <v>14000</v>
      </c>
      <c r="W365" s="10" t="s">
        <v>1945</v>
      </c>
      <c r="Y365" s="10" t="s">
        <v>1946</v>
      </c>
      <c r="Z365" s="10" t="s">
        <v>1116</v>
      </c>
      <c r="AA365" s="10" t="s">
        <v>206</v>
      </c>
      <c r="AB365" s="10" t="s">
        <v>66</v>
      </c>
      <c r="AC365" s="10" t="s">
        <v>68</v>
      </c>
      <c r="AD365" s="10" t="str">
        <f>IFERROR(VLOOKUP(B365,'Regiões Administrativas'!$A$1:$B$646,2,0),"")</f>
        <v>Sorocaba</v>
      </c>
      <c r="AE365" s="10">
        <f>IFERROR(VLOOKUP(Form_Responses[[#This Row],[Município]],'Regiões Administrativas'!$A$1:$I$646,3,0),"")</f>
        <v>17195</v>
      </c>
      <c r="AF365" s="10">
        <f>IFERROR(VLOOKUP(Form_Responses[[#This Row],[Município]],'Regiões Administrativas'!$A$1:$I$646,4,0),"")</f>
        <v>355020905000001</v>
      </c>
      <c r="AG365" s="10">
        <f>IFERROR(VLOOKUP(Form_Responses[[#This Row],[Município]],'Regiões Administrativas'!$A$1:$I$646,4,0),"")</f>
        <v>355020905000001</v>
      </c>
      <c r="AH365" s="10">
        <f>IFERROR(VLOOKUP(B365,'Regiões Administrativas'!$A$1:$I$646,5,0),"")</f>
        <v>3550209</v>
      </c>
      <c r="AI365" s="10">
        <f>IFERROR(VLOOKUP(B365,'Regiões Administrativas'!$A$1:$I$646,6,0),"")</f>
        <v>-47.995589099999997</v>
      </c>
      <c r="AJ365" s="10">
        <f>IFERROR(VLOOKUP(B365,'Regiões Administrativas'!$A$1:$I$646,8,0),"")</f>
        <v>665.75800000000004</v>
      </c>
      <c r="AK365" s="10" t="str">
        <f>IFERROR(VLOOKUP(Form_Responses[[#This Row],[Município]],'Regiões Administrativas'!$A$1:$I$646,9,0),"")</f>
        <v>1J6tmHzLb64&gt;</v>
      </c>
    </row>
    <row r="366" spans="1:37" ht="22.5" customHeight="1">
      <c r="A366" s="18">
        <v>46041.404315011576</v>
      </c>
      <c r="B366" s="10" t="s">
        <v>1849</v>
      </c>
      <c r="C366" s="10" t="s">
        <v>791</v>
      </c>
      <c r="D366" s="10" t="s">
        <v>1947</v>
      </c>
      <c r="E366" s="10" t="s">
        <v>1948</v>
      </c>
      <c r="G366" s="10" t="s">
        <v>1949</v>
      </c>
      <c r="H366" s="10" t="s">
        <v>1950</v>
      </c>
      <c r="I366" s="10" t="s">
        <v>72</v>
      </c>
      <c r="J366" s="16">
        <v>46212</v>
      </c>
      <c r="K366" s="16">
        <v>46215</v>
      </c>
      <c r="L366" s="17">
        <v>0.54166666666424135</v>
      </c>
      <c r="M366" s="17">
        <v>0.95833333333575865</v>
      </c>
      <c r="N366" s="10" t="s">
        <v>268</v>
      </c>
      <c r="O366" s="10" t="s">
        <v>99</v>
      </c>
      <c r="P366" s="10" t="s">
        <v>99</v>
      </c>
      <c r="Q366" s="10" t="s">
        <v>47</v>
      </c>
      <c r="R366" s="10" t="s">
        <v>74</v>
      </c>
      <c r="S366" s="10">
        <v>25000</v>
      </c>
      <c r="T366" s="10">
        <v>20000</v>
      </c>
      <c r="U366" s="10">
        <v>1700</v>
      </c>
      <c r="W366" s="10" t="s">
        <v>1951</v>
      </c>
      <c r="X366" s="10" t="s">
        <v>1952</v>
      </c>
      <c r="Y366" s="10" t="s">
        <v>1852</v>
      </c>
      <c r="Z366" s="10" t="s">
        <v>76</v>
      </c>
      <c r="AA366" s="10" t="s">
        <v>225</v>
      </c>
      <c r="AB366" s="10" t="s">
        <v>66</v>
      </c>
      <c r="AC366" s="10" t="s">
        <v>68</v>
      </c>
      <c r="AD366" s="10" t="str">
        <f>IFERROR(VLOOKUP(B366,'Regiões Administrativas'!$A$1:$B$646,2,0),"")</f>
        <v>Campinas</v>
      </c>
      <c r="AE366" s="10">
        <f>IFERROR(VLOOKUP(Form_Responses[[#This Row],[Município]],'Regiões Administrativas'!$A$1:$I$646,3,0),"")</f>
        <v>15745</v>
      </c>
      <c r="AF366" s="10">
        <f>IFERROR(VLOOKUP(Form_Responses[[#This Row],[Município]],'Regiões Administrativas'!$A$1:$I$646,4,0),"")</f>
        <v>351040105000001</v>
      </c>
      <c r="AG366" s="10">
        <f>IFERROR(VLOOKUP(Form_Responses[[#This Row],[Município]],'Regiões Administrativas'!$A$1:$I$646,4,0),"")</f>
        <v>351040105000001</v>
      </c>
      <c r="AH366" s="10">
        <f>IFERROR(VLOOKUP(B366,'Regiões Administrativas'!$A$1:$I$646,5,0),"")</f>
        <v>3510401</v>
      </c>
      <c r="AI366" s="10">
        <f>IFERROR(VLOOKUP(B366,'Regiões Administrativas'!$A$1:$I$646,6,0),"")</f>
        <v>-47.502206200000003</v>
      </c>
      <c r="AJ366" s="10">
        <f>IFERROR(VLOOKUP(B366,'Regiões Administrativas'!$A$1:$I$646,8,0),"")</f>
        <v>526.94302800000003</v>
      </c>
      <c r="AK366" s="10" t="str">
        <f>IFERROR(VLOOKUP(Form_Responses[[#This Row],[Município]],'Regiões Administrativas'!$A$1:$I$646,9,0),"")</f>
        <v>1J6tlD+6^vv&gt;</v>
      </c>
    </row>
    <row r="367" spans="1:37" ht="22.5" customHeight="1">
      <c r="A367" s="18">
        <v>46041.444546180559</v>
      </c>
      <c r="B367" s="10" t="s">
        <v>1849</v>
      </c>
      <c r="C367" s="10" t="s">
        <v>791</v>
      </c>
      <c r="D367" s="10" t="s">
        <v>1953</v>
      </c>
      <c r="E367" s="10" t="s">
        <v>1954</v>
      </c>
      <c r="G367" s="10" t="s">
        <v>1949</v>
      </c>
      <c r="I367" s="10" t="s">
        <v>162</v>
      </c>
      <c r="L367" s="17">
        <v>0.41666666666424135</v>
      </c>
      <c r="M367" s="17">
        <v>0.95833333333575865</v>
      </c>
      <c r="N367" s="10" t="s">
        <v>268</v>
      </c>
      <c r="O367" s="10" t="s">
        <v>99</v>
      </c>
      <c r="P367" s="10" t="s">
        <v>99</v>
      </c>
      <c r="Q367" s="10" t="s">
        <v>47</v>
      </c>
      <c r="R367" s="10" t="s">
        <v>74</v>
      </c>
      <c r="S367" s="10">
        <v>10000</v>
      </c>
      <c r="T367" s="10">
        <v>7500</v>
      </c>
      <c r="U367" s="10">
        <v>9000</v>
      </c>
      <c r="W367" s="10" t="s">
        <v>1955</v>
      </c>
      <c r="Y367" s="10" t="s">
        <v>1852</v>
      </c>
      <c r="Z367" s="10" t="s">
        <v>76</v>
      </c>
      <c r="AA367" s="10" t="s">
        <v>93</v>
      </c>
      <c r="AB367" s="10" t="s">
        <v>66</v>
      </c>
      <c r="AC367" s="10" t="s">
        <v>68</v>
      </c>
      <c r="AD367" s="10" t="str">
        <f>IFERROR(VLOOKUP(B367,'Regiões Administrativas'!$A$1:$B$646,2,0),"")</f>
        <v>Campinas</v>
      </c>
      <c r="AE367" s="10">
        <f>IFERROR(VLOOKUP(Form_Responses[[#This Row],[Município]],'Regiões Administrativas'!$A$1:$I$646,3,0),"")</f>
        <v>15745</v>
      </c>
      <c r="AF367" s="10">
        <f>IFERROR(VLOOKUP(Form_Responses[[#This Row],[Município]],'Regiões Administrativas'!$A$1:$I$646,4,0),"")</f>
        <v>351040105000001</v>
      </c>
      <c r="AG367" s="10">
        <f>IFERROR(VLOOKUP(Form_Responses[[#This Row],[Município]],'Regiões Administrativas'!$A$1:$I$646,4,0),"")</f>
        <v>351040105000001</v>
      </c>
      <c r="AH367" s="10">
        <f>IFERROR(VLOOKUP(B367,'Regiões Administrativas'!$A$1:$I$646,5,0),"")</f>
        <v>3510401</v>
      </c>
      <c r="AI367" s="10">
        <f>IFERROR(VLOOKUP(B367,'Regiões Administrativas'!$A$1:$I$646,6,0),"")</f>
        <v>-47.502206200000003</v>
      </c>
      <c r="AJ367" s="10">
        <f>IFERROR(VLOOKUP(B367,'Regiões Administrativas'!$A$1:$I$646,8,0),"")</f>
        <v>526.94302800000003</v>
      </c>
      <c r="AK367" s="10" t="str">
        <f>IFERROR(VLOOKUP(Form_Responses[[#This Row],[Município]],'Regiões Administrativas'!$A$1:$I$646,9,0),"")</f>
        <v>1J6tlD+6^vv&gt;</v>
      </c>
    </row>
    <row r="368" spans="1:37" ht="22.5" customHeight="1">
      <c r="A368" s="18">
        <v>46041.461458217593</v>
      </c>
      <c r="B368" s="10" t="s">
        <v>1849</v>
      </c>
      <c r="C368" s="10" t="s">
        <v>791</v>
      </c>
      <c r="D368" s="10" t="s">
        <v>1956</v>
      </c>
      <c r="E368" s="10" t="s">
        <v>1957</v>
      </c>
      <c r="G368" s="10" t="s">
        <v>1958</v>
      </c>
      <c r="I368" s="10" t="s">
        <v>197</v>
      </c>
      <c r="J368" s="16">
        <v>46356</v>
      </c>
      <c r="L368" s="17">
        <v>0.29166666666424135</v>
      </c>
      <c r="N368" s="10" t="s">
        <v>98</v>
      </c>
      <c r="O368" s="10" t="s">
        <v>62</v>
      </c>
      <c r="P368" s="10" t="s">
        <v>99</v>
      </c>
      <c r="Q368" s="10" t="s">
        <v>47</v>
      </c>
      <c r="R368" s="10" t="s">
        <v>48</v>
      </c>
      <c r="S368" s="10">
        <v>1000</v>
      </c>
      <c r="T368" s="10">
        <v>700</v>
      </c>
      <c r="W368" s="10" t="s">
        <v>990</v>
      </c>
      <c r="Y368" s="10" t="s">
        <v>1858</v>
      </c>
      <c r="Z368" s="10" t="s">
        <v>66</v>
      </c>
      <c r="AA368" s="10" t="s">
        <v>66</v>
      </c>
      <c r="AB368" s="10" t="s">
        <v>66</v>
      </c>
      <c r="AC368" s="10" t="s">
        <v>55</v>
      </c>
      <c r="AD368" s="10" t="str">
        <f>IFERROR(VLOOKUP(B368,'Regiões Administrativas'!$A$1:$B$646,2,0),"")</f>
        <v>Campinas</v>
      </c>
      <c r="AE368" s="10">
        <f>IFERROR(VLOOKUP(Form_Responses[[#This Row],[Município]],'Regiões Administrativas'!$A$1:$I$646,3,0),"")</f>
        <v>15745</v>
      </c>
      <c r="AF368" s="10">
        <f>IFERROR(VLOOKUP(Form_Responses[[#This Row],[Município]],'Regiões Administrativas'!$A$1:$I$646,4,0),"")</f>
        <v>351040105000001</v>
      </c>
      <c r="AG368" s="10">
        <f>IFERROR(VLOOKUP(Form_Responses[[#This Row],[Município]],'Regiões Administrativas'!$A$1:$I$646,4,0),"")</f>
        <v>351040105000001</v>
      </c>
      <c r="AH368" s="10">
        <f>IFERROR(VLOOKUP(B368,'Regiões Administrativas'!$A$1:$I$646,5,0),"")</f>
        <v>3510401</v>
      </c>
      <c r="AI368" s="10">
        <f>IFERROR(VLOOKUP(B368,'Regiões Administrativas'!$A$1:$I$646,6,0),"")</f>
        <v>-47.502206200000003</v>
      </c>
      <c r="AJ368" s="10">
        <f>IFERROR(VLOOKUP(B368,'Regiões Administrativas'!$A$1:$I$646,8,0),"")</f>
        <v>526.94302800000003</v>
      </c>
      <c r="AK368" s="10" t="str">
        <f>IFERROR(VLOOKUP(Form_Responses[[#This Row],[Município]],'Regiões Administrativas'!$A$1:$I$646,9,0),"")</f>
        <v>1J6tlD+6^vv&gt;</v>
      </c>
    </row>
    <row r="369" spans="1:37" ht="22.5" customHeight="1">
      <c r="A369" s="18">
        <v>46041.470500648153</v>
      </c>
      <c r="B369" s="10" t="s">
        <v>1849</v>
      </c>
      <c r="C369" s="10" t="s">
        <v>791</v>
      </c>
      <c r="D369" s="10" t="s">
        <v>1959</v>
      </c>
      <c r="E369" s="10" t="s">
        <v>1960</v>
      </c>
      <c r="G369" s="10" t="s">
        <v>1961</v>
      </c>
      <c r="I369" s="10" t="s">
        <v>81</v>
      </c>
      <c r="J369" s="16">
        <v>46266</v>
      </c>
      <c r="L369" s="17">
        <v>0.79166666666424135</v>
      </c>
      <c r="N369" s="10" t="s">
        <v>110</v>
      </c>
      <c r="O369" s="10" t="s">
        <v>45</v>
      </c>
      <c r="P369" s="10" t="s">
        <v>99</v>
      </c>
      <c r="Q369" s="10" t="s">
        <v>47</v>
      </c>
      <c r="R369" s="10" t="s">
        <v>48</v>
      </c>
      <c r="S369" s="10">
        <v>2000</v>
      </c>
      <c r="T369" s="10">
        <v>1500</v>
      </c>
      <c r="W369" s="10" t="s">
        <v>990</v>
      </c>
      <c r="Y369" s="10" t="s">
        <v>1962</v>
      </c>
      <c r="Z369" s="10" t="s">
        <v>76</v>
      </c>
      <c r="AA369" s="10" t="s">
        <v>1963</v>
      </c>
      <c r="AB369" s="10" t="s">
        <v>54</v>
      </c>
      <c r="AC369" s="10" t="s">
        <v>68</v>
      </c>
      <c r="AD369" s="10" t="str">
        <f>IFERROR(VLOOKUP(B369,'Regiões Administrativas'!$A$1:$B$646,2,0),"")</f>
        <v>Campinas</v>
      </c>
      <c r="AE369" s="10">
        <f>IFERROR(VLOOKUP(Form_Responses[[#This Row],[Município]],'Regiões Administrativas'!$A$1:$I$646,3,0),"")</f>
        <v>15745</v>
      </c>
      <c r="AF369" s="10">
        <f>IFERROR(VLOOKUP(Form_Responses[[#This Row],[Município]],'Regiões Administrativas'!$A$1:$I$646,4,0),"")</f>
        <v>351040105000001</v>
      </c>
      <c r="AG369" s="10">
        <f>IFERROR(VLOOKUP(Form_Responses[[#This Row],[Município]],'Regiões Administrativas'!$A$1:$I$646,4,0),"")</f>
        <v>351040105000001</v>
      </c>
      <c r="AH369" s="10">
        <f>IFERROR(VLOOKUP(B369,'Regiões Administrativas'!$A$1:$I$646,5,0),"")</f>
        <v>3510401</v>
      </c>
      <c r="AI369" s="10">
        <f>IFERROR(VLOOKUP(B369,'Regiões Administrativas'!$A$1:$I$646,6,0),"")</f>
        <v>-47.502206200000003</v>
      </c>
      <c r="AJ369" s="10">
        <f>IFERROR(VLOOKUP(B369,'Regiões Administrativas'!$A$1:$I$646,8,0),"")</f>
        <v>526.94302800000003</v>
      </c>
      <c r="AK369" s="10" t="str">
        <f>IFERROR(VLOOKUP(Form_Responses[[#This Row],[Município]],'Regiões Administrativas'!$A$1:$I$646,9,0),"")</f>
        <v>1J6tlD+6^vv&gt;</v>
      </c>
    </row>
    <row r="370" spans="1:37" ht="22.5" customHeight="1">
      <c r="A370" s="18">
        <v>46041.487432986112</v>
      </c>
      <c r="B370" s="10" t="s">
        <v>1849</v>
      </c>
      <c r="C370" s="10" t="s">
        <v>791</v>
      </c>
      <c r="D370" s="10" t="s">
        <v>1964</v>
      </c>
      <c r="E370" s="10" t="s">
        <v>1965</v>
      </c>
      <c r="G370" s="10" t="s">
        <v>1966</v>
      </c>
      <c r="I370" s="10" t="s">
        <v>255</v>
      </c>
      <c r="J370" s="16">
        <v>46309</v>
      </c>
      <c r="K370" s="16">
        <v>46311</v>
      </c>
      <c r="L370" s="17">
        <v>0.79166666666424135</v>
      </c>
      <c r="N370" s="10" t="s">
        <v>268</v>
      </c>
      <c r="O370" s="10" t="s">
        <v>45</v>
      </c>
      <c r="P370" s="10" t="s">
        <v>99</v>
      </c>
      <c r="Q370" s="10" t="s">
        <v>47</v>
      </c>
      <c r="R370" s="10" t="s">
        <v>48</v>
      </c>
      <c r="S370" s="10">
        <v>20000</v>
      </c>
      <c r="T370" s="10">
        <v>20000</v>
      </c>
      <c r="W370" s="10" t="s">
        <v>1967</v>
      </c>
      <c r="Y370" s="10" t="s">
        <v>1858</v>
      </c>
      <c r="Z370" s="10" t="s">
        <v>66</v>
      </c>
      <c r="AA370" s="10" t="s">
        <v>66</v>
      </c>
      <c r="AB370" s="10" t="s">
        <v>66</v>
      </c>
      <c r="AC370" s="10" t="s">
        <v>83</v>
      </c>
      <c r="AD370" s="10" t="str">
        <f>IFERROR(VLOOKUP(B370,'Regiões Administrativas'!$A$1:$B$646,2,0),"")</f>
        <v>Campinas</v>
      </c>
      <c r="AE370" s="10">
        <f>IFERROR(VLOOKUP(Form_Responses[[#This Row],[Município]],'Regiões Administrativas'!$A$1:$I$646,3,0),"")</f>
        <v>15745</v>
      </c>
      <c r="AF370" s="10">
        <f>IFERROR(VLOOKUP(Form_Responses[[#This Row],[Município]],'Regiões Administrativas'!$A$1:$I$646,4,0),"")</f>
        <v>351040105000001</v>
      </c>
      <c r="AG370" s="10">
        <f>IFERROR(VLOOKUP(Form_Responses[[#This Row],[Município]],'Regiões Administrativas'!$A$1:$I$646,4,0),"")</f>
        <v>351040105000001</v>
      </c>
      <c r="AH370" s="10">
        <f>IFERROR(VLOOKUP(B370,'Regiões Administrativas'!$A$1:$I$646,5,0),"")</f>
        <v>3510401</v>
      </c>
      <c r="AI370" s="10">
        <f>IFERROR(VLOOKUP(B370,'Regiões Administrativas'!$A$1:$I$646,6,0),"")</f>
        <v>-47.502206200000003</v>
      </c>
      <c r="AJ370" s="10">
        <f>IFERROR(VLOOKUP(B370,'Regiões Administrativas'!$A$1:$I$646,8,0),"")</f>
        <v>526.94302800000003</v>
      </c>
      <c r="AK370" s="10" t="str">
        <f>IFERROR(VLOOKUP(Form_Responses[[#This Row],[Município]],'Regiões Administrativas'!$A$1:$I$646,9,0),"")</f>
        <v>1J6tlD+6^vv&gt;</v>
      </c>
    </row>
    <row r="371" spans="1:37" ht="22.5" customHeight="1">
      <c r="A371" s="15">
        <v>46041.508735162039</v>
      </c>
      <c r="B371" s="10" t="s">
        <v>1968</v>
      </c>
      <c r="C371" s="10" t="s">
        <v>85</v>
      </c>
      <c r="D371" s="10" t="s">
        <v>1969</v>
      </c>
      <c r="E371" s="10" t="s">
        <v>1970</v>
      </c>
      <c r="G371" s="10" t="s">
        <v>1971</v>
      </c>
      <c r="H371" s="72" t="s">
        <v>1972</v>
      </c>
      <c r="I371" s="10" t="s">
        <v>220</v>
      </c>
      <c r="J371" s="16">
        <v>46150</v>
      </c>
      <c r="K371" s="16">
        <v>46152</v>
      </c>
      <c r="N371" s="10" t="s">
        <v>73</v>
      </c>
      <c r="O371" s="10" t="s">
        <v>190</v>
      </c>
      <c r="P371" s="10" t="s">
        <v>235</v>
      </c>
      <c r="Q371" s="10" t="s">
        <v>47</v>
      </c>
      <c r="R371" s="10" t="s">
        <v>74</v>
      </c>
      <c r="S371" s="19">
        <v>12240</v>
      </c>
      <c r="T371" s="19">
        <v>10200</v>
      </c>
      <c r="U371" s="10">
        <v>0</v>
      </c>
      <c r="V371" s="10">
        <v>0</v>
      </c>
      <c r="W371" s="10" t="s">
        <v>1973</v>
      </c>
      <c r="Y371" s="10" t="s">
        <v>1974</v>
      </c>
      <c r="Z371" s="10" t="s">
        <v>76</v>
      </c>
      <c r="AA371" s="10" t="s">
        <v>113</v>
      </c>
      <c r="AB371" s="10" t="s">
        <v>66</v>
      </c>
      <c r="AC371" s="10" t="s">
        <v>68</v>
      </c>
      <c r="AD371" s="10" t="str">
        <f>IFERROR(VLOOKUP(B371,'Regiões Administrativas'!$A$1:$B$646,2,0),"")</f>
        <v>Campinas</v>
      </c>
      <c r="AE371" s="10">
        <f>IFERROR(VLOOKUP(Form_Responses[[#This Row],[Município]],'Regiões Administrativas'!$A$1:$I$646,3,0),"")</f>
        <v>15756</v>
      </c>
      <c r="AF371" s="10">
        <f>IFERROR(VLOOKUP(Form_Responses[[#This Row],[Município]],'Regiões Administrativas'!$A$1:$I$646,4,0),"")</f>
        <v>351080705000001</v>
      </c>
      <c r="AG371" s="10">
        <f>IFERROR(VLOOKUP(Form_Responses[[#This Row],[Município]],'Regiões Administrativas'!$A$1:$I$646,4,0),"")</f>
        <v>351080705000001</v>
      </c>
      <c r="AH371" s="10">
        <f>IFERROR(VLOOKUP(B371,'Regiões Administrativas'!$A$1:$I$646,5,0),"")</f>
        <v>3510807</v>
      </c>
      <c r="AI371" s="10">
        <f>IFERROR(VLOOKUP(B371,'Regiões Administrativas'!$A$1:$I$646,6,0),"")</f>
        <v>-47.079758200000001</v>
      </c>
      <c r="AJ371" s="10">
        <f>IFERROR(VLOOKUP(B371,'Regiões Administrativas'!$A$1:$I$646,8,0),"")</f>
        <v>718.09278400000005</v>
      </c>
      <c r="AK371" s="10" t="str">
        <f>IFERROR(VLOOKUP(Form_Responses[[#This Row],[Município]],'Regiões Administrativas'!$A$1:$I$646,9,0),"")</f>
        <v>1J6tG4mZ^Rw-</v>
      </c>
    </row>
    <row r="372" spans="1:37" ht="22.5" customHeight="1">
      <c r="A372" s="18">
        <v>46041.533117696759</v>
      </c>
      <c r="B372" s="10" t="s">
        <v>1869</v>
      </c>
      <c r="C372" s="10" t="s">
        <v>1870</v>
      </c>
      <c r="D372" s="10" t="s">
        <v>1975</v>
      </c>
      <c r="E372" s="10" t="s">
        <v>1976</v>
      </c>
      <c r="F372" s="10" t="s">
        <v>1977</v>
      </c>
      <c r="G372" s="10" t="s">
        <v>1978</v>
      </c>
      <c r="H372" s="10" t="s">
        <v>66</v>
      </c>
      <c r="I372" s="10" t="s">
        <v>72</v>
      </c>
      <c r="J372" s="16">
        <v>46215</v>
      </c>
      <c r="K372" s="16">
        <v>46216</v>
      </c>
      <c r="L372" s="17">
        <v>0.54166666666424135</v>
      </c>
      <c r="M372" s="17">
        <v>0.95833333333575865</v>
      </c>
      <c r="N372" s="10" t="s">
        <v>73</v>
      </c>
      <c r="O372" s="10" t="s">
        <v>45</v>
      </c>
      <c r="P372" s="10" t="s">
        <v>63</v>
      </c>
      <c r="Q372" s="10" t="s">
        <v>47</v>
      </c>
      <c r="R372" s="10" t="s">
        <v>48</v>
      </c>
      <c r="S372" s="19">
        <v>60000</v>
      </c>
      <c r="T372" s="19">
        <v>40000</v>
      </c>
      <c r="U372" s="10">
        <v>0</v>
      </c>
      <c r="V372" s="10">
        <v>0</v>
      </c>
      <c r="W372" s="10" t="s">
        <v>1979</v>
      </c>
      <c r="X372" s="10" t="s">
        <v>66</v>
      </c>
      <c r="Y372" s="10" t="s">
        <v>1980</v>
      </c>
      <c r="Z372" s="10" t="s">
        <v>402</v>
      </c>
      <c r="AA372" s="10" t="s">
        <v>536</v>
      </c>
      <c r="AB372" s="10" t="s">
        <v>66</v>
      </c>
      <c r="AC372" s="10" t="s">
        <v>68</v>
      </c>
      <c r="AD372" s="10" t="str">
        <f>IFERROR(VLOOKUP(B372,'Regiões Administrativas'!$A$1:$B$646,2,0),"")</f>
        <v>RMSP</v>
      </c>
      <c r="AE372" s="10">
        <f>IFERROR(VLOOKUP(Form_Responses[[#This Row],[Município]],'Regiões Administrativas'!$A$1:$I$646,3,0),"")</f>
        <v>16848</v>
      </c>
      <c r="AF372" s="10">
        <f>IFERROR(VLOOKUP(Form_Responses[[#This Row],[Município]],'Regiões Administrativas'!$A$1:$I$646,4,0),"")</f>
        <v>353980605000001</v>
      </c>
      <c r="AG372" s="10">
        <f>IFERROR(VLOOKUP(Form_Responses[[#This Row],[Município]],'Regiões Administrativas'!$A$1:$I$646,4,0),"")</f>
        <v>353980605000001</v>
      </c>
      <c r="AH372" s="10">
        <f>IFERROR(VLOOKUP(B372,'Regiões Administrativas'!$A$1:$I$646,5,0),"")</f>
        <v>3539806</v>
      </c>
      <c r="AI372" s="10">
        <f>IFERROR(VLOOKUP(B372,'Regiões Administrativas'!$A$1:$I$646,6,0),"")</f>
        <v>-46.3462204</v>
      </c>
      <c r="AJ372" s="10">
        <f>IFERROR(VLOOKUP(B372,'Regiões Administrativas'!$A$1:$I$646,8,0),"")</f>
        <v>755.62460599999997</v>
      </c>
      <c r="AK372" s="10" t="str">
        <f>IFERROR(VLOOKUP(Form_Responses[[#This Row],[Município]],'Regiões Administrativas'!$A$1:$I$646,9,0),"")</f>
        <v>1J6to8dE]Xt-</v>
      </c>
    </row>
    <row r="373" spans="1:37" ht="22.5" customHeight="1">
      <c r="A373" s="15">
        <v>46041.546507384264</v>
      </c>
      <c r="B373" s="10" t="s">
        <v>1869</v>
      </c>
      <c r="C373" s="10" t="s">
        <v>1870</v>
      </c>
      <c r="D373" s="10" t="s">
        <v>1981</v>
      </c>
      <c r="E373" s="10" t="s">
        <v>1982</v>
      </c>
      <c r="F373" s="10" t="s">
        <v>1983</v>
      </c>
      <c r="G373" s="10" t="s">
        <v>1984</v>
      </c>
      <c r="H373" s="10" t="s">
        <v>126</v>
      </c>
      <c r="I373" s="10" t="s">
        <v>109</v>
      </c>
      <c r="J373" s="16">
        <v>46106</v>
      </c>
      <c r="K373" s="16">
        <v>46107</v>
      </c>
      <c r="L373" s="17">
        <v>0.41666666666424135</v>
      </c>
      <c r="M373" s="17">
        <v>0</v>
      </c>
      <c r="N373" s="10" t="s">
        <v>110</v>
      </c>
      <c r="O373" s="10" t="s">
        <v>99</v>
      </c>
      <c r="P373" s="10" t="s">
        <v>99</v>
      </c>
      <c r="Q373" s="10" t="s">
        <v>47</v>
      </c>
      <c r="R373" s="10" t="s">
        <v>256</v>
      </c>
      <c r="S373" s="19">
        <v>65000</v>
      </c>
      <c r="T373" s="19">
        <v>50000</v>
      </c>
      <c r="U373" s="10">
        <v>0</v>
      </c>
      <c r="V373" s="10">
        <v>0</v>
      </c>
      <c r="W373" s="10" t="s">
        <v>1985</v>
      </c>
      <c r="X373" s="10" t="s">
        <v>1986</v>
      </c>
      <c r="Y373" s="10" t="s">
        <v>1987</v>
      </c>
      <c r="Z373" s="10" t="s">
        <v>402</v>
      </c>
      <c r="AA373" s="10" t="s">
        <v>1988</v>
      </c>
      <c r="AB373" s="10" t="s">
        <v>66</v>
      </c>
      <c r="AC373" s="10" t="s">
        <v>68</v>
      </c>
      <c r="AD373" s="10" t="str">
        <f>IFERROR(VLOOKUP(B373,'Regiões Administrativas'!$A$1:$B$646,2,0),"")</f>
        <v>RMSP</v>
      </c>
      <c r="AE373" s="10">
        <f>IFERROR(VLOOKUP(Form_Responses[[#This Row],[Município]],'Regiões Administrativas'!$A$1:$I$646,3,0),"")</f>
        <v>16848</v>
      </c>
      <c r="AF373" s="10">
        <f>IFERROR(VLOOKUP(Form_Responses[[#This Row],[Município]],'Regiões Administrativas'!$A$1:$I$646,4,0),"")</f>
        <v>353980605000001</v>
      </c>
      <c r="AG373" s="10">
        <f>IFERROR(VLOOKUP(Form_Responses[[#This Row],[Município]],'Regiões Administrativas'!$A$1:$I$646,4,0),"")</f>
        <v>353980605000001</v>
      </c>
      <c r="AH373" s="10">
        <f>IFERROR(VLOOKUP(B373,'Regiões Administrativas'!$A$1:$I$646,5,0),"")</f>
        <v>3539806</v>
      </c>
      <c r="AI373" s="10">
        <f>IFERROR(VLOOKUP(B373,'Regiões Administrativas'!$A$1:$I$646,6,0),"")</f>
        <v>-46.3462204</v>
      </c>
      <c r="AJ373" s="10">
        <f>IFERROR(VLOOKUP(B373,'Regiões Administrativas'!$A$1:$I$646,8,0),"")</f>
        <v>755.62460599999997</v>
      </c>
      <c r="AK373" s="10" t="str">
        <f>IFERROR(VLOOKUP(Form_Responses[[#This Row],[Município]],'Regiões Administrativas'!$A$1:$I$646,9,0),"")</f>
        <v>1J6to8dE]Xt-</v>
      </c>
    </row>
    <row r="374" spans="1:37" ht="22.5" customHeight="1">
      <c r="A374" s="15">
        <v>46041.645949247686</v>
      </c>
      <c r="B374" s="10" t="s">
        <v>1989</v>
      </c>
      <c r="C374" s="10" t="s">
        <v>426</v>
      </c>
      <c r="D374" s="10" t="s">
        <v>1990</v>
      </c>
      <c r="E374" s="10" t="s">
        <v>1991</v>
      </c>
      <c r="G374" s="10" t="s">
        <v>1992</v>
      </c>
      <c r="I374" s="10" t="s">
        <v>109</v>
      </c>
      <c r="J374" s="16">
        <v>46095</v>
      </c>
      <c r="K374" s="16">
        <v>46095</v>
      </c>
      <c r="L374" s="17">
        <v>0.33333333333575865</v>
      </c>
      <c r="M374" s="17">
        <v>0.5</v>
      </c>
      <c r="N374" s="10" t="s">
        <v>61</v>
      </c>
      <c r="O374" s="10" t="s">
        <v>436</v>
      </c>
      <c r="P374" s="10" t="s">
        <v>63</v>
      </c>
      <c r="Q374" s="10" t="s">
        <v>47</v>
      </c>
      <c r="R374" s="10" t="s">
        <v>74</v>
      </c>
      <c r="S374" s="10">
        <v>1000</v>
      </c>
      <c r="W374" s="10" t="s">
        <v>1993</v>
      </c>
      <c r="Y374" s="10" t="s">
        <v>1994</v>
      </c>
      <c r="Z374" s="10" t="s">
        <v>66</v>
      </c>
      <c r="AA374" s="10" t="s">
        <v>225</v>
      </c>
      <c r="AB374" s="10" t="s">
        <v>66</v>
      </c>
      <c r="AC374" s="10" t="s">
        <v>68</v>
      </c>
      <c r="AD374" s="10" t="str">
        <f>IFERROR(VLOOKUP(B374,'Regiões Administrativas'!$A$1:$B$646,2,0),"")</f>
        <v>Araçatuba</v>
      </c>
      <c r="AE374" s="10">
        <f>IFERROR(VLOOKUP(Form_Responses[[#This Row],[Município]],'Regiões Administrativas'!$A$1:$I$646,3,0),"")</f>
        <v>15760</v>
      </c>
      <c r="AF374" s="10">
        <f>IFERROR(VLOOKUP(Form_Responses[[#This Row],[Município]],'Regiões Administrativas'!$A$1:$I$646,4,0),"")</f>
        <v>351100305000001</v>
      </c>
      <c r="AG374" s="10">
        <f>IFERROR(VLOOKUP(Form_Responses[[#This Row],[Município]],'Regiões Administrativas'!$A$1:$I$646,4,0),"")</f>
        <v>351100305000001</v>
      </c>
      <c r="AH374" s="10">
        <f>IFERROR(VLOOKUP(B374,'Regiões Administrativas'!$A$1:$I$646,5,0),"")</f>
        <v>3511003</v>
      </c>
      <c r="AI374" s="10">
        <f>IFERROR(VLOOKUP(B374,'Regiões Administrativas'!$A$1:$I$646,6,0),"")</f>
        <v>-51.489407100000001</v>
      </c>
      <c r="AJ374" s="10">
        <f>IFERROR(VLOOKUP(B374,'Regiões Administrativas'!$A$1:$I$646,8,0),"")</f>
        <v>378.459881</v>
      </c>
      <c r="AK374" s="10" t="str">
        <f>IFERROR(VLOOKUP(Form_Responses[[#This Row],[Município]],'Regiões Administrativas'!$A$1:$I$646,9,0),"")</f>
        <v>1J6R{jP^_)=p</v>
      </c>
    </row>
    <row r="375" spans="1:37" ht="22.5" customHeight="1">
      <c r="A375" s="15">
        <v>46042.394577569445</v>
      </c>
      <c r="B375" s="10" t="s">
        <v>1995</v>
      </c>
      <c r="C375" s="10" t="s">
        <v>1274</v>
      </c>
      <c r="D375" s="10" t="s">
        <v>1996</v>
      </c>
      <c r="E375" s="10" t="s">
        <v>1997</v>
      </c>
      <c r="F375" s="10" t="s">
        <v>1998</v>
      </c>
      <c r="G375" s="10" t="s">
        <v>1999</v>
      </c>
      <c r="H375" s="10" t="s">
        <v>126</v>
      </c>
      <c r="I375" s="10" t="s">
        <v>128</v>
      </c>
      <c r="J375" s="16">
        <v>46129</v>
      </c>
      <c r="K375" s="16">
        <v>46130</v>
      </c>
      <c r="L375" s="17">
        <v>0.47916666666424135</v>
      </c>
      <c r="M375" s="17">
        <v>0.95833333333575865</v>
      </c>
      <c r="N375" s="10" t="s">
        <v>44</v>
      </c>
      <c r="O375" s="10" t="s">
        <v>142</v>
      </c>
      <c r="P375" s="10" t="s">
        <v>63</v>
      </c>
      <c r="Q375" s="10" t="s">
        <v>47</v>
      </c>
      <c r="R375" s="10" t="s">
        <v>48</v>
      </c>
      <c r="S375" s="19">
        <v>3000</v>
      </c>
      <c r="T375" s="19">
        <v>2600</v>
      </c>
      <c r="U375" s="19">
        <v>2500</v>
      </c>
      <c r="V375" s="19">
        <v>2400</v>
      </c>
      <c r="W375" s="10" t="s">
        <v>2000</v>
      </c>
      <c r="Y375" s="10" t="s">
        <v>2001</v>
      </c>
      <c r="Z375" s="10" t="s">
        <v>1116</v>
      </c>
      <c r="AA375" s="10" t="s">
        <v>93</v>
      </c>
      <c r="AB375" s="10" t="s">
        <v>66</v>
      </c>
      <c r="AC375" s="10" t="s">
        <v>68</v>
      </c>
      <c r="AD375" s="10" t="str">
        <f>IFERROR(VLOOKUP(B375,'Regiões Administrativas'!$A$1:$B$646,2,0),"")</f>
        <v>Itapeva</v>
      </c>
      <c r="AE375" s="10">
        <f>IFERROR(VLOOKUP(Form_Responses[[#This Row],[Município]],'Regiões Administrativas'!$A$1:$I$646,3,0),"")</f>
        <v>15732</v>
      </c>
      <c r="AF375" s="10">
        <f>IFERROR(VLOOKUP(Form_Responses[[#This Row],[Município]],'Regiões Administrativas'!$A$1:$I$646,4,0),"")</f>
        <v>351020305000001</v>
      </c>
      <c r="AG375" s="10">
        <f>IFERROR(VLOOKUP(Form_Responses[[#This Row],[Município]],'Regiões Administrativas'!$A$1:$I$646,4,0),"")</f>
        <v>351020305000001</v>
      </c>
      <c r="AH375" s="10">
        <f>IFERROR(VLOOKUP(B375,'Regiões Administrativas'!$A$1:$I$646,5,0),"")</f>
        <v>3510203</v>
      </c>
      <c r="AI375" s="10">
        <f>IFERROR(VLOOKUP(B375,'Regiões Administrativas'!$A$1:$I$646,6,0),"")</f>
        <v>-48.351434500000003</v>
      </c>
      <c r="AJ375" s="10">
        <f>IFERROR(VLOOKUP(B375,'Regiões Administrativas'!$A$1:$I$646,8,0),"")</f>
        <v>705.78998100000001</v>
      </c>
      <c r="AK375" s="10" t="str">
        <f>IFERROR(VLOOKUP(Form_Responses[[#This Row],[Município]],'Regiões Administrativas'!$A$1:$I$646,9,0),"")</f>
        <v>1J6Rzwh{nZnp</v>
      </c>
    </row>
    <row r="376" spans="1:37" ht="22.5" customHeight="1">
      <c r="A376" s="15">
        <v>46042.442437071761</v>
      </c>
      <c r="B376" s="10" t="s">
        <v>2002</v>
      </c>
      <c r="C376" s="10" t="s">
        <v>1543</v>
      </c>
      <c r="D376" s="10" t="s">
        <v>2003</v>
      </c>
      <c r="E376" s="10" t="s">
        <v>2004</v>
      </c>
      <c r="F376" s="10" t="s">
        <v>2005</v>
      </c>
      <c r="G376" s="10" t="s">
        <v>2006</v>
      </c>
      <c r="H376" s="72" t="s">
        <v>2007</v>
      </c>
      <c r="I376" s="10" t="s">
        <v>89</v>
      </c>
      <c r="J376" s="16">
        <v>46067</v>
      </c>
      <c r="K376" s="16">
        <v>46039</v>
      </c>
      <c r="N376" s="10" t="s">
        <v>44</v>
      </c>
      <c r="O376" s="10" t="s">
        <v>45</v>
      </c>
      <c r="P376" s="10" t="s">
        <v>90</v>
      </c>
      <c r="Q376" s="10" t="s">
        <v>47</v>
      </c>
      <c r="R376" s="10" t="s">
        <v>74</v>
      </c>
      <c r="S376" s="19">
        <v>6000</v>
      </c>
      <c r="T376" s="10">
        <v>5700</v>
      </c>
      <c r="U376" s="10">
        <v>5700</v>
      </c>
      <c r="V376" s="10">
        <v>5700</v>
      </c>
      <c r="W376" s="10" t="s">
        <v>2008</v>
      </c>
      <c r="Y376" s="10" t="s">
        <v>2009</v>
      </c>
      <c r="Z376" s="10" t="s">
        <v>361</v>
      </c>
      <c r="AA376" s="10" t="s">
        <v>113</v>
      </c>
      <c r="AB376" s="10" t="s">
        <v>66</v>
      </c>
      <c r="AC376" s="10" t="s">
        <v>68</v>
      </c>
      <c r="AD376" s="10" t="str">
        <f>IFERROR(VLOOKUP(B376,'Regiões Administrativas'!$A$1:$B$646,2,0),"")</f>
        <v>Bauru</v>
      </c>
      <c r="AE376" s="10">
        <f>IFERROR(VLOOKUP(Form_Responses[[#This Row],[Município]],'Regiões Administrativas'!$A$1:$I$646,3,0),"")</f>
        <v>15677</v>
      </c>
      <c r="AF376" s="10">
        <f>IFERROR(VLOOKUP(Form_Responses[[#This Row],[Município]],'Regiões Administrativas'!$A$1:$I$646,4,0),"")</f>
        <v>350880105000001</v>
      </c>
      <c r="AG376" s="10">
        <f>IFERROR(VLOOKUP(Form_Responses[[#This Row],[Município]],'Regiões Administrativas'!$A$1:$I$646,4,0),"")</f>
        <v>350880105000001</v>
      </c>
      <c r="AH376" s="10">
        <f>IFERROR(VLOOKUP(B376,'Regiões Administrativas'!$A$1:$I$646,5,0),"")</f>
        <v>3508801</v>
      </c>
      <c r="AI376" s="10">
        <f>IFERROR(VLOOKUP(B376,'Regiões Administrativas'!$A$1:$I$646,6,0),"")</f>
        <v>-49.600354400000001</v>
      </c>
      <c r="AJ376" s="10">
        <f>IFERROR(VLOOKUP(B376,'Regiões Administrativas'!$A$1:$I$646,8,0),"")</f>
        <v>441.67568</v>
      </c>
      <c r="AK376" s="10" t="str">
        <f>IFERROR(VLOOKUP(Form_Responses[[#This Row],[Município]],'Regiões Administrativas'!$A$1:$I$646,9,0),"")</f>
        <v>1J6RR+b{^lo&gt;</v>
      </c>
    </row>
    <row r="377" spans="1:37" ht="22.5" customHeight="1">
      <c r="A377" s="15">
        <v>46042.445439317133</v>
      </c>
      <c r="B377" s="10" t="s">
        <v>2010</v>
      </c>
      <c r="C377" s="10" t="s">
        <v>1870</v>
      </c>
      <c r="D377" s="10" t="s">
        <v>2011</v>
      </c>
      <c r="E377" s="10" t="s">
        <v>2012</v>
      </c>
      <c r="G377" s="10" t="s">
        <v>2013</v>
      </c>
      <c r="I377" s="10" t="s">
        <v>89</v>
      </c>
      <c r="J377" s="16">
        <v>46060</v>
      </c>
      <c r="K377" s="16">
        <v>46060</v>
      </c>
      <c r="L377" s="17">
        <v>0.45833333333575865</v>
      </c>
      <c r="M377" s="17">
        <v>0.91666666666424135</v>
      </c>
      <c r="N377" s="10" t="s">
        <v>421</v>
      </c>
      <c r="O377" s="10" t="s">
        <v>45</v>
      </c>
      <c r="P377" s="10" t="s">
        <v>90</v>
      </c>
      <c r="Q377" s="10" t="s">
        <v>47</v>
      </c>
      <c r="R377" s="10" t="s">
        <v>74</v>
      </c>
      <c r="S377" s="10">
        <v>200000</v>
      </c>
      <c r="T377" s="10">
        <v>150000</v>
      </c>
      <c r="U377" s="10">
        <v>150000</v>
      </c>
      <c r="V377" s="10">
        <v>150000</v>
      </c>
      <c r="W377" s="10" t="s">
        <v>2011</v>
      </c>
      <c r="X377" s="72" t="s">
        <v>2014</v>
      </c>
      <c r="Y377" s="10" t="s">
        <v>2015</v>
      </c>
      <c r="Z377" s="10" t="s">
        <v>361</v>
      </c>
      <c r="AA377" s="10" t="s">
        <v>66</v>
      </c>
      <c r="AB377" s="10" t="s">
        <v>66</v>
      </c>
      <c r="AC377" s="10" t="s">
        <v>55</v>
      </c>
      <c r="AD377" s="10" t="str">
        <f>IFERROR(VLOOKUP(B377,'Regiões Administrativas'!$A$1:$B$646,2,0),"")</f>
        <v>RMSP</v>
      </c>
      <c r="AE377" s="10">
        <f>IFERROR(VLOOKUP(Form_Responses[[#This Row],[Município]],'Regiões Administrativas'!$A$1:$I$646,3,0),"")</f>
        <v>15977</v>
      </c>
      <c r="AF377" s="10">
        <f>IFERROR(VLOOKUP(Form_Responses[[#This Row],[Município]],'Regiões Administrativas'!$A$1:$I$646,4,0),"")</f>
        <v>351880005000001</v>
      </c>
      <c r="AG377" s="10">
        <f>IFERROR(VLOOKUP(Form_Responses[[#This Row],[Município]],'Regiões Administrativas'!$A$1:$I$646,4,0),"")</f>
        <v>351880005000001</v>
      </c>
      <c r="AH377" s="10">
        <f>IFERROR(VLOOKUP(B377,'Regiões Administrativas'!$A$1:$I$646,5,0),"")</f>
        <v>3518800</v>
      </c>
      <c r="AI377" s="10">
        <f>IFERROR(VLOOKUP(B377,'Regiões Administrativas'!$A$1:$I$646,6,0),"")</f>
        <v>-46.531084100000001</v>
      </c>
      <c r="AJ377" s="10">
        <f>IFERROR(VLOOKUP(B377,'Regiões Administrativas'!$A$1:$I$646,8,0),"")</f>
        <v>776.35806200000002</v>
      </c>
      <c r="AK377" s="10" t="str">
        <f>IFERROR(VLOOKUP(Form_Responses[[#This Row],[Município]],'Regiões Administrativas'!$A$1:$I$646,9,0),"")</f>
        <v>1J6to1J*4;^f</v>
      </c>
    </row>
    <row r="378" spans="1:37" ht="22.5" customHeight="1">
      <c r="A378" s="15">
        <v>46042.644139780095</v>
      </c>
      <c r="B378" s="10" t="s">
        <v>2016</v>
      </c>
      <c r="C378" s="10" t="s">
        <v>1109</v>
      </c>
      <c r="D378" s="10" t="s">
        <v>2017</v>
      </c>
      <c r="E378" s="10" t="s">
        <v>2018</v>
      </c>
      <c r="G378" s="10" t="s">
        <v>2019</v>
      </c>
      <c r="I378" s="10" t="s">
        <v>267</v>
      </c>
      <c r="J378" s="16">
        <v>46038</v>
      </c>
      <c r="K378" s="16">
        <v>46053</v>
      </c>
      <c r="L378" s="17">
        <v>0.79166666666424135</v>
      </c>
      <c r="M378" s="17">
        <v>0</v>
      </c>
      <c r="N378" s="10" t="s">
        <v>73</v>
      </c>
      <c r="O378" s="10" t="s">
        <v>45</v>
      </c>
      <c r="P378" s="10" t="s">
        <v>63</v>
      </c>
      <c r="Q378" s="10" t="s">
        <v>47</v>
      </c>
      <c r="R378" s="10" t="s">
        <v>74</v>
      </c>
      <c r="S378" s="10">
        <v>500</v>
      </c>
      <c r="W378" s="10" t="s">
        <v>2020</v>
      </c>
      <c r="Y378" s="10" t="s">
        <v>2021</v>
      </c>
      <c r="Z378" s="10" t="s">
        <v>76</v>
      </c>
      <c r="AA378" s="10" t="s">
        <v>225</v>
      </c>
      <c r="AB378" s="10" t="s">
        <v>66</v>
      </c>
      <c r="AC378" s="10" t="s">
        <v>68</v>
      </c>
      <c r="AD378" s="10" t="str">
        <f>IFERROR(VLOOKUP(B378,'Regiões Administrativas'!$A$1:$B$646,2,0),"")</f>
        <v>Campinas</v>
      </c>
      <c r="AE378" s="10">
        <f>IFERROR(VLOOKUP(Form_Responses[[#This Row],[Município]],'Regiões Administrativas'!$A$1:$I$646,3,0),"")</f>
        <v>15343</v>
      </c>
      <c r="AF378" s="10">
        <f>IFERROR(VLOOKUP(Form_Responses[[#This Row],[Município]],'Regiões Administrativas'!$A$1:$I$646,4,0),"")</f>
        <v>350060005000001</v>
      </c>
      <c r="AG378" s="10">
        <f>IFERROR(VLOOKUP(Form_Responses[[#This Row],[Município]],'Regiões Administrativas'!$A$1:$I$646,4,0),"")</f>
        <v>350060005000001</v>
      </c>
      <c r="AH378" s="10">
        <f>IFERROR(VLOOKUP(B378,'Regiões Administrativas'!$A$1:$I$646,5,0),"")</f>
        <v>3500600</v>
      </c>
      <c r="AI378" s="10">
        <f>IFERROR(VLOOKUP(B378,'Regiões Administrativas'!$A$1:$I$646,6,0),"")</f>
        <v>-47.883974700000003</v>
      </c>
      <c r="AJ378" s="10">
        <f>IFERROR(VLOOKUP(B378,'Regiões Administrativas'!$A$1:$I$646,8,0),"")</f>
        <v>515.23534299999994</v>
      </c>
      <c r="AK378" s="10" t="str">
        <f>IFERROR(VLOOKUP(Form_Responses[[#This Row],[Município]],'Regiões Administrativas'!$A$1:$I$646,9,0),"")</f>
        <v>1J6tHiP,SUj&gt;</v>
      </c>
    </row>
    <row r="379" spans="1:37" ht="22.5" customHeight="1">
      <c r="A379" s="15">
        <v>46042.647883611113</v>
      </c>
      <c r="B379" s="10" t="s">
        <v>2016</v>
      </c>
      <c r="C379" s="10" t="s">
        <v>1109</v>
      </c>
      <c r="D379" s="10" t="s">
        <v>2022</v>
      </c>
      <c r="E379" s="10" t="s">
        <v>2023</v>
      </c>
      <c r="G379" s="10" t="s">
        <v>2024</v>
      </c>
      <c r="I379" s="10" t="s">
        <v>267</v>
      </c>
      <c r="J379" s="16">
        <v>46039</v>
      </c>
      <c r="K379" s="16">
        <v>46053</v>
      </c>
      <c r="L379" s="17">
        <v>0.58333333333575865</v>
      </c>
      <c r="M379" s="17">
        <v>0.75</v>
      </c>
      <c r="N379" s="10" t="s">
        <v>98</v>
      </c>
      <c r="O379" s="10" t="s">
        <v>62</v>
      </c>
      <c r="P379" s="10" t="s">
        <v>63</v>
      </c>
      <c r="Q379" s="10" t="s">
        <v>47</v>
      </c>
      <c r="R379" s="10" t="s">
        <v>74</v>
      </c>
      <c r="S379" s="10">
        <v>100</v>
      </c>
      <c r="W379" s="10" t="s">
        <v>2020</v>
      </c>
      <c r="Y379" s="10" t="s">
        <v>2025</v>
      </c>
      <c r="Z379" s="10" t="s">
        <v>76</v>
      </c>
      <c r="AA379" s="10" t="s">
        <v>225</v>
      </c>
      <c r="AB379" s="10" t="s">
        <v>66</v>
      </c>
      <c r="AC379" s="10" t="s">
        <v>68</v>
      </c>
      <c r="AD379" s="10" t="str">
        <f>IFERROR(VLOOKUP(B379,'Regiões Administrativas'!$A$1:$B$646,2,0),"")</f>
        <v>Campinas</v>
      </c>
      <c r="AE379" s="10">
        <f>IFERROR(VLOOKUP(Form_Responses[[#This Row],[Município]],'Regiões Administrativas'!$A$1:$I$646,3,0),"")</f>
        <v>15343</v>
      </c>
      <c r="AF379" s="10">
        <f>IFERROR(VLOOKUP(Form_Responses[[#This Row],[Município]],'Regiões Administrativas'!$A$1:$I$646,4,0),"")</f>
        <v>350060005000001</v>
      </c>
      <c r="AG379" s="10">
        <f>IFERROR(VLOOKUP(Form_Responses[[#This Row],[Município]],'Regiões Administrativas'!$A$1:$I$646,4,0),"")</f>
        <v>350060005000001</v>
      </c>
      <c r="AH379" s="10">
        <f>IFERROR(VLOOKUP(B379,'Regiões Administrativas'!$A$1:$I$646,5,0),"")</f>
        <v>3500600</v>
      </c>
      <c r="AI379" s="10">
        <f>IFERROR(VLOOKUP(B379,'Regiões Administrativas'!$A$1:$I$646,6,0),"")</f>
        <v>-47.883974700000003</v>
      </c>
      <c r="AJ379" s="10">
        <f>IFERROR(VLOOKUP(B379,'Regiões Administrativas'!$A$1:$I$646,8,0),"")</f>
        <v>515.23534299999994</v>
      </c>
      <c r="AK379" s="10" t="str">
        <f>IFERROR(VLOOKUP(Form_Responses[[#This Row],[Município]],'Regiões Administrativas'!$A$1:$I$646,9,0),"")</f>
        <v>1J6tHiP,SUj&gt;</v>
      </c>
    </row>
    <row r="380" spans="1:37" ht="22.5" customHeight="1">
      <c r="A380" s="15">
        <v>46042.65086263889</v>
      </c>
      <c r="B380" s="10" t="s">
        <v>2016</v>
      </c>
      <c r="C380" s="10" t="s">
        <v>1109</v>
      </c>
      <c r="D380" s="10" t="s">
        <v>2026</v>
      </c>
      <c r="E380" s="10" t="s">
        <v>2027</v>
      </c>
      <c r="G380" s="10" t="s">
        <v>2019</v>
      </c>
      <c r="I380" s="10" t="s">
        <v>89</v>
      </c>
      <c r="J380" s="16">
        <v>46060</v>
      </c>
      <c r="K380" s="16">
        <v>46066</v>
      </c>
      <c r="L380" s="17">
        <v>0.79166666666424135</v>
      </c>
      <c r="M380" s="17">
        <v>0</v>
      </c>
      <c r="N380" s="10" t="s">
        <v>73</v>
      </c>
      <c r="O380" s="10" t="s">
        <v>45</v>
      </c>
      <c r="P380" s="10" t="s">
        <v>90</v>
      </c>
      <c r="Q380" s="10" t="s">
        <v>47</v>
      </c>
      <c r="R380" s="10" t="s">
        <v>74</v>
      </c>
      <c r="S380" s="10">
        <v>350</v>
      </c>
      <c r="W380" s="10" t="s">
        <v>2020</v>
      </c>
      <c r="Y380" s="10" t="s">
        <v>2025</v>
      </c>
      <c r="Z380" s="10" t="s">
        <v>66</v>
      </c>
      <c r="AA380" s="10" t="s">
        <v>225</v>
      </c>
      <c r="AB380" s="10" t="s">
        <v>66</v>
      </c>
      <c r="AC380" s="10" t="s">
        <v>68</v>
      </c>
      <c r="AD380" s="10" t="str">
        <f>IFERROR(VLOOKUP(B380,'Regiões Administrativas'!$A$1:$B$646,2,0),"")</f>
        <v>Campinas</v>
      </c>
      <c r="AE380" s="10">
        <f>IFERROR(VLOOKUP(Form_Responses[[#This Row],[Município]],'Regiões Administrativas'!$A$1:$I$646,3,0),"")</f>
        <v>15343</v>
      </c>
      <c r="AF380" s="10">
        <f>IFERROR(VLOOKUP(Form_Responses[[#This Row],[Município]],'Regiões Administrativas'!$A$1:$I$646,4,0),"")</f>
        <v>350060005000001</v>
      </c>
      <c r="AG380" s="10">
        <f>IFERROR(VLOOKUP(Form_Responses[[#This Row],[Município]],'Regiões Administrativas'!$A$1:$I$646,4,0),"")</f>
        <v>350060005000001</v>
      </c>
      <c r="AH380" s="10">
        <f>IFERROR(VLOOKUP(B380,'Regiões Administrativas'!$A$1:$I$646,5,0),"")</f>
        <v>3500600</v>
      </c>
      <c r="AI380" s="10">
        <f>IFERROR(VLOOKUP(B380,'Regiões Administrativas'!$A$1:$I$646,6,0),"")</f>
        <v>-47.883974700000003</v>
      </c>
      <c r="AJ380" s="10">
        <f>IFERROR(VLOOKUP(B380,'Regiões Administrativas'!$A$1:$I$646,8,0),"")</f>
        <v>515.23534299999994</v>
      </c>
      <c r="AK380" s="10" t="str">
        <f>IFERROR(VLOOKUP(Form_Responses[[#This Row],[Município]],'Regiões Administrativas'!$A$1:$I$646,9,0),"")</f>
        <v>1J6tHiP,SUj&gt;</v>
      </c>
    </row>
    <row r="381" spans="1:37" ht="22.5" customHeight="1">
      <c r="A381" s="15">
        <v>46042.654399328705</v>
      </c>
      <c r="B381" s="10" t="s">
        <v>2016</v>
      </c>
      <c r="C381" s="10" t="s">
        <v>1109</v>
      </c>
      <c r="D381" s="10" t="s">
        <v>2028</v>
      </c>
      <c r="E381" s="10" t="s">
        <v>2029</v>
      </c>
      <c r="G381" s="10" t="s">
        <v>2024</v>
      </c>
      <c r="I381" s="10" t="s">
        <v>89</v>
      </c>
      <c r="J381" s="16">
        <v>46074</v>
      </c>
      <c r="K381" s="16">
        <v>46075</v>
      </c>
      <c r="L381" s="17">
        <v>0.375</v>
      </c>
      <c r="M381" s="17">
        <v>0.875</v>
      </c>
      <c r="N381" s="10" t="s">
        <v>61</v>
      </c>
      <c r="O381" s="10" t="s">
        <v>62</v>
      </c>
      <c r="P381" s="10" t="s">
        <v>63</v>
      </c>
      <c r="Q381" s="10" t="s">
        <v>47</v>
      </c>
      <c r="R381" s="10" t="s">
        <v>256</v>
      </c>
      <c r="S381" s="10">
        <v>200</v>
      </c>
      <c r="W381" s="10" t="s">
        <v>2020</v>
      </c>
      <c r="Y381" s="10" t="s">
        <v>2025</v>
      </c>
      <c r="Z381" s="10" t="s">
        <v>66</v>
      </c>
      <c r="AA381" s="10" t="s">
        <v>225</v>
      </c>
      <c r="AB381" s="10" t="s">
        <v>66</v>
      </c>
      <c r="AC381" s="10" t="s">
        <v>68</v>
      </c>
      <c r="AD381" s="10" t="str">
        <f>IFERROR(VLOOKUP(B381,'Regiões Administrativas'!$A$1:$B$646,2,0),"")</f>
        <v>Campinas</v>
      </c>
      <c r="AE381" s="10">
        <f>IFERROR(VLOOKUP(Form_Responses[[#This Row],[Município]],'Regiões Administrativas'!$A$1:$I$646,3,0),"")</f>
        <v>15343</v>
      </c>
      <c r="AF381" s="10">
        <f>IFERROR(VLOOKUP(Form_Responses[[#This Row],[Município]],'Regiões Administrativas'!$A$1:$I$646,4,0),"")</f>
        <v>350060005000001</v>
      </c>
      <c r="AG381" s="10">
        <f>IFERROR(VLOOKUP(Form_Responses[[#This Row],[Município]],'Regiões Administrativas'!$A$1:$I$646,4,0),"")</f>
        <v>350060005000001</v>
      </c>
      <c r="AH381" s="10">
        <f>IFERROR(VLOOKUP(B381,'Regiões Administrativas'!$A$1:$I$646,5,0),"")</f>
        <v>3500600</v>
      </c>
      <c r="AI381" s="10">
        <f>IFERROR(VLOOKUP(B381,'Regiões Administrativas'!$A$1:$I$646,6,0),"")</f>
        <v>-47.883974700000003</v>
      </c>
      <c r="AJ381" s="10">
        <f>IFERROR(VLOOKUP(B381,'Regiões Administrativas'!$A$1:$I$646,8,0),"")</f>
        <v>515.23534299999994</v>
      </c>
      <c r="AK381" s="10" t="str">
        <f>IFERROR(VLOOKUP(Form_Responses[[#This Row],[Município]],'Regiões Administrativas'!$A$1:$I$646,9,0),"")</f>
        <v>1J6tHiP,SUj&gt;</v>
      </c>
    </row>
    <row r="382" spans="1:37" ht="22.5" customHeight="1">
      <c r="A382" s="15">
        <v>46042.657007500005</v>
      </c>
      <c r="B382" s="10" t="s">
        <v>2016</v>
      </c>
      <c r="C382" s="10" t="s">
        <v>1109</v>
      </c>
      <c r="D382" s="10" t="s">
        <v>2030</v>
      </c>
      <c r="E382" s="10" t="s">
        <v>2031</v>
      </c>
      <c r="G382" s="10" t="s">
        <v>2019</v>
      </c>
      <c r="I382" s="10" t="s">
        <v>89</v>
      </c>
      <c r="J382" s="16">
        <v>46081</v>
      </c>
      <c r="K382" s="16">
        <v>46082</v>
      </c>
      <c r="L382" s="17">
        <v>0.41666666666424135</v>
      </c>
      <c r="M382" s="17">
        <v>0.83333333333575865</v>
      </c>
      <c r="N382" s="10" t="s">
        <v>268</v>
      </c>
      <c r="O382" s="10" t="s">
        <v>45</v>
      </c>
      <c r="P382" s="10" t="s">
        <v>99</v>
      </c>
      <c r="Q382" s="10" t="s">
        <v>47</v>
      </c>
      <c r="R382" s="10" t="s">
        <v>256</v>
      </c>
      <c r="S382" s="10">
        <v>500</v>
      </c>
      <c r="W382" s="10" t="s">
        <v>2032</v>
      </c>
      <c r="Y382" s="10" t="s">
        <v>2025</v>
      </c>
      <c r="Z382" s="10" t="s">
        <v>66</v>
      </c>
      <c r="AA382" s="10" t="s">
        <v>225</v>
      </c>
      <c r="AB382" s="10" t="s">
        <v>66</v>
      </c>
      <c r="AC382" s="10" t="s">
        <v>68</v>
      </c>
      <c r="AD382" s="10" t="str">
        <f>IFERROR(VLOOKUP(B382,'Regiões Administrativas'!$A$1:$B$646,2,0),"")</f>
        <v>Campinas</v>
      </c>
      <c r="AE382" s="10">
        <f>IFERROR(VLOOKUP(Form_Responses[[#This Row],[Município]],'Regiões Administrativas'!$A$1:$I$646,3,0),"")</f>
        <v>15343</v>
      </c>
      <c r="AF382" s="10">
        <f>IFERROR(VLOOKUP(Form_Responses[[#This Row],[Município]],'Regiões Administrativas'!$A$1:$I$646,4,0),"")</f>
        <v>350060005000001</v>
      </c>
      <c r="AG382" s="10">
        <f>IFERROR(VLOOKUP(Form_Responses[[#This Row],[Município]],'Regiões Administrativas'!$A$1:$I$646,4,0),"")</f>
        <v>350060005000001</v>
      </c>
      <c r="AH382" s="10">
        <f>IFERROR(VLOOKUP(B382,'Regiões Administrativas'!$A$1:$I$646,5,0),"")</f>
        <v>3500600</v>
      </c>
      <c r="AI382" s="10">
        <f>IFERROR(VLOOKUP(B382,'Regiões Administrativas'!$A$1:$I$646,6,0),"")</f>
        <v>-47.883974700000003</v>
      </c>
      <c r="AJ382" s="10">
        <f>IFERROR(VLOOKUP(B382,'Regiões Administrativas'!$A$1:$I$646,8,0),"")</f>
        <v>515.23534299999994</v>
      </c>
      <c r="AK382" s="10" t="str">
        <f>IFERROR(VLOOKUP(Form_Responses[[#This Row],[Município]],'Regiões Administrativas'!$A$1:$I$646,9,0),"")</f>
        <v>1J6tHiP,SUj&gt;</v>
      </c>
    </row>
    <row r="383" spans="1:37" ht="22.5" customHeight="1">
      <c r="A383" s="15">
        <v>46042.659860567132</v>
      </c>
      <c r="B383" s="10" t="s">
        <v>2016</v>
      </c>
      <c r="C383" s="10" t="s">
        <v>1109</v>
      </c>
      <c r="D383" s="10" t="s">
        <v>2033</v>
      </c>
      <c r="E383" s="10" t="s">
        <v>2034</v>
      </c>
      <c r="G383" s="10" t="s">
        <v>2019</v>
      </c>
      <c r="I383" s="10" t="s">
        <v>109</v>
      </c>
      <c r="J383" s="16">
        <v>46082</v>
      </c>
      <c r="K383" s="16">
        <v>46082</v>
      </c>
      <c r="L383" s="17">
        <v>0.41666666666424135</v>
      </c>
      <c r="M383" s="17">
        <v>0.58333333333575865</v>
      </c>
      <c r="N383" s="10" t="s">
        <v>61</v>
      </c>
      <c r="O383" s="10" t="s">
        <v>62</v>
      </c>
      <c r="P383" s="10" t="s">
        <v>63</v>
      </c>
      <c r="Q383" s="10" t="s">
        <v>47</v>
      </c>
      <c r="R383" s="10" t="s">
        <v>1002</v>
      </c>
      <c r="S383" s="10">
        <v>200</v>
      </c>
      <c r="W383" s="10" t="s">
        <v>2020</v>
      </c>
      <c r="Y383" s="10" t="s">
        <v>2025</v>
      </c>
      <c r="Z383" s="10" t="s">
        <v>66</v>
      </c>
      <c r="AA383" s="10" t="s">
        <v>225</v>
      </c>
      <c r="AB383" s="10" t="s">
        <v>66</v>
      </c>
      <c r="AC383" s="10" t="s">
        <v>68</v>
      </c>
      <c r="AD383" s="10" t="str">
        <f>IFERROR(VLOOKUP(B383,'Regiões Administrativas'!$A$1:$B$646,2,0),"")</f>
        <v>Campinas</v>
      </c>
      <c r="AE383" s="10">
        <f>IFERROR(VLOOKUP(Form_Responses[[#This Row],[Município]],'Regiões Administrativas'!$A$1:$I$646,3,0),"")</f>
        <v>15343</v>
      </c>
      <c r="AF383" s="10">
        <f>IFERROR(VLOOKUP(Form_Responses[[#This Row],[Município]],'Regiões Administrativas'!$A$1:$I$646,4,0),"")</f>
        <v>350060005000001</v>
      </c>
      <c r="AG383" s="10">
        <f>IFERROR(VLOOKUP(Form_Responses[[#This Row],[Município]],'Regiões Administrativas'!$A$1:$I$646,4,0),"")</f>
        <v>350060005000001</v>
      </c>
      <c r="AH383" s="10">
        <f>IFERROR(VLOOKUP(B383,'Regiões Administrativas'!$A$1:$I$646,5,0),"")</f>
        <v>3500600</v>
      </c>
      <c r="AI383" s="10">
        <f>IFERROR(VLOOKUP(B383,'Regiões Administrativas'!$A$1:$I$646,6,0),"")</f>
        <v>-47.883974700000003</v>
      </c>
      <c r="AJ383" s="10">
        <f>IFERROR(VLOOKUP(B383,'Regiões Administrativas'!$A$1:$I$646,8,0),"")</f>
        <v>515.23534299999994</v>
      </c>
      <c r="AK383" s="10" t="str">
        <f>IFERROR(VLOOKUP(Form_Responses[[#This Row],[Município]],'Regiões Administrativas'!$A$1:$I$646,9,0),"")</f>
        <v>1J6tHiP,SUj&gt;</v>
      </c>
    </row>
    <row r="384" spans="1:37" ht="22.5" customHeight="1">
      <c r="A384" s="15">
        <v>46042.663169629624</v>
      </c>
      <c r="B384" s="10" t="s">
        <v>2016</v>
      </c>
      <c r="C384" s="10" t="s">
        <v>1109</v>
      </c>
      <c r="D384" s="10" t="s">
        <v>2035</v>
      </c>
      <c r="E384" s="10" t="s">
        <v>2036</v>
      </c>
      <c r="G384" s="10" t="s">
        <v>2019</v>
      </c>
      <c r="I384" s="10" t="s">
        <v>109</v>
      </c>
      <c r="J384" s="16">
        <v>46083</v>
      </c>
      <c r="K384" s="16">
        <v>46089</v>
      </c>
      <c r="L384" s="17">
        <v>0.375</v>
      </c>
      <c r="M384" s="17">
        <v>0.75</v>
      </c>
      <c r="N384" s="10" t="s">
        <v>641</v>
      </c>
      <c r="O384" s="10" t="s">
        <v>45</v>
      </c>
      <c r="P384" s="10" t="s">
        <v>63</v>
      </c>
      <c r="Q384" s="10" t="s">
        <v>47</v>
      </c>
      <c r="R384" s="10" t="s">
        <v>256</v>
      </c>
      <c r="S384" s="10">
        <v>250</v>
      </c>
      <c r="W384" s="10" t="s">
        <v>2020</v>
      </c>
      <c r="Y384" s="10" t="s">
        <v>2025</v>
      </c>
      <c r="Z384" s="10" t="s">
        <v>76</v>
      </c>
      <c r="AA384" s="10" t="s">
        <v>225</v>
      </c>
      <c r="AB384" s="10" t="s">
        <v>66</v>
      </c>
      <c r="AC384" s="10" t="s">
        <v>68</v>
      </c>
      <c r="AD384" s="10" t="str">
        <f>IFERROR(VLOOKUP(B384,'Regiões Administrativas'!$A$1:$B$646,2,0),"")</f>
        <v>Campinas</v>
      </c>
      <c r="AE384" s="10">
        <f>IFERROR(VLOOKUP(Form_Responses[[#This Row],[Município]],'Regiões Administrativas'!$A$1:$I$646,3,0),"")</f>
        <v>15343</v>
      </c>
      <c r="AF384" s="10">
        <f>IFERROR(VLOOKUP(Form_Responses[[#This Row],[Município]],'Regiões Administrativas'!$A$1:$I$646,4,0),"")</f>
        <v>350060005000001</v>
      </c>
      <c r="AG384" s="10">
        <f>IFERROR(VLOOKUP(Form_Responses[[#This Row],[Município]],'Regiões Administrativas'!$A$1:$I$646,4,0),"")</f>
        <v>350060005000001</v>
      </c>
      <c r="AH384" s="10">
        <f>IFERROR(VLOOKUP(B384,'Regiões Administrativas'!$A$1:$I$646,5,0),"")</f>
        <v>3500600</v>
      </c>
      <c r="AI384" s="10">
        <f>IFERROR(VLOOKUP(B384,'Regiões Administrativas'!$A$1:$I$646,6,0),"")</f>
        <v>-47.883974700000003</v>
      </c>
      <c r="AJ384" s="10">
        <f>IFERROR(VLOOKUP(B384,'Regiões Administrativas'!$A$1:$I$646,8,0),"")</f>
        <v>515.23534299999994</v>
      </c>
      <c r="AK384" s="10" t="str">
        <f>IFERROR(VLOOKUP(Form_Responses[[#This Row],[Município]],'Regiões Administrativas'!$A$1:$I$646,9,0),"")</f>
        <v>1J6tHiP,SUj&gt;</v>
      </c>
    </row>
    <row r="385" spans="1:37" ht="22.5" customHeight="1">
      <c r="A385" s="15">
        <v>46042.667640567131</v>
      </c>
      <c r="B385" s="10" t="s">
        <v>2016</v>
      </c>
      <c r="C385" s="10" t="s">
        <v>1109</v>
      </c>
      <c r="D385" s="10" t="s">
        <v>2037</v>
      </c>
      <c r="E385" s="10" t="s">
        <v>2038</v>
      </c>
      <c r="G385" s="10" t="s">
        <v>2039</v>
      </c>
      <c r="I385" s="10" t="s">
        <v>109</v>
      </c>
      <c r="J385" s="16">
        <v>46087</v>
      </c>
      <c r="K385" s="16">
        <v>46089</v>
      </c>
      <c r="L385" s="17">
        <v>0.5</v>
      </c>
      <c r="M385" s="17">
        <v>0</v>
      </c>
      <c r="N385" s="10" t="s">
        <v>268</v>
      </c>
      <c r="O385" s="10" t="s">
        <v>62</v>
      </c>
      <c r="P385" s="10" t="s">
        <v>63</v>
      </c>
      <c r="Q385" s="10" t="s">
        <v>47</v>
      </c>
      <c r="R385" s="10" t="s">
        <v>74</v>
      </c>
      <c r="S385" s="10">
        <v>1000</v>
      </c>
      <c r="W385" s="10" t="s">
        <v>2020</v>
      </c>
      <c r="Y385" s="10" t="s">
        <v>2025</v>
      </c>
      <c r="Z385" s="10" t="s">
        <v>76</v>
      </c>
      <c r="AA385" s="10" t="s">
        <v>225</v>
      </c>
      <c r="AB385" s="10" t="s">
        <v>66</v>
      </c>
      <c r="AC385" s="10" t="s">
        <v>68</v>
      </c>
      <c r="AD385" s="10" t="str">
        <f>IFERROR(VLOOKUP(B385,'Regiões Administrativas'!$A$1:$B$646,2,0),"")</f>
        <v>Campinas</v>
      </c>
      <c r="AE385" s="10">
        <f>IFERROR(VLOOKUP(Form_Responses[[#This Row],[Município]],'Regiões Administrativas'!$A$1:$I$646,3,0),"")</f>
        <v>15343</v>
      </c>
      <c r="AF385" s="10">
        <f>IFERROR(VLOOKUP(Form_Responses[[#This Row],[Município]],'Regiões Administrativas'!$A$1:$I$646,4,0),"")</f>
        <v>350060005000001</v>
      </c>
      <c r="AG385" s="10">
        <f>IFERROR(VLOOKUP(Form_Responses[[#This Row],[Município]],'Regiões Administrativas'!$A$1:$I$646,4,0),"")</f>
        <v>350060005000001</v>
      </c>
      <c r="AH385" s="10">
        <f>IFERROR(VLOOKUP(B385,'Regiões Administrativas'!$A$1:$I$646,5,0),"")</f>
        <v>3500600</v>
      </c>
      <c r="AI385" s="10">
        <f>IFERROR(VLOOKUP(B385,'Regiões Administrativas'!$A$1:$I$646,6,0),"")</f>
        <v>-47.883974700000003</v>
      </c>
      <c r="AJ385" s="10">
        <f>IFERROR(VLOOKUP(B385,'Regiões Administrativas'!$A$1:$I$646,8,0),"")</f>
        <v>515.23534299999994</v>
      </c>
      <c r="AK385" s="10" t="str">
        <f>IFERROR(VLOOKUP(Form_Responses[[#This Row],[Município]],'Regiões Administrativas'!$A$1:$I$646,9,0),"")</f>
        <v>1J6tHiP,SUj&gt;</v>
      </c>
    </row>
    <row r="386" spans="1:37" ht="22.5" customHeight="1">
      <c r="A386" s="15">
        <v>46042.684492395834</v>
      </c>
      <c r="B386" s="10" t="s">
        <v>2016</v>
      </c>
      <c r="C386" s="10" t="s">
        <v>1109</v>
      </c>
      <c r="D386" s="10" t="s">
        <v>2040</v>
      </c>
      <c r="E386" s="10" t="s">
        <v>2041</v>
      </c>
      <c r="G386" s="10" t="s">
        <v>2042</v>
      </c>
      <c r="I386" s="10" t="s">
        <v>109</v>
      </c>
      <c r="J386" s="16">
        <v>46087</v>
      </c>
      <c r="K386" s="16">
        <v>46196</v>
      </c>
      <c r="L386" s="17">
        <v>0.41666666666424135</v>
      </c>
      <c r="M386" s="17">
        <v>0.83333333333575865</v>
      </c>
      <c r="N386" s="10" t="s">
        <v>61</v>
      </c>
      <c r="O386" s="10" t="s">
        <v>62</v>
      </c>
      <c r="P386" s="10" t="s">
        <v>63</v>
      </c>
      <c r="Q386" s="10" t="s">
        <v>47</v>
      </c>
      <c r="R386" s="10" t="s">
        <v>256</v>
      </c>
      <c r="S386" s="10">
        <v>200</v>
      </c>
      <c r="W386" s="10" t="s">
        <v>2032</v>
      </c>
      <c r="Y386" s="72" t="s">
        <v>2043</v>
      </c>
      <c r="Z386" s="10" t="s">
        <v>66</v>
      </c>
      <c r="AA386" s="10" t="s">
        <v>66</v>
      </c>
      <c r="AB386" s="10" t="s">
        <v>66</v>
      </c>
      <c r="AC386" s="10" t="s">
        <v>68</v>
      </c>
      <c r="AD386" s="10" t="str">
        <f>IFERROR(VLOOKUP(B386,'Regiões Administrativas'!$A$1:$B$646,2,0),"")</f>
        <v>Campinas</v>
      </c>
      <c r="AE386" s="10">
        <f>IFERROR(VLOOKUP(Form_Responses[[#This Row],[Município]],'Regiões Administrativas'!$A$1:$I$646,3,0),"")</f>
        <v>15343</v>
      </c>
      <c r="AF386" s="10">
        <f>IFERROR(VLOOKUP(Form_Responses[[#This Row],[Município]],'Regiões Administrativas'!$A$1:$I$646,4,0),"")</f>
        <v>350060005000001</v>
      </c>
      <c r="AG386" s="10">
        <f>IFERROR(VLOOKUP(Form_Responses[[#This Row],[Município]],'Regiões Administrativas'!$A$1:$I$646,4,0),"")</f>
        <v>350060005000001</v>
      </c>
      <c r="AH386" s="10">
        <f>IFERROR(VLOOKUP(B386,'Regiões Administrativas'!$A$1:$I$646,5,0),"")</f>
        <v>3500600</v>
      </c>
      <c r="AI386" s="10">
        <f>IFERROR(VLOOKUP(B386,'Regiões Administrativas'!$A$1:$I$646,6,0),"")</f>
        <v>-47.883974700000003</v>
      </c>
      <c r="AJ386" s="10">
        <f>IFERROR(VLOOKUP(B386,'Regiões Administrativas'!$A$1:$I$646,8,0),"")</f>
        <v>515.23534299999994</v>
      </c>
      <c r="AK386" s="10" t="str">
        <f>IFERROR(VLOOKUP(Form_Responses[[#This Row],[Município]],'Regiões Administrativas'!$A$1:$I$646,9,0),"")</f>
        <v>1J6tHiP,SUj&gt;</v>
      </c>
    </row>
    <row r="387" spans="1:37" ht="22.5" customHeight="1">
      <c r="A387" s="15">
        <v>46042.686518009257</v>
      </c>
      <c r="B387" s="10" t="s">
        <v>2016</v>
      </c>
      <c r="C387" s="10" t="s">
        <v>1109</v>
      </c>
      <c r="D387" s="10" t="s">
        <v>2044</v>
      </c>
      <c r="E387" s="10" t="s">
        <v>2045</v>
      </c>
      <c r="G387" s="10" t="s">
        <v>2046</v>
      </c>
      <c r="I387" s="10" t="s">
        <v>109</v>
      </c>
      <c r="J387" s="16">
        <v>46096</v>
      </c>
      <c r="K387" s="16">
        <v>46096</v>
      </c>
      <c r="L387" s="17">
        <v>0.33333333333575865</v>
      </c>
      <c r="M387" s="17">
        <v>0.5</v>
      </c>
      <c r="N387" s="10" t="s">
        <v>61</v>
      </c>
      <c r="O387" s="10" t="s">
        <v>62</v>
      </c>
      <c r="P387" s="10" t="s">
        <v>63</v>
      </c>
      <c r="Q387" s="10" t="s">
        <v>47</v>
      </c>
      <c r="R387" s="10" t="s">
        <v>1002</v>
      </c>
      <c r="S387" s="10">
        <v>250</v>
      </c>
      <c r="W387" s="10" t="s">
        <v>2020</v>
      </c>
      <c r="Y387" s="10" t="s">
        <v>2025</v>
      </c>
      <c r="Z387" s="10" t="s">
        <v>66</v>
      </c>
      <c r="AA387" s="10" t="s">
        <v>66</v>
      </c>
      <c r="AB387" s="10" t="s">
        <v>66</v>
      </c>
      <c r="AC387" s="10" t="s">
        <v>68</v>
      </c>
      <c r="AD387" s="10" t="str">
        <f>IFERROR(VLOOKUP(B387,'Regiões Administrativas'!$A$1:$B$646,2,0),"")</f>
        <v>Campinas</v>
      </c>
      <c r="AE387" s="10">
        <f>IFERROR(VLOOKUP(Form_Responses[[#This Row],[Município]],'Regiões Administrativas'!$A$1:$I$646,3,0),"")</f>
        <v>15343</v>
      </c>
      <c r="AF387" s="10">
        <f>IFERROR(VLOOKUP(Form_Responses[[#This Row],[Município]],'Regiões Administrativas'!$A$1:$I$646,4,0),"")</f>
        <v>350060005000001</v>
      </c>
      <c r="AG387" s="10">
        <f>IFERROR(VLOOKUP(Form_Responses[[#This Row],[Município]],'Regiões Administrativas'!$A$1:$I$646,4,0),"")</f>
        <v>350060005000001</v>
      </c>
      <c r="AH387" s="10">
        <f>IFERROR(VLOOKUP(B387,'Regiões Administrativas'!$A$1:$I$646,5,0),"")</f>
        <v>3500600</v>
      </c>
      <c r="AI387" s="10">
        <f>IFERROR(VLOOKUP(B387,'Regiões Administrativas'!$A$1:$I$646,6,0),"")</f>
        <v>-47.883974700000003</v>
      </c>
      <c r="AJ387" s="10">
        <f>IFERROR(VLOOKUP(B387,'Regiões Administrativas'!$A$1:$I$646,8,0),"")</f>
        <v>515.23534299999994</v>
      </c>
      <c r="AK387" s="10" t="str">
        <f>IFERROR(VLOOKUP(Form_Responses[[#This Row],[Município]],'Regiões Administrativas'!$A$1:$I$646,9,0),"")</f>
        <v>1J6tHiP,SUj&gt;</v>
      </c>
    </row>
    <row r="388" spans="1:37" ht="22.5" customHeight="1">
      <c r="A388" s="15">
        <v>46042.691218472217</v>
      </c>
      <c r="B388" s="10" t="s">
        <v>2016</v>
      </c>
      <c r="C388" s="10" t="s">
        <v>1109</v>
      </c>
      <c r="D388" s="10" t="s">
        <v>2047</v>
      </c>
      <c r="E388" s="10" t="s">
        <v>2048</v>
      </c>
      <c r="G388" s="10" t="s">
        <v>2019</v>
      </c>
      <c r="I388" s="10" t="s">
        <v>109</v>
      </c>
      <c r="J388" s="16">
        <v>46102</v>
      </c>
      <c r="K388" s="16">
        <v>46117</v>
      </c>
      <c r="L388" s="17">
        <v>0.41666666666424135</v>
      </c>
      <c r="M388" s="17">
        <v>0.83333333333575865</v>
      </c>
      <c r="N388" s="10" t="s">
        <v>268</v>
      </c>
      <c r="O388" s="10" t="s">
        <v>45</v>
      </c>
      <c r="P388" s="10" t="s">
        <v>480</v>
      </c>
      <c r="Q388" s="10" t="s">
        <v>47</v>
      </c>
      <c r="R388" s="10" t="s">
        <v>74</v>
      </c>
      <c r="S388" s="10">
        <v>1000</v>
      </c>
      <c r="W388" s="10" t="s">
        <v>2032</v>
      </c>
      <c r="Y388" s="10" t="s">
        <v>2049</v>
      </c>
      <c r="Z388" s="10" t="s">
        <v>66</v>
      </c>
      <c r="AA388" s="10" t="s">
        <v>225</v>
      </c>
      <c r="AB388" s="10" t="s">
        <v>66</v>
      </c>
      <c r="AC388" s="10" t="s">
        <v>68</v>
      </c>
      <c r="AD388" s="10" t="str">
        <f>IFERROR(VLOOKUP(B388,'Regiões Administrativas'!$A$1:$B$646,2,0),"")</f>
        <v>Campinas</v>
      </c>
      <c r="AE388" s="10">
        <f>IFERROR(VLOOKUP(Form_Responses[[#This Row],[Município]],'Regiões Administrativas'!$A$1:$I$646,3,0),"")</f>
        <v>15343</v>
      </c>
      <c r="AF388" s="10">
        <f>IFERROR(VLOOKUP(Form_Responses[[#This Row],[Município]],'Regiões Administrativas'!$A$1:$I$646,4,0),"")</f>
        <v>350060005000001</v>
      </c>
      <c r="AG388" s="10">
        <f>IFERROR(VLOOKUP(Form_Responses[[#This Row],[Município]],'Regiões Administrativas'!$A$1:$I$646,4,0),"")</f>
        <v>350060005000001</v>
      </c>
      <c r="AH388" s="10">
        <f>IFERROR(VLOOKUP(B388,'Regiões Administrativas'!$A$1:$I$646,5,0),"")</f>
        <v>3500600</v>
      </c>
      <c r="AI388" s="10">
        <f>IFERROR(VLOOKUP(B388,'Regiões Administrativas'!$A$1:$I$646,6,0),"")</f>
        <v>-47.883974700000003</v>
      </c>
      <c r="AJ388" s="10">
        <f>IFERROR(VLOOKUP(B388,'Regiões Administrativas'!$A$1:$I$646,8,0),"")</f>
        <v>515.23534299999994</v>
      </c>
      <c r="AK388" s="10" t="str">
        <f>IFERROR(VLOOKUP(Form_Responses[[#This Row],[Município]],'Regiões Administrativas'!$A$1:$I$646,9,0),"")</f>
        <v>1J6tHiP,SUj&gt;</v>
      </c>
    </row>
    <row r="389" spans="1:37" ht="22.5" customHeight="1">
      <c r="A389" s="15">
        <v>46042.693090891204</v>
      </c>
      <c r="B389" s="10" t="s">
        <v>2016</v>
      </c>
      <c r="C389" s="10" t="s">
        <v>1109</v>
      </c>
      <c r="D389" s="10" t="s">
        <v>2050</v>
      </c>
      <c r="E389" s="10" t="s">
        <v>2051</v>
      </c>
      <c r="G389" s="10" t="s">
        <v>2046</v>
      </c>
      <c r="I389" s="10" t="s">
        <v>128</v>
      </c>
      <c r="J389" s="16">
        <v>46122</v>
      </c>
      <c r="K389" s="16">
        <v>46122</v>
      </c>
      <c r="L389" s="17">
        <v>0.58333333333575865</v>
      </c>
      <c r="M389" s="17">
        <v>0.83333333333575865</v>
      </c>
      <c r="N389" s="10" t="s">
        <v>268</v>
      </c>
      <c r="O389" s="10" t="s">
        <v>45</v>
      </c>
      <c r="P389" s="10" t="s">
        <v>63</v>
      </c>
      <c r="Q389" s="10" t="s">
        <v>47</v>
      </c>
      <c r="R389" s="10" t="s">
        <v>74</v>
      </c>
      <c r="S389" s="10">
        <v>500</v>
      </c>
      <c r="W389" s="10" t="s">
        <v>2032</v>
      </c>
      <c r="Y389" s="10" t="s">
        <v>2025</v>
      </c>
      <c r="Z389" s="10" t="s">
        <v>66</v>
      </c>
      <c r="AA389" s="10" t="s">
        <v>225</v>
      </c>
      <c r="AB389" s="10" t="s">
        <v>66</v>
      </c>
      <c r="AC389" s="10" t="s">
        <v>68</v>
      </c>
      <c r="AD389" s="10" t="str">
        <f>IFERROR(VLOOKUP(B389,'Regiões Administrativas'!$A$1:$B$646,2,0),"")</f>
        <v>Campinas</v>
      </c>
      <c r="AE389" s="10">
        <f>IFERROR(VLOOKUP(Form_Responses[[#This Row],[Município]],'Regiões Administrativas'!$A$1:$I$646,3,0),"")</f>
        <v>15343</v>
      </c>
      <c r="AF389" s="10">
        <f>IFERROR(VLOOKUP(Form_Responses[[#This Row],[Município]],'Regiões Administrativas'!$A$1:$I$646,4,0),"")</f>
        <v>350060005000001</v>
      </c>
      <c r="AG389" s="10">
        <f>IFERROR(VLOOKUP(Form_Responses[[#This Row],[Município]],'Regiões Administrativas'!$A$1:$I$646,4,0),"")</f>
        <v>350060005000001</v>
      </c>
      <c r="AH389" s="10">
        <f>IFERROR(VLOOKUP(B389,'Regiões Administrativas'!$A$1:$I$646,5,0),"")</f>
        <v>3500600</v>
      </c>
      <c r="AI389" s="10">
        <f>IFERROR(VLOOKUP(B389,'Regiões Administrativas'!$A$1:$I$646,6,0),"")</f>
        <v>-47.883974700000003</v>
      </c>
      <c r="AJ389" s="10">
        <f>IFERROR(VLOOKUP(B389,'Regiões Administrativas'!$A$1:$I$646,8,0),"")</f>
        <v>515.23534299999994</v>
      </c>
      <c r="AK389" s="10" t="str">
        <f>IFERROR(VLOOKUP(Form_Responses[[#This Row],[Município]],'Regiões Administrativas'!$A$1:$I$646,9,0),"")</f>
        <v>1J6tHiP,SUj&gt;</v>
      </c>
    </row>
    <row r="390" spans="1:37" ht="22.5" customHeight="1">
      <c r="A390" s="15">
        <v>46042.695128611114</v>
      </c>
      <c r="B390" s="10" t="s">
        <v>2016</v>
      </c>
      <c r="C390" s="10" t="s">
        <v>1109</v>
      </c>
      <c r="D390" s="10" t="s">
        <v>2052</v>
      </c>
      <c r="E390" s="10" t="s">
        <v>2053</v>
      </c>
      <c r="G390" s="10" t="s">
        <v>2046</v>
      </c>
      <c r="H390" s="10" t="s">
        <v>2054</v>
      </c>
      <c r="I390" s="10" t="s">
        <v>128</v>
      </c>
      <c r="J390" s="16">
        <v>46123</v>
      </c>
      <c r="K390" s="16">
        <v>46138</v>
      </c>
      <c r="L390" s="17">
        <v>0.41666666666424135</v>
      </c>
      <c r="M390" s="17">
        <v>0.83333333333575865</v>
      </c>
      <c r="N390" s="10" t="s">
        <v>268</v>
      </c>
      <c r="O390" s="10" t="s">
        <v>45</v>
      </c>
      <c r="P390" s="10" t="s">
        <v>63</v>
      </c>
      <c r="Q390" s="10" t="s">
        <v>47</v>
      </c>
      <c r="R390" s="10" t="s">
        <v>74</v>
      </c>
      <c r="S390" s="10">
        <v>500</v>
      </c>
      <c r="W390" s="10" t="s">
        <v>2020</v>
      </c>
      <c r="Y390" s="10" t="s">
        <v>2025</v>
      </c>
      <c r="Z390" s="10" t="s">
        <v>66</v>
      </c>
      <c r="AA390" s="10" t="s">
        <v>225</v>
      </c>
      <c r="AB390" s="10" t="s">
        <v>66</v>
      </c>
      <c r="AC390" s="10" t="s">
        <v>68</v>
      </c>
      <c r="AD390" s="10" t="str">
        <f>IFERROR(VLOOKUP(B390,'Regiões Administrativas'!$A$1:$B$646,2,0),"")</f>
        <v>Campinas</v>
      </c>
      <c r="AE390" s="10">
        <f>IFERROR(VLOOKUP(Form_Responses[[#This Row],[Município]],'Regiões Administrativas'!$A$1:$I$646,3,0),"")</f>
        <v>15343</v>
      </c>
      <c r="AF390" s="10">
        <f>IFERROR(VLOOKUP(Form_Responses[[#This Row],[Município]],'Regiões Administrativas'!$A$1:$I$646,4,0),"")</f>
        <v>350060005000001</v>
      </c>
      <c r="AG390" s="10">
        <f>IFERROR(VLOOKUP(Form_Responses[[#This Row],[Município]],'Regiões Administrativas'!$A$1:$I$646,4,0),"")</f>
        <v>350060005000001</v>
      </c>
      <c r="AH390" s="10">
        <f>IFERROR(VLOOKUP(B390,'Regiões Administrativas'!$A$1:$I$646,5,0),"")</f>
        <v>3500600</v>
      </c>
      <c r="AI390" s="10">
        <f>IFERROR(VLOOKUP(B390,'Regiões Administrativas'!$A$1:$I$646,6,0),"")</f>
        <v>-47.883974700000003</v>
      </c>
      <c r="AJ390" s="10">
        <f>IFERROR(VLOOKUP(B390,'Regiões Administrativas'!$A$1:$I$646,8,0),"")</f>
        <v>515.23534299999994</v>
      </c>
      <c r="AK390" s="10" t="str">
        <f>IFERROR(VLOOKUP(Form_Responses[[#This Row],[Município]],'Regiões Administrativas'!$A$1:$I$646,9,0),"")</f>
        <v>1J6tHiP,SUj&gt;</v>
      </c>
    </row>
    <row r="391" spans="1:37" ht="22.5" customHeight="1">
      <c r="A391" s="15">
        <v>46042.69657453704</v>
      </c>
      <c r="B391" s="10" t="s">
        <v>2016</v>
      </c>
      <c r="C391" s="10" t="s">
        <v>1109</v>
      </c>
      <c r="D391" s="10" t="s">
        <v>2055</v>
      </c>
      <c r="E391" s="10" t="s">
        <v>2056</v>
      </c>
      <c r="G391" s="10" t="s">
        <v>2046</v>
      </c>
      <c r="I391" s="10" t="s">
        <v>128</v>
      </c>
      <c r="J391" s="16">
        <v>46130</v>
      </c>
      <c r="K391" s="16">
        <v>46130</v>
      </c>
      <c r="L391" s="17">
        <v>0.83333333333575865</v>
      </c>
      <c r="M391" s="17">
        <v>0</v>
      </c>
      <c r="N391" s="10" t="s">
        <v>73</v>
      </c>
      <c r="O391" s="10" t="s">
        <v>45</v>
      </c>
      <c r="P391" s="10" t="s">
        <v>63</v>
      </c>
      <c r="Q391" s="10" t="s">
        <v>47</v>
      </c>
      <c r="R391" s="10" t="s">
        <v>256</v>
      </c>
      <c r="S391" s="10">
        <v>500</v>
      </c>
      <c r="W391" s="10" t="s">
        <v>2020</v>
      </c>
      <c r="Y391" s="10" t="s">
        <v>2025</v>
      </c>
      <c r="Z391" s="10" t="s">
        <v>76</v>
      </c>
      <c r="AA391" s="10" t="s">
        <v>225</v>
      </c>
      <c r="AB391" s="10" t="s">
        <v>66</v>
      </c>
      <c r="AC391" s="10" t="s">
        <v>68</v>
      </c>
      <c r="AD391" s="10" t="str">
        <f>IFERROR(VLOOKUP(B391,'Regiões Administrativas'!$A$1:$B$646,2,0),"")</f>
        <v>Campinas</v>
      </c>
      <c r="AE391" s="10">
        <f>IFERROR(VLOOKUP(Form_Responses[[#This Row],[Município]],'Regiões Administrativas'!$A$1:$I$646,3,0),"")</f>
        <v>15343</v>
      </c>
      <c r="AF391" s="10">
        <f>IFERROR(VLOOKUP(Form_Responses[[#This Row],[Município]],'Regiões Administrativas'!$A$1:$I$646,4,0),"")</f>
        <v>350060005000001</v>
      </c>
      <c r="AG391" s="10">
        <f>IFERROR(VLOOKUP(Form_Responses[[#This Row],[Município]],'Regiões Administrativas'!$A$1:$I$646,4,0),"")</f>
        <v>350060005000001</v>
      </c>
      <c r="AH391" s="10">
        <f>IFERROR(VLOOKUP(B391,'Regiões Administrativas'!$A$1:$I$646,5,0),"")</f>
        <v>3500600</v>
      </c>
      <c r="AI391" s="10">
        <f>IFERROR(VLOOKUP(B391,'Regiões Administrativas'!$A$1:$I$646,6,0),"")</f>
        <v>-47.883974700000003</v>
      </c>
      <c r="AJ391" s="10">
        <f>IFERROR(VLOOKUP(B391,'Regiões Administrativas'!$A$1:$I$646,8,0),"")</f>
        <v>515.23534299999994</v>
      </c>
      <c r="AK391" s="10" t="str">
        <f>IFERROR(VLOOKUP(Form_Responses[[#This Row],[Município]],'Regiões Administrativas'!$A$1:$I$646,9,0),"")</f>
        <v>1J6tHiP,SUj&gt;</v>
      </c>
    </row>
    <row r="392" spans="1:37" ht="22.5" customHeight="1">
      <c r="A392" s="15">
        <v>46042.699361377316</v>
      </c>
      <c r="B392" s="10" t="s">
        <v>2016</v>
      </c>
      <c r="C392" s="10" t="s">
        <v>1109</v>
      </c>
      <c r="D392" s="10" t="s">
        <v>2057</v>
      </c>
      <c r="E392" s="10" t="s">
        <v>2058</v>
      </c>
      <c r="G392" s="10" t="s">
        <v>2059</v>
      </c>
      <c r="I392" s="10" t="s">
        <v>128</v>
      </c>
      <c r="J392" s="16">
        <v>46132</v>
      </c>
      <c r="K392" s="16">
        <v>46133</v>
      </c>
      <c r="L392" s="17">
        <v>0.70833333333575865</v>
      </c>
      <c r="M392" s="17">
        <v>0</v>
      </c>
      <c r="N392" s="10" t="s">
        <v>268</v>
      </c>
      <c r="O392" s="10" t="s">
        <v>45</v>
      </c>
      <c r="P392" s="10" t="s">
        <v>63</v>
      </c>
      <c r="Q392" s="10" t="s">
        <v>47</v>
      </c>
      <c r="R392" s="10" t="s">
        <v>74</v>
      </c>
      <c r="S392" s="10">
        <v>500</v>
      </c>
      <c r="W392" s="10" t="s">
        <v>2032</v>
      </c>
      <c r="Y392" s="10" t="s">
        <v>2025</v>
      </c>
      <c r="Z392" s="10" t="s">
        <v>76</v>
      </c>
      <c r="AA392" s="10" t="s">
        <v>225</v>
      </c>
      <c r="AB392" s="10" t="s">
        <v>66</v>
      </c>
      <c r="AC392" s="10" t="s">
        <v>68</v>
      </c>
      <c r="AD392" s="10" t="str">
        <f>IFERROR(VLOOKUP(B392,'Regiões Administrativas'!$A$1:$B$646,2,0),"")</f>
        <v>Campinas</v>
      </c>
      <c r="AE392" s="10">
        <f>IFERROR(VLOOKUP(Form_Responses[[#This Row],[Município]],'Regiões Administrativas'!$A$1:$I$646,3,0),"")</f>
        <v>15343</v>
      </c>
      <c r="AF392" s="10">
        <f>IFERROR(VLOOKUP(Form_Responses[[#This Row],[Município]],'Regiões Administrativas'!$A$1:$I$646,4,0),"")</f>
        <v>350060005000001</v>
      </c>
      <c r="AG392" s="10">
        <f>IFERROR(VLOOKUP(Form_Responses[[#This Row],[Município]],'Regiões Administrativas'!$A$1:$I$646,4,0),"")</f>
        <v>350060005000001</v>
      </c>
      <c r="AH392" s="10">
        <f>IFERROR(VLOOKUP(B392,'Regiões Administrativas'!$A$1:$I$646,5,0),"")</f>
        <v>3500600</v>
      </c>
      <c r="AI392" s="10">
        <f>IFERROR(VLOOKUP(B392,'Regiões Administrativas'!$A$1:$I$646,6,0),"")</f>
        <v>-47.883974700000003</v>
      </c>
      <c r="AJ392" s="10">
        <f>IFERROR(VLOOKUP(B392,'Regiões Administrativas'!$A$1:$I$646,8,0),"")</f>
        <v>515.23534299999994</v>
      </c>
      <c r="AK392" s="10" t="str">
        <f>IFERROR(VLOOKUP(Form_Responses[[#This Row],[Município]],'Regiões Administrativas'!$A$1:$I$646,9,0),"")</f>
        <v>1J6tHiP,SUj&gt;</v>
      </c>
    </row>
    <row r="393" spans="1:37" ht="22.5" customHeight="1">
      <c r="A393" s="15">
        <v>46042.700887615742</v>
      </c>
      <c r="B393" s="10" t="s">
        <v>2016</v>
      </c>
      <c r="C393" s="10" t="s">
        <v>1109</v>
      </c>
      <c r="D393" s="10" t="s">
        <v>2060</v>
      </c>
      <c r="E393" s="10" t="s">
        <v>2061</v>
      </c>
      <c r="G393" s="10" t="s">
        <v>2019</v>
      </c>
      <c r="I393" s="10" t="s">
        <v>128</v>
      </c>
      <c r="J393" s="16">
        <v>46138</v>
      </c>
      <c r="K393" s="16">
        <v>46138</v>
      </c>
      <c r="L393" s="17">
        <v>0.33333333333575865</v>
      </c>
      <c r="M393" s="17">
        <v>0.5</v>
      </c>
      <c r="N393" s="10" t="s">
        <v>98</v>
      </c>
      <c r="O393" s="10" t="s">
        <v>99</v>
      </c>
      <c r="P393" s="10" t="s">
        <v>63</v>
      </c>
      <c r="Q393" s="10" t="s">
        <v>47</v>
      </c>
      <c r="R393" s="10" t="s">
        <v>256</v>
      </c>
      <c r="S393" s="10">
        <v>200</v>
      </c>
      <c r="W393" s="10" t="s">
        <v>2032</v>
      </c>
      <c r="Y393" s="10" t="s">
        <v>2025</v>
      </c>
      <c r="Z393" s="10" t="s">
        <v>76</v>
      </c>
      <c r="AA393" s="10" t="s">
        <v>225</v>
      </c>
      <c r="AB393" s="10" t="s">
        <v>66</v>
      </c>
      <c r="AC393" s="10" t="s">
        <v>68</v>
      </c>
      <c r="AD393" s="10" t="str">
        <f>IFERROR(VLOOKUP(B393,'Regiões Administrativas'!$A$1:$B$646,2,0),"")</f>
        <v>Campinas</v>
      </c>
      <c r="AE393" s="10">
        <f>IFERROR(VLOOKUP(Form_Responses[[#This Row],[Município]],'Regiões Administrativas'!$A$1:$I$646,3,0),"")</f>
        <v>15343</v>
      </c>
      <c r="AF393" s="10">
        <f>IFERROR(VLOOKUP(Form_Responses[[#This Row],[Município]],'Regiões Administrativas'!$A$1:$I$646,4,0),"")</f>
        <v>350060005000001</v>
      </c>
      <c r="AG393" s="10">
        <f>IFERROR(VLOOKUP(Form_Responses[[#This Row],[Município]],'Regiões Administrativas'!$A$1:$I$646,4,0),"")</f>
        <v>350060005000001</v>
      </c>
      <c r="AH393" s="10">
        <f>IFERROR(VLOOKUP(B393,'Regiões Administrativas'!$A$1:$I$646,5,0),"")</f>
        <v>3500600</v>
      </c>
      <c r="AI393" s="10">
        <f>IFERROR(VLOOKUP(B393,'Regiões Administrativas'!$A$1:$I$646,6,0),"")</f>
        <v>-47.883974700000003</v>
      </c>
      <c r="AJ393" s="10">
        <f>IFERROR(VLOOKUP(B393,'Regiões Administrativas'!$A$1:$I$646,8,0),"")</f>
        <v>515.23534299999994</v>
      </c>
      <c r="AK393" s="10" t="str">
        <f>IFERROR(VLOOKUP(Form_Responses[[#This Row],[Município]],'Regiões Administrativas'!$A$1:$I$646,9,0),"")</f>
        <v>1J6tHiP,SUj&gt;</v>
      </c>
    </row>
    <row r="394" spans="1:37" ht="22.5" customHeight="1">
      <c r="A394" s="15">
        <v>46042.703260567127</v>
      </c>
      <c r="B394" s="10" t="s">
        <v>2016</v>
      </c>
      <c r="C394" s="10" t="s">
        <v>1109</v>
      </c>
      <c r="D394" s="10" t="s">
        <v>2062</v>
      </c>
      <c r="E394" s="10" t="s">
        <v>2063</v>
      </c>
      <c r="G394" s="10" t="s">
        <v>2019</v>
      </c>
      <c r="I394" s="10" t="s">
        <v>220</v>
      </c>
      <c r="J394" s="16">
        <v>46144</v>
      </c>
      <c r="K394" s="16">
        <v>46145</v>
      </c>
      <c r="L394" s="17">
        <v>0.5</v>
      </c>
      <c r="M394" s="17">
        <v>0</v>
      </c>
      <c r="N394" s="10" t="s">
        <v>268</v>
      </c>
      <c r="O394" s="10" t="s">
        <v>62</v>
      </c>
      <c r="P394" s="10" t="s">
        <v>63</v>
      </c>
      <c r="Q394" s="10" t="s">
        <v>47</v>
      </c>
      <c r="R394" s="10" t="s">
        <v>74</v>
      </c>
      <c r="S394" s="10">
        <v>1000</v>
      </c>
      <c r="W394" s="10" t="s">
        <v>2032</v>
      </c>
      <c r="Y394" s="10" t="s">
        <v>2025</v>
      </c>
      <c r="Z394" s="10" t="s">
        <v>66</v>
      </c>
      <c r="AA394" s="10" t="s">
        <v>66</v>
      </c>
      <c r="AB394" s="10" t="s">
        <v>66</v>
      </c>
      <c r="AC394" s="10" t="s">
        <v>68</v>
      </c>
      <c r="AD394" s="10" t="str">
        <f>IFERROR(VLOOKUP(B394,'Regiões Administrativas'!$A$1:$B$646,2,0),"")</f>
        <v>Campinas</v>
      </c>
      <c r="AE394" s="10">
        <f>IFERROR(VLOOKUP(Form_Responses[[#This Row],[Município]],'Regiões Administrativas'!$A$1:$I$646,3,0),"")</f>
        <v>15343</v>
      </c>
      <c r="AF394" s="10">
        <f>IFERROR(VLOOKUP(Form_Responses[[#This Row],[Município]],'Regiões Administrativas'!$A$1:$I$646,4,0),"")</f>
        <v>350060005000001</v>
      </c>
      <c r="AG394" s="10">
        <f>IFERROR(VLOOKUP(Form_Responses[[#This Row],[Município]],'Regiões Administrativas'!$A$1:$I$646,4,0),"")</f>
        <v>350060005000001</v>
      </c>
      <c r="AH394" s="10">
        <f>IFERROR(VLOOKUP(B394,'Regiões Administrativas'!$A$1:$I$646,5,0),"")</f>
        <v>3500600</v>
      </c>
      <c r="AI394" s="10">
        <f>IFERROR(VLOOKUP(B394,'Regiões Administrativas'!$A$1:$I$646,6,0),"")</f>
        <v>-47.883974700000003</v>
      </c>
      <c r="AJ394" s="10">
        <f>IFERROR(VLOOKUP(B394,'Regiões Administrativas'!$A$1:$I$646,8,0),"")</f>
        <v>515.23534299999994</v>
      </c>
      <c r="AK394" s="10" t="str">
        <f>IFERROR(VLOOKUP(Form_Responses[[#This Row],[Município]],'Regiões Administrativas'!$A$1:$I$646,9,0),"")</f>
        <v>1J6tHiP,SUj&gt;</v>
      </c>
    </row>
    <row r="395" spans="1:37" ht="22.5" customHeight="1">
      <c r="A395" s="15">
        <v>46042.705065775459</v>
      </c>
      <c r="B395" s="10" t="s">
        <v>2016</v>
      </c>
      <c r="C395" s="10" t="s">
        <v>1109</v>
      </c>
      <c r="D395" s="10" t="s">
        <v>2064</v>
      </c>
      <c r="E395" s="10" t="s">
        <v>2065</v>
      </c>
      <c r="G395" s="10" t="s">
        <v>2046</v>
      </c>
      <c r="I395" s="10" t="s">
        <v>220</v>
      </c>
      <c r="J395" s="16">
        <v>46152</v>
      </c>
      <c r="K395" s="16">
        <v>46152</v>
      </c>
      <c r="L395" s="17">
        <v>0.45833333333575865</v>
      </c>
      <c r="M395" s="17">
        <v>0.58333333333575865</v>
      </c>
      <c r="N395" s="10" t="s">
        <v>268</v>
      </c>
      <c r="O395" s="10" t="s">
        <v>45</v>
      </c>
      <c r="P395" s="10" t="s">
        <v>63</v>
      </c>
      <c r="Q395" s="10" t="s">
        <v>47</v>
      </c>
      <c r="R395" s="10" t="s">
        <v>1002</v>
      </c>
      <c r="S395" s="10">
        <v>500</v>
      </c>
      <c r="W395" s="10" t="s">
        <v>2032</v>
      </c>
      <c r="Y395" s="10" t="s">
        <v>2025</v>
      </c>
      <c r="Z395" s="10" t="s">
        <v>66</v>
      </c>
      <c r="AA395" s="10" t="s">
        <v>66</v>
      </c>
      <c r="AB395" s="10" t="s">
        <v>66</v>
      </c>
      <c r="AC395" s="10" t="s">
        <v>68</v>
      </c>
      <c r="AD395" s="10" t="str">
        <f>IFERROR(VLOOKUP(B395,'Regiões Administrativas'!$A$1:$B$646,2,0),"")</f>
        <v>Campinas</v>
      </c>
      <c r="AE395" s="10">
        <f>IFERROR(VLOOKUP(Form_Responses[[#This Row],[Município]],'Regiões Administrativas'!$A$1:$I$646,3,0),"")</f>
        <v>15343</v>
      </c>
      <c r="AF395" s="10">
        <f>IFERROR(VLOOKUP(Form_Responses[[#This Row],[Município]],'Regiões Administrativas'!$A$1:$I$646,4,0),"")</f>
        <v>350060005000001</v>
      </c>
      <c r="AG395" s="10">
        <f>IFERROR(VLOOKUP(Form_Responses[[#This Row],[Município]],'Regiões Administrativas'!$A$1:$I$646,4,0),"")</f>
        <v>350060005000001</v>
      </c>
      <c r="AH395" s="10">
        <f>IFERROR(VLOOKUP(B395,'Regiões Administrativas'!$A$1:$I$646,5,0),"")</f>
        <v>3500600</v>
      </c>
      <c r="AI395" s="10">
        <f>IFERROR(VLOOKUP(B395,'Regiões Administrativas'!$A$1:$I$646,6,0),"")</f>
        <v>-47.883974700000003</v>
      </c>
      <c r="AJ395" s="10">
        <f>IFERROR(VLOOKUP(B395,'Regiões Administrativas'!$A$1:$I$646,8,0),"")</f>
        <v>515.23534299999994</v>
      </c>
      <c r="AK395" s="10" t="str">
        <f>IFERROR(VLOOKUP(Form_Responses[[#This Row],[Município]],'Regiões Administrativas'!$A$1:$I$646,9,0),"")</f>
        <v>1J6tHiP,SUj&gt;</v>
      </c>
    </row>
    <row r="396" spans="1:37" ht="22.5" customHeight="1">
      <c r="A396" s="15">
        <v>46043.352661296296</v>
      </c>
      <c r="B396" s="10" t="s">
        <v>2066</v>
      </c>
      <c r="C396" s="10" t="s">
        <v>326</v>
      </c>
      <c r="D396" s="10" t="s">
        <v>2067</v>
      </c>
      <c r="E396" s="10" t="s">
        <v>2068</v>
      </c>
      <c r="G396" s="10" t="s">
        <v>2069</v>
      </c>
      <c r="H396" s="72" t="s">
        <v>2070</v>
      </c>
      <c r="I396" s="10" t="s">
        <v>89</v>
      </c>
      <c r="J396" s="16">
        <v>46067</v>
      </c>
      <c r="K396" s="16">
        <v>46070</v>
      </c>
      <c r="L396" s="17">
        <v>0.54166666666424135</v>
      </c>
      <c r="M396" s="17">
        <v>0.95833333333575865</v>
      </c>
      <c r="N396" s="10" t="s">
        <v>44</v>
      </c>
      <c r="O396" s="10" t="s">
        <v>45</v>
      </c>
      <c r="P396" s="10" t="s">
        <v>90</v>
      </c>
      <c r="Q396" s="10" t="s">
        <v>47</v>
      </c>
      <c r="R396" s="10" t="s">
        <v>48</v>
      </c>
      <c r="S396" s="10">
        <v>3000</v>
      </c>
      <c r="T396" s="10">
        <v>1500</v>
      </c>
      <c r="U396" s="10">
        <v>0</v>
      </c>
      <c r="V396" s="10">
        <v>0</v>
      </c>
      <c r="W396" s="10" t="s">
        <v>2071</v>
      </c>
      <c r="X396" s="10" t="s">
        <v>615</v>
      </c>
      <c r="Y396" s="10" t="s">
        <v>2072</v>
      </c>
      <c r="Z396" s="10" t="s">
        <v>76</v>
      </c>
      <c r="AA396" s="10" t="s">
        <v>93</v>
      </c>
      <c r="AB396" s="10" t="s">
        <v>66</v>
      </c>
      <c r="AC396" s="10" t="s">
        <v>68</v>
      </c>
      <c r="AD396" s="10" t="str">
        <f>IFERROR(VLOOKUP(B396,'Regiões Administrativas'!$A$1:$B$646,2,0),"")</f>
        <v>Sorocaba</v>
      </c>
      <c r="AE396" s="10">
        <f>IFERROR(VLOOKUP(Form_Responses[[#This Row],[Município]],'Regiões Administrativas'!$A$1:$I$646,3,0),"")</f>
        <v>17316</v>
      </c>
      <c r="AF396" s="10">
        <f>IFERROR(VLOOKUP(Form_Responses[[#This Row],[Município]],'Regiões Administrativas'!$A$1:$I$646,4,0),"")</f>
        <v>355220505000001</v>
      </c>
      <c r="AG396" s="10">
        <f>IFERROR(VLOOKUP(Form_Responses[[#This Row],[Município]],'Regiões Administrativas'!$A$1:$I$646,4,0),"")</f>
        <v>355220505000001</v>
      </c>
      <c r="AH396" s="10">
        <f>IFERROR(VLOOKUP(B396,'Regiões Administrativas'!$A$1:$I$646,5,0),"")</f>
        <v>3552205</v>
      </c>
      <c r="AI396" s="10">
        <f>IFERROR(VLOOKUP(B396,'Regiões Administrativas'!$A$1:$I$646,6,0),"")</f>
        <v>-47.457853299999996</v>
      </c>
      <c r="AJ396" s="10">
        <f>IFERROR(VLOOKUP(B396,'Regiões Administrativas'!$A$1:$I$646,8,0),"")</f>
        <v>591.22937400000001</v>
      </c>
      <c r="AK396" s="10" t="str">
        <f>IFERROR(VLOOKUP(Form_Responses[[#This Row],[Município]],'Regiões Administrativas'!$A$1:$I$646,9,0),"")</f>
        <v>1J6tM)m+e94f</v>
      </c>
    </row>
    <row r="397" spans="1:37" ht="22.5" customHeight="1">
      <c r="A397" s="15">
        <v>46043.40223010417</v>
      </c>
      <c r="B397" s="10" t="s">
        <v>2073</v>
      </c>
      <c r="C397" s="10" t="s">
        <v>493</v>
      </c>
      <c r="D397" s="10" t="s">
        <v>2074</v>
      </c>
      <c r="E397" s="10" t="s">
        <v>2075</v>
      </c>
      <c r="G397" s="10" t="s">
        <v>2076</v>
      </c>
      <c r="I397" s="10" t="s">
        <v>89</v>
      </c>
      <c r="J397" s="16">
        <v>46066</v>
      </c>
      <c r="K397" s="16">
        <v>46070</v>
      </c>
      <c r="L397" s="17">
        <v>0.79166666666424135</v>
      </c>
      <c r="M397" s="17">
        <v>0.16666666666424135</v>
      </c>
      <c r="N397" s="10" t="s">
        <v>421</v>
      </c>
      <c r="O397" s="10" t="s">
        <v>45</v>
      </c>
      <c r="P397" s="10" t="s">
        <v>90</v>
      </c>
      <c r="Q397" s="10" t="s">
        <v>47</v>
      </c>
      <c r="R397" s="10" t="s">
        <v>74</v>
      </c>
      <c r="S397" s="10">
        <v>40000</v>
      </c>
      <c r="T397" s="10">
        <v>35000</v>
      </c>
      <c r="U397" s="10">
        <v>25000</v>
      </c>
      <c r="V397" s="10">
        <v>30000</v>
      </c>
      <c r="W397" s="10" t="s">
        <v>2077</v>
      </c>
      <c r="Y397" s="10" t="s">
        <v>2078</v>
      </c>
      <c r="Z397" s="10" t="s">
        <v>76</v>
      </c>
      <c r="AA397" s="10" t="s">
        <v>113</v>
      </c>
      <c r="AB397" s="10" t="s">
        <v>66</v>
      </c>
      <c r="AC397" s="10" t="s">
        <v>68</v>
      </c>
      <c r="AD397" s="10" t="str">
        <f>IFERROR(VLOOKUP(B397,'Regiões Administrativas'!$A$1:$B$646,2,0),"")</f>
        <v>Registro</v>
      </c>
      <c r="AE397" s="10">
        <f>IFERROR(VLOOKUP(Form_Responses[[#This Row],[Município]],'Regiões Administrativas'!$A$1:$I$646,3,0),"")</f>
        <v>15723</v>
      </c>
      <c r="AF397" s="10">
        <f>IFERROR(VLOOKUP(Form_Responses[[#This Row],[Município]],'Regiões Administrativas'!$A$1:$I$646,4,0),"")</f>
        <v>350990805000001</v>
      </c>
      <c r="AG397" s="10">
        <f>IFERROR(VLOOKUP(Form_Responses[[#This Row],[Município]],'Regiões Administrativas'!$A$1:$I$646,4,0),"")</f>
        <v>350990805000001</v>
      </c>
      <c r="AH397" s="10">
        <f>IFERROR(VLOOKUP(B397,'Regiões Administrativas'!$A$1:$I$646,5,0),"")</f>
        <v>3509908</v>
      </c>
      <c r="AI397" s="10">
        <f>IFERROR(VLOOKUP(B397,'Regiões Administrativas'!$A$1:$I$646,6,0),"")</f>
        <v>-47.928482799999998</v>
      </c>
      <c r="AJ397" s="10">
        <f>IFERROR(VLOOKUP(B397,'Regiões Administrativas'!$A$1:$I$646,8,0),"")</f>
        <v>7.8404660000000002</v>
      </c>
      <c r="AK397" s="10" t="str">
        <f>IFERROR(VLOOKUP(Form_Responses[[#This Row],[Município]],'Regiões Administrativas'!$A$1:$I$646,9,0),"")</f>
        <v>1J6U,h6oUiU-</v>
      </c>
    </row>
    <row r="398" spans="1:37" ht="22.5" customHeight="1">
      <c r="A398" s="15">
        <v>46043.470920798616</v>
      </c>
      <c r="B398" s="10" t="s">
        <v>2016</v>
      </c>
      <c r="C398" s="10" t="s">
        <v>1109</v>
      </c>
      <c r="D398" s="10" t="s">
        <v>2079</v>
      </c>
      <c r="E398" s="10" t="s">
        <v>2080</v>
      </c>
      <c r="G398" s="10" t="s">
        <v>2081</v>
      </c>
      <c r="I398" s="10" t="s">
        <v>220</v>
      </c>
      <c r="J398" s="16">
        <v>46158</v>
      </c>
      <c r="K398" s="16">
        <v>46159</v>
      </c>
      <c r="L398" s="17">
        <v>0.375</v>
      </c>
      <c r="M398" s="17">
        <v>0.83333333333575865</v>
      </c>
      <c r="N398" s="10" t="s">
        <v>61</v>
      </c>
      <c r="O398" s="10" t="s">
        <v>62</v>
      </c>
      <c r="P398" s="10" t="s">
        <v>63</v>
      </c>
      <c r="Q398" s="10" t="s">
        <v>47</v>
      </c>
      <c r="R398" s="10" t="s">
        <v>1002</v>
      </c>
      <c r="S398" s="10">
        <v>300</v>
      </c>
      <c r="W398" s="10" t="s">
        <v>2020</v>
      </c>
      <c r="Y398" s="10" t="s">
        <v>2025</v>
      </c>
      <c r="Z398" s="10" t="s">
        <v>66</v>
      </c>
      <c r="AA398" s="10" t="s">
        <v>225</v>
      </c>
      <c r="AB398" s="10" t="s">
        <v>66</v>
      </c>
      <c r="AC398" s="10" t="s">
        <v>68</v>
      </c>
      <c r="AD398" s="10" t="str">
        <f>IFERROR(VLOOKUP(B398,'Regiões Administrativas'!$A$1:$B$646,2,0),"")</f>
        <v>Campinas</v>
      </c>
      <c r="AE398" s="10">
        <f>IFERROR(VLOOKUP(Form_Responses[[#This Row],[Município]],'Regiões Administrativas'!$A$1:$I$646,3,0),"")</f>
        <v>15343</v>
      </c>
      <c r="AF398" s="10">
        <f>IFERROR(VLOOKUP(Form_Responses[[#This Row],[Município]],'Regiões Administrativas'!$A$1:$I$646,4,0),"")</f>
        <v>350060005000001</v>
      </c>
      <c r="AG398" s="10">
        <f>IFERROR(VLOOKUP(Form_Responses[[#This Row],[Município]],'Regiões Administrativas'!$A$1:$I$646,4,0),"")</f>
        <v>350060005000001</v>
      </c>
      <c r="AH398" s="10">
        <f>IFERROR(VLOOKUP(B398,'Regiões Administrativas'!$A$1:$I$646,5,0),"")</f>
        <v>3500600</v>
      </c>
      <c r="AI398" s="10">
        <f>IFERROR(VLOOKUP(B398,'Regiões Administrativas'!$A$1:$I$646,6,0),"")</f>
        <v>-47.883974700000003</v>
      </c>
      <c r="AJ398" s="10">
        <f>IFERROR(VLOOKUP(B398,'Regiões Administrativas'!$A$1:$I$646,8,0),"")</f>
        <v>515.23534299999994</v>
      </c>
      <c r="AK398" s="10" t="str">
        <f>IFERROR(VLOOKUP(Form_Responses[[#This Row],[Município]],'Regiões Administrativas'!$A$1:$I$646,9,0),"")</f>
        <v>1J6tHiP,SUj&gt;</v>
      </c>
    </row>
    <row r="399" spans="1:37" ht="22.5" customHeight="1">
      <c r="A399" s="15">
        <v>46043.472864687501</v>
      </c>
      <c r="B399" s="10" t="s">
        <v>2016</v>
      </c>
      <c r="C399" s="10" t="s">
        <v>1109</v>
      </c>
      <c r="D399" s="10" t="s">
        <v>2082</v>
      </c>
      <c r="E399" s="10" t="s">
        <v>2083</v>
      </c>
      <c r="G399" s="10" t="s">
        <v>2019</v>
      </c>
      <c r="I399" s="10" t="s">
        <v>220</v>
      </c>
      <c r="J399" s="16">
        <v>46173</v>
      </c>
      <c r="K399" s="16">
        <v>46173</v>
      </c>
      <c r="L399" s="17">
        <v>0.41666666666424135</v>
      </c>
      <c r="M399" s="17">
        <v>0.91666666666424135</v>
      </c>
      <c r="N399" s="10" t="s">
        <v>268</v>
      </c>
      <c r="O399" s="10" t="s">
        <v>62</v>
      </c>
      <c r="P399" s="10" t="s">
        <v>63</v>
      </c>
      <c r="Q399" s="10" t="s">
        <v>47</v>
      </c>
      <c r="R399" s="10" t="s">
        <v>74</v>
      </c>
      <c r="S399" s="10">
        <v>1000</v>
      </c>
      <c r="W399" s="10" t="s">
        <v>2020</v>
      </c>
      <c r="Y399" s="10" t="s">
        <v>2025</v>
      </c>
      <c r="Z399" s="10" t="s">
        <v>76</v>
      </c>
      <c r="AA399" s="10" t="s">
        <v>225</v>
      </c>
      <c r="AB399" s="10" t="s">
        <v>66</v>
      </c>
      <c r="AC399" s="10" t="s">
        <v>68</v>
      </c>
      <c r="AD399" s="10" t="str">
        <f>IFERROR(VLOOKUP(B399,'Regiões Administrativas'!$A$1:$B$646,2,0),"")</f>
        <v>Campinas</v>
      </c>
      <c r="AE399" s="10">
        <f>IFERROR(VLOOKUP(Form_Responses[[#This Row],[Município]],'Regiões Administrativas'!$A$1:$I$646,3,0),"")</f>
        <v>15343</v>
      </c>
      <c r="AF399" s="10">
        <f>IFERROR(VLOOKUP(Form_Responses[[#This Row],[Município]],'Regiões Administrativas'!$A$1:$I$646,4,0),"")</f>
        <v>350060005000001</v>
      </c>
      <c r="AG399" s="10">
        <f>IFERROR(VLOOKUP(Form_Responses[[#This Row],[Município]],'Regiões Administrativas'!$A$1:$I$646,4,0),"")</f>
        <v>350060005000001</v>
      </c>
      <c r="AH399" s="10">
        <f>IFERROR(VLOOKUP(B399,'Regiões Administrativas'!$A$1:$I$646,5,0),"")</f>
        <v>3500600</v>
      </c>
      <c r="AI399" s="10">
        <f>IFERROR(VLOOKUP(B399,'Regiões Administrativas'!$A$1:$I$646,6,0),"")</f>
        <v>-47.883974700000003</v>
      </c>
      <c r="AJ399" s="10">
        <f>IFERROR(VLOOKUP(B399,'Regiões Administrativas'!$A$1:$I$646,8,0),"")</f>
        <v>515.23534299999994</v>
      </c>
      <c r="AK399" s="10" t="str">
        <f>IFERROR(VLOOKUP(Form_Responses[[#This Row],[Município]],'Regiões Administrativas'!$A$1:$I$646,9,0),"")</f>
        <v>1J6tHiP,SUj&gt;</v>
      </c>
    </row>
    <row r="400" spans="1:37" ht="22.5" customHeight="1">
      <c r="A400" s="18">
        <v>46043.475423159718</v>
      </c>
      <c r="B400" s="10" t="s">
        <v>2016</v>
      </c>
      <c r="C400" s="10" t="s">
        <v>1109</v>
      </c>
      <c r="D400" s="10" t="s">
        <v>2084</v>
      </c>
      <c r="E400" s="10" t="s">
        <v>2085</v>
      </c>
      <c r="G400" s="10" t="s">
        <v>2019</v>
      </c>
      <c r="I400" s="10" t="s">
        <v>60</v>
      </c>
      <c r="J400" s="16">
        <v>46177</v>
      </c>
      <c r="K400" s="16">
        <v>46029</v>
      </c>
      <c r="L400" s="17">
        <v>0.33333333333575865</v>
      </c>
      <c r="M400" s="17">
        <v>0.91666666666424135</v>
      </c>
      <c r="N400" s="10" t="s">
        <v>61</v>
      </c>
      <c r="O400" s="10" t="s">
        <v>62</v>
      </c>
      <c r="P400" s="10" t="s">
        <v>302</v>
      </c>
      <c r="Q400" s="10" t="s">
        <v>47</v>
      </c>
      <c r="R400" s="10" t="s">
        <v>74</v>
      </c>
      <c r="S400" s="10">
        <v>1000</v>
      </c>
      <c r="W400" s="10" t="s">
        <v>2020</v>
      </c>
      <c r="Y400" s="10" t="s">
        <v>2025</v>
      </c>
      <c r="Z400" s="10" t="s">
        <v>76</v>
      </c>
      <c r="AA400" s="10" t="s">
        <v>225</v>
      </c>
      <c r="AB400" s="10" t="s">
        <v>66</v>
      </c>
      <c r="AC400" s="10" t="s">
        <v>68</v>
      </c>
      <c r="AD400" s="10" t="str">
        <f>IFERROR(VLOOKUP(B400,'Regiões Administrativas'!$A$1:$B$646,2,0),"")</f>
        <v>Campinas</v>
      </c>
      <c r="AE400" s="10">
        <f>IFERROR(VLOOKUP(Form_Responses[[#This Row],[Município]],'Regiões Administrativas'!$A$1:$I$646,3,0),"")</f>
        <v>15343</v>
      </c>
      <c r="AF400" s="10">
        <f>IFERROR(VLOOKUP(Form_Responses[[#This Row],[Município]],'Regiões Administrativas'!$A$1:$I$646,4,0),"")</f>
        <v>350060005000001</v>
      </c>
      <c r="AG400" s="10">
        <f>IFERROR(VLOOKUP(Form_Responses[[#This Row],[Município]],'Regiões Administrativas'!$A$1:$I$646,4,0),"")</f>
        <v>350060005000001</v>
      </c>
      <c r="AH400" s="10">
        <f>IFERROR(VLOOKUP(B400,'Regiões Administrativas'!$A$1:$I$646,5,0),"")</f>
        <v>3500600</v>
      </c>
      <c r="AI400" s="10">
        <f>IFERROR(VLOOKUP(B400,'Regiões Administrativas'!$A$1:$I$646,6,0),"")</f>
        <v>-47.883974700000003</v>
      </c>
      <c r="AJ400" s="10">
        <f>IFERROR(VLOOKUP(B400,'Regiões Administrativas'!$A$1:$I$646,8,0),"")</f>
        <v>515.23534299999994</v>
      </c>
      <c r="AK400" s="10" t="str">
        <f>IFERROR(VLOOKUP(Form_Responses[[#This Row],[Município]],'Regiões Administrativas'!$A$1:$I$646,9,0),"")</f>
        <v>1J6tHiP,SUj&gt;</v>
      </c>
    </row>
    <row r="401" spans="1:37" ht="22.5" customHeight="1">
      <c r="A401" s="18">
        <v>46043.477111631946</v>
      </c>
      <c r="B401" s="10" t="s">
        <v>2016</v>
      </c>
      <c r="C401" s="10" t="s">
        <v>1109</v>
      </c>
      <c r="D401" s="10" t="s">
        <v>2086</v>
      </c>
      <c r="E401" s="10" t="s">
        <v>2087</v>
      </c>
      <c r="G401" s="10" t="s">
        <v>2088</v>
      </c>
      <c r="I401" s="10" t="s">
        <v>60</v>
      </c>
      <c r="J401" s="16">
        <v>46178</v>
      </c>
      <c r="K401" s="16">
        <v>46187</v>
      </c>
      <c r="L401" s="17">
        <v>0.5</v>
      </c>
      <c r="M401" s="17">
        <v>0</v>
      </c>
      <c r="N401" s="10" t="s">
        <v>73</v>
      </c>
      <c r="O401" s="10" t="s">
        <v>45</v>
      </c>
      <c r="P401" s="10" t="s">
        <v>135</v>
      </c>
      <c r="Q401" s="10" t="s">
        <v>47</v>
      </c>
      <c r="R401" s="10" t="s">
        <v>74</v>
      </c>
      <c r="S401" s="10">
        <v>1500</v>
      </c>
      <c r="W401" s="10" t="s">
        <v>2032</v>
      </c>
      <c r="Y401" s="10" t="s">
        <v>2025</v>
      </c>
      <c r="Z401" s="10" t="s">
        <v>76</v>
      </c>
      <c r="AA401" s="10" t="s">
        <v>225</v>
      </c>
      <c r="AB401" s="10" t="s">
        <v>66</v>
      </c>
      <c r="AC401" s="10" t="s">
        <v>68</v>
      </c>
      <c r="AD401" s="10" t="str">
        <f>IFERROR(VLOOKUP(B401,'Regiões Administrativas'!$A$1:$B$646,2,0),"")</f>
        <v>Campinas</v>
      </c>
      <c r="AE401" s="10">
        <f>IFERROR(VLOOKUP(Form_Responses[[#This Row],[Município]],'Regiões Administrativas'!$A$1:$I$646,3,0),"")</f>
        <v>15343</v>
      </c>
      <c r="AF401" s="10">
        <f>IFERROR(VLOOKUP(Form_Responses[[#This Row],[Município]],'Regiões Administrativas'!$A$1:$I$646,4,0),"")</f>
        <v>350060005000001</v>
      </c>
      <c r="AG401" s="10">
        <f>IFERROR(VLOOKUP(Form_Responses[[#This Row],[Município]],'Regiões Administrativas'!$A$1:$I$646,4,0),"")</f>
        <v>350060005000001</v>
      </c>
      <c r="AH401" s="10">
        <f>IFERROR(VLOOKUP(B401,'Regiões Administrativas'!$A$1:$I$646,5,0),"")</f>
        <v>3500600</v>
      </c>
      <c r="AI401" s="10">
        <f>IFERROR(VLOOKUP(B401,'Regiões Administrativas'!$A$1:$I$646,6,0),"")</f>
        <v>-47.883974700000003</v>
      </c>
      <c r="AJ401" s="10">
        <f>IFERROR(VLOOKUP(B401,'Regiões Administrativas'!$A$1:$I$646,8,0),"")</f>
        <v>515.23534299999994</v>
      </c>
      <c r="AK401" s="10" t="str">
        <f>IFERROR(VLOOKUP(Form_Responses[[#This Row],[Município]],'Regiões Administrativas'!$A$1:$I$646,9,0),"")</f>
        <v>1J6tHiP,SUj&gt;</v>
      </c>
    </row>
    <row r="402" spans="1:37" ht="22.5" customHeight="1">
      <c r="A402" s="18">
        <v>46043.479233657403</v>
      </c>
      <c r="B402" s="10" t="s">
        <v>2016</v>
      </c>
      <c r="C402" s="10" t="s">
        <v>1109</v>
      </c>
      <c r="D402" s="10" t="s">
        <v>2089</v>
      </c>
      <c r="E402" s="10" t="s">
        <v>2090</v>
      </c>
      <c r="G402" s="10" t="s">
        <v>2019</v>
      </c>
      <c r="I402" s="10" t="s">
        <v>60</v>
      </c>
      <c r="J402" s="16">
        <v>46186</v>
      </c>
      <c r="K402" s="16">
        <v>46186</v>
      </c>
      <c r="L402" s="17">
        <v>0.79166666666424135</v>
      </c>
      <c r="M402" s="17">
        <v>0</v>
      </c>
      <c r="N402" s="10" t="s">
        <v>44</v>
      </c>
      <c r="O402" s="10" t="s">
        <v>45</v>
      </c>
      <c r="P402" s="10" t="s">
        <v>135</v>
      </c>
      <c r="Q402" s="10" t="s">
        <v>47</v>
      </c>
      <c r="R402" s="10" t="s">
        <v>256</v>
      </c>
      <c r="S402" s="10">
        <v>200</v>
      </c>
      <c r="W402" s="10" t="s">
        <v>2091</v>
      </c>
      <c r="Y402" s="10" t="s">
        <v>2025</v>
      </c>
      <c r="Z402" s="10" t="s">
        <v>76</v>
      </c>
      <c r="AA402" s="10" t="s">
        <v>225</v>
      </c>
      <c r="AB402" s="10" t="s">
        <v>66</v>
      </c>
      <c r="AC402" s="10" t="s">
        <v>68</v>
      </c>
      <c r="AD402" s="10" t="str">
        <f>IFERROR(VLOOKUP(B402,'Regiões Administrativas'!$A$1:$B$646,2,0),"")</f>
        <v>Campinas</v>
      </c>
      <c r="AE402" s="10">
        <f>IFERROR(VLOOKUP(Form_Responses[[#This Row],[Município]],'Regiões Administrativas'!$A$1:$I$646,3,0),"")</f>
        <v>15343</v>
      </c>
      <c r="AF402" s="10">
        <f>IFERROR(VLOOKUP(Form_Responses[[#This Row],[Município]],'Regiões Administrativas'!$A$1:$I$646,4,0),"")</f>
        <v>350060005000001</v>
      </c>
      <c r="AG402" s="10">
        <f>IFERROR(VLOOKUP(Form_Responses[[#This Row],[Município]],'Regiões Administrativas'!$A$1:$I$646,4,0),"")</f>
        <v>350060005000001</v>
      </c>
      <c r="AH402" s="10">
        <f>IFERROR(VLOOKUP(B402,'Regiões Administrativas'!$A$1:$I$646,5,0),"")</f>
        <v>3500600</v>
      </c>
      <c r="AI402" s="10">
        <f>IFERROR(VLOOKUP(B402,'Regiões Administrativas'!$A$1:$I$646,6,0),"")</f>
        <v>-47.883974700000003</v>
      </c>
      <c r="AJ402" s="10">
        <f>IFERROR(VLOOKUP(B402,'Regiões Administrativas'!$A$1:$I$646,8,0),"")</f>
        <v>515.23534299999994</v>
      </c>
      <c r="AK402" s="10" t="str">
        <f>IFERROR(VLOOKUP(Form_Responses[[#This Row],[Município]],'Regiões Administrativas'!$A$1:$I$646,9,0),"")</f>
        <v>1J6tHiP,SUj&gt;</v>
      </c>
    </row>
    <row r="403" spans="1:37" ht="22.5" customHeight="1">
      <c r="A403" s="18">
        <v>46043.481866851856</v>
      </c>
      <c r="B403" s="10" t="s">
        <v>2016</v>
      </c>
      <c r="C403" s="10" t="s">
        <v>1109</v>
      </c>
      <c r="D403" s="10" t="s">
        <v>2028</v>
      </c>
      <c r="E403" s="10" t="s">
        <v>2092</v>
      </c>
      <c r="G403" s="10" t="s">
        <v>2046</v>
      </c>
      <c r="I403" s="10" t="s">
        <v>60</v>
      </c>
      <c r="J403" s="16">
        <v>46186</v>
      </c>
      <c r="K403" s="16">
        <v>46186</v>
      </c>
      <c r="L403" s="17">
        <v>0.33333333333575865</v>
      </c>
      <c r="M403" s="17">
        <v>0.75</v>
      </c>
      <c r="N403" s="10" t="s">
        <v>61</v>
      </c>
      <c r="O403" s="10" t="s">
        <v>62</v>
      </c>
      <c r="P403" s="10" t="s">
        <v>63</v>
      </c>
      <c r="Q403" s="10" t="s">
        <v>47</v>
      </c>
      <c r="R403" s="10" t="s">
        <v>256</v>
      </c>
      <c r="S403" s="10">
        <v>500</v>
      </c>
      <c r="W403" s="10" t="s">
        <v>2032</v>
      </c>
      <c r="Y403" s="10" t="s">
        <v>2025</v>
      </c>
      <c r="Z403" s="10" t="s">
        <v>66</v>
      </c>
      <c r="AA403" s="10" t="s">
        <v>225</v>
      </c>
      <c r="AB403" s="10" t="s">
        <v>66</v>
      </c>
      <c r="AC403" s="10" t="s">
        <v>68</v>
      </c>
      <c r="AD403" s="10" t="str">
        <f>IFERROR(VLOOKUP(B403,'Regiões Administrativas'!$A$1:$B$646,2,0),"")</f>
        <v>Campinas</v>
      </c>
      <c r="AE403" s="10">
        <f>IFERROR(VLOOKUP(Form_Responses[[#This Row],[Município]],'Regiões Administrativas'!$A$1:$I$646,3,0),"")</f>
        <v>15343</v>
      </c>
      <c r="AF403" s="10">
        <f>IFERROR(VLOOKUP(Form_Responses[[#This Row],[Município]],'Regiões Administrativas'!$A$1:$I$646,4,0),"")</f>
        <v>350060005000001</v>
      </c>
      <c r="AG403" s="10">
        <f>IFERROR(VLOOKUP(Form_Responses[[#This Row],[Município]],'Regiões Administrativas'!$A$1:$I$646,4,0),"")</f>
        <v>350060005000001</v>
      </c>
      <c r="AH403" s="10">
        <f>IFERROR(VLOOKUP(B403,'Regiões Administrativas'!$A$1:$I$646,5,0),"")</f>
        <v>3500600</v>
      </c>
      <c r="AI403" s="10">
        <f>IFERROR(VLOOKUP(B403,'Regiões Administrativas'!$A$1:$I$646,6,0),"")</f>
        <v>-47.883974700000003</v>
      </c>
      <c r="AJ403" s="10">
        <f>IFERROR(VLOOKUP(B403,'Regiões Administrativas'!$A$1:$I$646,8,0),"")</f>
        <v>515.23534299999994</v>
      </c>
      <c r="AK403" s="10" t="str">
        <f>IFERROR(VLOOKUP(Form_Responses[[#This Row],[Município]],'Regiões Administrativas'!$A$1:$I$646,9,0),"")</f>
        <v>1J6tHiP,SUj&gt;</v>
      </c>
    </row>
    <row r="404" spans="1:37" ht="22.5" customHeight="1">
      <c r="A404" s="18">
        <v>46043.490869768517</v>
      </c>
      <c r="B404" s="10" t="s">
        <v>2016</v>
      </c>
      <c r="C404" s="10" t="s">
        <v>1109</v>
      </c>
      <c r="D404" s="10" t="s">
        <v>2093</v>
      </c>
      <c r="E404" s="10" t="s">
        <v>2094</v>
      </c>
      <c r="G404" s="10" t="s">
        <v>2046</v>
      </c>
      <c r="I404" s="10" t="s">
        <v>60</v>
      </c>
      <c r="J404" s="16">
        <v>46187</v>
      </c>
      <c r="K404" s="16">
        <v>46187</v>
      </c>
      <c r="L404" s="17">
        <v>0.41666666666424135</v>
      </c>
      <c r="M404" s="17">
        <v>0.79166666666424135</v>
      </c>
      <c r="N404" s="10" t="s">
        <v>61</v>
      </c>
      <c r="O404" s="10" t="s">
        <v>62</v>
      </c>
      <c r="P404" s="10" t="s">
        <v>63</v>
      </c>
      <c r="Q404" s="10" t="s">
        <v>47</v>
      </c>
      <c r="R404" s="10" t="s">
        <v>1002</v>
      </c>
      <c r="S404" s="10">
        <v>400</v>
      </c>
      <c r="W404" s="10" t="s">
        <v>2032</v>
      </c>
      <c r="Y404" s="10" t="s">
        <v>2025</v>
      </c>
      <c r="Z404" s="10" t="s">
        <v>76</v>
      </c>
      <c r="AA404" s="10" t="s">
        <v>225</v>
      </c>
      <c r="AB404" s="10" t="s">
        <v>66</v>
      </c>
      <c r="AC404" s="10" t="s">
        <v>68</v>
      </c>
      <c r="AD404" s="10" t="str">
        <f>IFERROR(VLOOKUP(B404,'Regiões Administrativas'!$A$1:$B$646,2,0),"")</f>
        <v>Campinas</v>
      </c>
      <c r="AE404" s="10">
        <f>IFERROR(VLOOKUP(Form_Responses[[#This Row],[Município]],'Regiões Administrativas'!$A$1:$I$646,3,0),"")</f>
        <v>15343</v>
      </c>
      <c r="AF404" s="10">
        <f>IFERROR(VLOOKUP(Form_Responses[[#This Row],[Município]],'Regiões Administrativas'!$A$1:$I$646,4,0),"")</f>
        <v>350060005000001</v>
      </c>
      <c r="AG404" s="10">
        <f>IFERROR(VLOOKUP(Form_Responses[[#This Row],[Município]],'Regiões Administrativas'!$A$1:$I$646,4,0),"")</f>
        <v>350060005000001</v>
      </c>
      <c r="AH404" s="10">
        <f>IFERROR(VLOOKUP(B404,'Regiões Administrativas'!$A$1:$I$646,5,0),"")</f>
        <v>3500600</v>
      </c>
      <c r="AI404" s="10">
        <f>IFERROR(VLOOKUP(B404,'Regiões Administrativas'!$A$1:$I$646,6,0),"")</f>
        <v>-47.883974700000003</v>
      </c>
      <c r="AJ404" s="10">
        <f>IFERROR(VLOOKUP(B404,'Regiões Administrativas'!$A$1:$I$646,8,0),"")</f>
        <v>515.23534299999994</v>
      </c>
      <c r="AK404" s="10" t="str">
        <f>IFERROR(VLOOKUP(Form_Responses[[#This Row],[Município]],'Regiões Administrativas'!$A$1:$I$646,9,0),"")</f>
        <v>1J6tHiP,SUj&gt;</v>
      </c>
    </row>
    <row r="405" spans="1:37" ht="22.5" customHeight="1">
      <c r="A405" s="18">
        <v>46043.492609583336</v>
      </c>
      <c r="B405" s="10" t="s">
        <v>2016</v>
      </c>
      <c r="C405" s="10" t="s">
        <v>1109</v>
      </c>
      <c r="D405" s="10" t="s">
        <v>2095</v>
      </c>
      <c r="E405" s="10" t="s">
        <v>2096</v>
      </c>
      <c r="G405" s="10" t="s">
        <v>2019</v>
      </c>
      <c r="I405" s="10" t="s">
        <v>60</v>
      </c>
      <c r="J405" s="16">
        <v>46193</v>
      </c>
      <c r="K405" s="16">
        <v>46193</v>
      </c>
      <c r="L405" s="17">
        <v>0.375</v>
      </c>
      <c r="M405" s="17">
        <v>0.83333333333575865</v>
      </c>
      <c r="N405" s="10" t="s">
        <v>268</v>
      </c>
      <c r="O405" s="10" t="s">
        <v>45</v>
      </c>
      <c r="P405" s="10" t="s">
        <v>63</v>
      </c>
      <c r="Q405" s="10" t="s">
        <v>47</v>
      </c>
      <c r="R405" s="10" t="s">
        <v>1002</v>
      </c>
      <c r="S405" s="10">
        <v>400</v>
      </c>
      <c r="W405" s="10" t="s">
        <v>2032</v>
      </c>
      <c r="Y405" s="10" t="s">
        <v>2025</v>
      </c>
      <c r="Z405" s="10" t="s">
        <v>66</v>
      </c>
      <c r="AA405" s="10" t="s">
        <v>225</v>
      </c>
      <c r="AB405" s="10" t="s">
        <v>66</v>
      </c>
      <c r="AC405" s="10" t="s">
        <v>68</v>
      </c>
      <c r="AD405" s="10" t="str">
        <f>IFERROR(VLOOKUP(B405,'Regiões Administrativas'!$A$1:$B$646,2,0),"")</f>
        <v>Campinas</v>
      </c>
      <c r="AE405" s="10">
        <f>IFERROR(VLOOKUP(Form_Responses[[#This Row],[Município]],'Regiões Administrativas'!$A$1:$I$646,3,0),"")</f>
        <v>15343</v>
      </c>
      <c r="AF405" s="10">
        <f>IFERROR(VLOOKUP(Form_Responses[[#This Row],[Município]],'Regiões Administrativas'!$A$1:$I$646,4,0),"")</f>
        <v>350060005000001</v>
      </c>
      <c r="AG405" s="10">
        <f>IFERROR(VLOOKUP(Form_Responses[[#This Row],[Município]],'Regiões Administrativas'!$A$1:$I$646,4,0),"")</f>
        <v>350060005000001</v>
      </c>
      <c r="AH405" s="10">
        <f>IFERROR(VLOOKUP(B405,'Regiões Administrativas'!$A$1:$I$646,5,0),"")</f>
        <v>3500600</v>
      </c>
      <c r="AI405" s="10">
        <f>IFERROR(VLOOKUP(B405,'Regiões Administrativas'!$A$1:$I$646,6,0),"")</f>
        <v>-47.883974700000003</v>
      </c>
      <c r="AJ405" s="10">
        <f>IFERROR(VLOOKUP(B405,'Regiões Administrativas'!$A$1:$I$646,8,0),"")</f>
        <v>515.23534299999994</v>
      </c>
      <c r="AK405" s="10" t="str">
        <f>IFERROR(VLOOKUP(Form_Responses[[#This Row],[Município]],'Regiões Administrativas'!$A$1:$I$646,9,0),"")</f>
        <v>1J6tHiP,SUj&gt;</v>
      </c>
    </row>
    <row r="406" spans="1:37" ht="22.5" customHeight="1">
      <c r="A406" s="18">
        <v>46043.590298657407</v>
      </c>
      <c r="B406" s="10" t="s">
        <v>2016</v>
      </c>
      <c r="C406" s="10" t="s">
        <v>1109</v>
      </c>
      <c r="D406" s="10" t="s">
        <v>2097</v>
      </c>
      <c r="E406" s="10" t="s">
        <v>2098</v>
      </c>
      <c r="G406" s="10" t="s">
        <v>2019</v>
      </c>
      <c r="I406" s="10" t="s">
        <v>60</v>
      </c>
      <c r="J406" s="16">
        <v>46193</v>
      </c>
      <c r="K406" s="16">
        <v>46193</v>
      </c>
      <c r="L406" s="17">
        <v>0.5</v>
      </c>
      <c r="M406" s="17">
        <v>0.95833333333575865</v>
      </c>
      <c r="N406" s="10" t="s">
        <v>268</v>
      </c>
      <c r="O406" s="10" t="s">
        <v>62</v>
      </c>
      <c r="P406" s="10" t="s">
        <v>63</v>
      </c>
      <c r="Q406" s="10" t="s">
        <v>47</v>
      </c>
      <c r="R406" s="10" t="s">
        <v>1002</v>
      </c>
      <c r="S406" s="10">
        <v>1000</v>
      </c>
      <c r="W406" s="10" t="s">
        <v>2032</v>
      </c>
      <c r="Y406" s="10" t="s">
        <v>2025</v>
      </c>
      <c r="Z406" s="10" t="s">
        <v>66</v>
      </c>
      <c r="AA406" s="10" t="s">
        <v>66</v>
      </c>
      <c r="AB406" s="10" t="s">
        <v>66</v>
      </c>
      <c r="AC406" s="10" t="s">
        <v>68</v>
      </c>
      <c r="AD406" s="10" t="str">
        <f>IFERROR(VLOOKUP(B406,'Regiões Administrativas'!$A$1:$B$646,2,0),"")</f>
        <v>Campinas</v>
      </c>
      <c r="AE406" s="10">
        <f>IFERROR(VLOOKUP(Form_Responses[[#This Row],[Município]],'Regiões Administrativas'!$A$1:$I$646,3,0),"")</f>
        <v>15343</v>
      </c>
      <c r="AF406" s="10">
        <f>IFERROR(VLOOKUP(Form_Responses[[#This Row],[Município]],'Regiões Administrativas'!$A$1:$I$646,4,0),"")</f>
        <v>350060005000001</v>
      </c>
      <c r="AG406" s="10">
        <f>IFERROR(VLOOKUP(Form_Responses[[#This Row],[Município]],'Regiões Administrativas'!$A$1:$I$646,4,0),"")</f>
        <v>350060005000001</v>
      </c>
      <c r="AH406" s="10">
        <f>IFERROR(VLOOKUP(B406,'Regiões Administrativas'!$A$1:$I$646,5,0),"")</f>
        <v>3500600</v>
      </c>
      <c r="AI406" s="10">
        <f>IFERROR(VLOOKUP(B406,'Regiões Administrativas'!$A$1:$I$646,6,0),"")</f>
        <v>-47.883974700000003</v>
      </c>
      <c r="AJ406" s="10">
        <f>IFERROR(VLOOKUP(B406,'Regiões Administrativas'!$A$1:$I$646,8,0),"")</f>
        <v>515.23534299999994</v>
      </c>
      <c r="AK406" s="10" t="str">
        <f>IFERROR(VLOOKUP(Form_Responses[[#This Row],[Município]],'Regiões Administrativas'!$A$1:$I$646,9,0),"")</f>
        <v>1J6tHiP,SUj&gt;</v>
      </c>
    </row>
    <row r="407" spans="1:37" ht="22.5" customHeight="1">
      <c r="A407" s="18">
        <v>46043.592377245368</v>
      </c>
      <c r="B407" s="10" t="s">
        <v>2016</v>
      </c>
      <c r="C407" s="10" t="s">
        <v>1109</v>
      </c>
      <c r="D407" s="10" t="s">
        <v>2099</v>
      </c>
      <c r="E407" s="10" t="s">
        <v>2100</v>
      </c>
      <c r="G407" s="10" t="s">
        <v>2046</v>
      </c>
      <c r="I407" s="10" t="s">
        <v>72</v>
      </c>
      <c r="J407" s="16">
        <v>46206</v>
      </c>
      <c r="K407" s="16">
        <v>46228</v>
      </c>
      <c r="L407" s="17">
        <v>0.79166666666424135</v>
      </c>
      <c r="M407" s="17">
        <v>0</v>
      </c>
      <c r="N407" s="10" t="s">
        <v>73</v>
      </c>
      <c r="O407" s="10" t="s">
        <v>45</v>
      </c>
      <c r="P407" s="10" t="s">
        <v>63</v>
      </c>
      <c r="Q407" s="10" t="s">
        <v>47</v>
      </c>
      <c r="R407" s="10" t="s">
        <v>74</v>
      </c>
      <c r="S407" s="10">
        <v>50000</v>
      </c>
      <c r="W407" s="10" t="s">
        <v>2032</v>
      </c>
      <c r="Y407" s="10" t="s">
        <v>2025</v>
      </c>
      <c r="Z407" s="10" t="s">
        <v>66</v>
      </c>
      <c r="AA407" s="10" t="s">
        <v>66</v>
      </c>
      <c r="AB407" s="10" t="s">
        <v>66</v>
      </c>
      <c r="AC407" s="10" t="s">
        <v>68</v>
      </c>
      <c r="AD407" s="10" t="str">
        <f>IFERROR(VLOOKUP(B407,'Regiões Administrativas'!$A$1:$B$646,2,0),"")</f>
        <v>Campinas</v>
      </c>
      <c r="AE407" s="10">
        <f>IFERROR(VLOOKUP(Form_Responses[[#This Row],[Município]],'Regiões Administrativas'!$A$1:$I$646,3,0),"")</f>
        <v>15343</v>
      </c>
      <c r="AF407" s="10">
        <f>IFERROR(VLOOKUP(Form_Responses[[#This Row],[Município]],'Regiões Administrativas'!$A$1:$I$646,4,0),"")</f>
        <v>350060005000001</v>
      </c>
      <c r="AG407" s="10">
        <f>IFERROR(VLOOKUP(Form_Responses[[#This Row],[Município]],'Regiões Administrativas'!$A$1:$I$646,4,0),"")</f>
        <v>350060005000001</v>
      </c>
      <c r="AH407" s="10">
        <f>IFERROR(VLOOKUP(B407,'Regiões Administrativas'!$A$1:$I$646,5,0),"")</f>
        <v>3500600</v>
      </c>
      <c r="AI407" s="10">
        <f>IFERROR(VLOOKUP(B407,'Regiões Administrativas'!$A$1:$I$646,6,0),"")</f>
        <v>-47.883974700000003</v>
      </c>
      <c r="AJ407" s="10">
        <f>IFERROR(VLOOKUP(B407,'Regiões Administrativas'!$A$1:$I$646,8,0),"")</f>
        <v>515.23534299999994</v>
      </c>
      <c r="AK407" s="10" t="str">
        <f>IFERROR(VLOOKUP(Form_Responses[[#This Row],[Município]],'Regiões Administrativas'!$A$1:$I$646,9,0),"")</f>
        <v>1J6tHiP,SUj&gt;</v>
      </c>
    </row>
    <row r="408" spans="1:37" ht="22.5" customHeight="1">
      <c r="A408" s="18">
        <v>46043.604146504629</v>
      </c>
      <c r="B408" s="10" t="s">
        <v>2016</v>
      </c>
      <c r="C408" s="10" t="s">
        <v>1109</v>
      </c>
      <c r="D408" s="10" t="s">
        <v>2022</v>
      </c>
      <c r="E408" s="10" t="s">
        <v>2101</v>
      </c>
      <c r="G408" s="10" t="s">
        <v>2046</v>
      </c>
      <c r="I408" s="10" t="s">
        <v>72</v>
      </c>
      <c r="J408" s="16">
        <v>46207</v>
      </c>
      <c r="K408" s="16">
        <v>46221</v>
      </c>
      <c r="L408" s="17">
        <v>0.58333333333575865</v>
      </c>
      <c r="M408" s="17">
        <v>0.75</v>
      </c>
      <c r="N408" s="10" t="s">
        <v>61</v>
      </c>
      <c r="O408" s="10" t="s">
        <v>45</v>
      </c>
      <c r="P408" s="10" t="s">
        <v>63</v>
      </c>
      <c r="Q408" s="10" t="s">
        <v>47</v>
      </c>
      <c r="R408" s="10" t="s">
        <v>74</v>
      </c>
      <c r="S408" s="10">
        <v>250</v>
      </c>
      <c r="W408" s="10" t="s">
        <v>2020</v>
      </c>
      <c r="Y408" s="10" t="s">
        <v>2025</v>
      </c>
      <c r="Z408" s="10" t="s">
        <v>76</v>
      </c>
      <c r="AA408" s="10" t="s">
        <v>225</v>
      </c>
      <c r="AB408" s="10" t="s">
        <v>66</v>
      </c>
      <c r="AC408" s="10" t="s">
        <v>68</v>
      </c>
      <c r="AD408" s="10" t="str">
        <f>IFERROR(VLOOKUP(B408,'Regiões Administrativas'!$A$1:$B$646,2,0),"")</f>
        <v>Campinas</v>
      </c>
      <c r="AE408" s="10">
        <f>IFERROR(VLOOKUP(Form_Responses[[#This Row],[Município]],'Regiões Administrativas'!$A$1:$I$646,3,0),"")</f>
        <v>15343</v>
      </c>
      <c r="AF408" s="10">
        <f>IFERROR(VLOOKUP(Form_Responses[[#This Row],[Município]],'Regiões Administrativas'!$A$1:$I$646,4,0),"")</f>
        <v>350060005000001</v>
      </c>
      <c r="AG408" s="10">
        <f>IFERROR(VLOOKUP(Form_Responses[[#This Row],[Município]],'Regiões Administrativas'!$A$1:$I$646,4,0),"")</f>
        <v>350060005000001</v>
      </c>
      <c r="AH408" s="10">
        <f>IFERROR(VLOOKUP(B408,'Regiões Administrativas'!$A$1:$I$646,5,0),"")</f>
        <v>3500600</v>
      </c>
      <c r="AI408" s="10">
        <f>IFERROR(VLOOKUP(B408,'Regiões Administrativas'!$A$1:$I$646,6,0),"")</f>
        <v>-47.883974700000003</v>
      </c>
      <c r="AJ408" s="10">
        <f>IFERROR(VLOOKUP(B408,'Regiões Administrativas'!$A$1:$I$646,8,0),"")</f>
        <v>515.23534299999994</v>
      </c>
      <c r="AK408" s="10" t="str">
        <f>IFERROR(VLOOKUP(Form_Responses[[#This Row],[Município]],'Regiões Administrativas'!$A$1:$I$646,9,0),"")</f>
        <v>1J6tHiP,SUj&gt;</v>
      </c>
    </row>
    <row r="409" spans="1:37" ht="22.5" customHeight="1">
      <c r="A409" s="18">
        <v>46043.607305474536</v>
      </c>
      <c r="B409" s="10" t="s">
        <v>2016</v>
      </c>
      <c r="C409" s="10" t="s">
        <v>1109</v>
      </c>
      <c r="D409" s="10" t="s">
        <v>2102</v>
      </c>
      <c r="E409" s="10" t="s">
        <v>2103</v>
      </c>
      <c r="G409" s="10" t="s">
        <v>2046</v>
      </c>
      <c r="I409" s="10" t="s">
        <v>72</v>
      </c>
      <c r="J409" s="16">
        <v>46211</v>
      </c>
      <c r="K409" s="16">
        <v>46215</v>
      </c>
      <c r="L409" s="17">
        <v>0.33333333333575865</v>
      </c>
      <c r="M409" s="17">
        <v>0.83333333333575865</v>
      </c>
      <c r="N409" s="10" t="s">
        <v>61</v>
      </c>
      <c r="O409" s="10" t="s">
        <v>62</v>
      </c>
      <c r="P409" s="10" t="s">
        <v>63</v>
      </c>
      <c r="Q409" s="10" t="s">
        <v>47</v>
      </c>
      <c r="R409" s="10" t="s">
        <v>48</v>
      </c>
      <c r="S409" s="10">
        <v>1500</v>
      </c>
      <c r="W409" s="10" t="s">
        <v>2020</v>
      </c>
      <c r="Y409" s="10" t="s">
        <v>2025</v>
      </c>
      <c r="Z409" s="10" t="s">
        <v>76</v>
      </c>
      <c r="AA409" s="10" t="s">
        <v>225</v>
      </c>
      <c r="AB409" s="10" t="s">
        <v>66</v>
      </c>
      <c r="AC409" s="10" t="s">
        <v>68</v>
      </c>
      <c r="AD409" s="10" t="str">
        <f>IFERROR(VLOOKUP(B409,'Regiões Administrativas'!$A$1:$B$646,2,0),"")</f>
        <v>Campinas</v>
      </c>
      <c r="AE409" s="10">
        <f>IFERROR(VLOOKUP(Form_Responses[[#This Row],[Município]],'Regiões Administrativas'!$A$1:$I$646,3,0),"")</f>
        <v>15343</v>
      </c>
      <c r="AF409" s="10">
        <f>IFERROR(VLOOKUP(Form_Responses[[#This Row],[Município]],'Regiões Administrativas'!$A$1:$I$646,4,0),"")</f>
        <v>350060005000001</v>
      </c>
      <c r="AG409" s="10">
        <f>IFERROR(VLOOKUP(Form_Responses[[#This Row],[Município]],'Regiões Administrativas'!$A$1:$I$646,4,0),"")</f>
        <v>350060005000001</v>
      </c>
      <c r="AH409" s="10">
        <f>IFERROR(VLOOKUP(B409,'Regiões Administrativas'!$A$1:$I$646,5,0),"")</f>
        <v>3500600</v>
      </c>
      <c r="AI409" s="10">
        <f>IFERROR(VLOOKUP(B409,'Regiões Administrativas'!$A$1:$I$646,6,0),"")</f>
        <v>-47.883974700000003</v>
      </c>
      <c r="AJ409" s="10">
        <f>IFERROR(VLOOKUP(B409,'Regiões Administrativas'!$A$1:$I$646,8,0),"")</f>
        <v>515.23534299999994</v>
      </c>
      <c r="AK409" s="10" t="str">
        <f>IFERROR(VLOOKUP(Form_Responses[[#This Row],[Município]],'Regiões Administrativas'!$A$1:$I$646,9,0),"")</f>
        <v>1J6tHiP,SUj&gt;</v>
      </c>
    </row>
    <row r="410" spans="1:37" ht="22.5" customHeight="1">
      <c r="A410" s="18">
        <v>46043.61715633102</v>
      </c>
      <c r="B410" s="10" t="s">
        <v>2104</v>
      </c>
      <c r="C410" s="10" t="s">
        <v>336</v>
      </c>
      <c r="D410" s="10" t="s">
        <v>2105</v>
      </c>
      <c r="E410" s="10" t="s">
        <v>2106</v>
      </c>
      <c r="G410" s="10" t="s">
        <v>2107</v>
      </c>
      <c r="I410" s="10" t="s">
        <v>81</v>
      </c>
      <c r="J410" s="16">
        <v>46275</v>
      </c>
      <c r="K410" s="16">
        <v>46277</v>
      </c>
      <c r="L410" s="17">
        <v>0.83333333333575865</v>
      </c>
      <c r="M410" s="17">
        <v>0.16666666666424135</v>
      </c>
      <c r="N410" s="10" t="s">
        <v>44</v>
      </c>
      <c r="O410" s="10" t="s">
        <v>45</v>
      </c>
      <c r="P410" s="10" t="s">
        <v>46</v>
      </c>
      <c r="Q410" s="10" t="s">
        <v>47</v>
      </c>
      <c r="R410" s="10" t="s">
        <v>74</v>
      </c>
      <c r="S410" s="19">
        <v>25000</v>
      </c>
      <c r="T410" s="19">
        <v>20000</v>
      </c>
      <c r="U410" s="19">
        <v>20000</v>
      </c>
      <c r="V410" s="19">
        <v>20000</v>
      </c>
      <c r="W410" s="10" t="s">
        <v>2108</v>
      </c>
      <c r="X410" s="72" t="s">
        <v>2109</v>
      </c>
      <c r="Y410" s="10" t="s">
        <v>2110</v>
      </c>
      <c r="Z410" s="10" t="s">
        <v>66</v>
      </c>
      <c r="AA410" s="10" t="s">
        <v>225</v>
      </c>
      <c r="AB410" s="10" t="s">
        <v>66</v>
      </c>
      <c r="AC410" s="10" t="s">
        <v>68</v>
      </c>
      <c r="AD410" s="10" t="str">
        <f>IFERROR(VLOOKUP(B410,'Regiões Administrativas'!$A$1:$B$646,2,0),"")</f>
        <v>Ribeirão Preto</v>
      </c>
      <c r="AE410" s="10">
        <f>IFERROR(VLOOKUP(Form_Responses[[#This Row],[Município]],'Regiões Administrativas'!$A$1:$I$646,3,0),"")</f>
        <v>15974</v>
      </c>
      <c r="AF410" s="10">
        <f>IFERROR(VLOOKUP(Form_Responses[[#This Row],[Município]],'Regiões Administrativas'!$A$1:$I$646,4,0),"")</f>
        <v>351860205000001</v>
      </c>
      <c r="AG410" s="10">
        <f>IFERROR(VLOOKUP(Form_Responses[[#This Row],[Município]],'Regiões Administrativas'!$A$1:$I$646,4,0),"")</f>
        <v>351860205000001</v>
      </c>
      <c r="AH410" s="10">
        <f>IFERROR(VLOOKUP(B410,'Regiões Administrativas'!$A$1:$I$646,5,0),"")</f>
        <v>3518602</v>
      </c>
      <c r="AI410" s="10">
        <f>IFERROR(VLOOKUP(B410,'Regiões Administrativas'!$A$1:$I$646,6,0),"")</f>
        <v>-48.234056699999996</v>
      </c>
      <c r="AJ410" s="10">
        <f>IFERROR(VLOOKUP(B410,'Regiões Administrativas'!$A$1:$I$646,8,0),"")</f>
        <v>613.05494699999997</v>
      </c>
      <c r="AK410" s="10" t="str">
        <f>IFERROR(VLOOKUP(Form_Responses[[#This Row],[Município]],'Regiões Administrativas'!$A$1:$I$646,9,0),"")</f>
        <v>1J6RERc8J,of</v>
      </c>
    </row>
    <row r="411" spans="1:37" ht="22.5" customHeight="1">
      <c r="A411" s="18">
        <v>46043.62061327546</v>
      </c>
      <c r="B411" s="10" t="s">
        <v>2016</v>
      </c>
      <c r="C411" s="10" t="s">
        <v>1109</v>
      </c>
      <c r="D411" s="10" t="s">
        <v>2111</v>
      </c>
      <c r="E411" s="10" t="s">
        <v>2112</v>
      </c>
      <c r="G411" s="10" t="s">
        <v>2046</v>
      </c>
      <c r="I411" s="10" t="s">
        <v>72</v>
      </c>
      <c r="J411" s="16">
        <v>46235</v>
      </c>
      <c r="K411" s="16">
        <v>46235</v>
      </c>
      <c r="L411" s="17">
        <v>0.375</v>
      </c>
      <c r="M411" s="17">
        <v>0.83333333333575865</v>
      </c>
      <c r="N411" s="10" t="s">
        <v>268</v>
      </c>
      <c r="O411" s="10" t="s">
        <v>45</v>
      </c>
      <c r="P411" s="10" t="s">
        <v>63</v>
      </c>
      <c r="Q411" s="10" t="s">
        <v>47</v>
      </c>
      <c r="R411" s="10" t="s">
        <v>74</v>
      </c>
      <c r="S411" s="10">
        <v>300</v>
      </c>
      <c r="W411" s="10" t="s">
        <v>2032</v>
      </c>
      <c r="Y411" s="10" t="s">
        <v>2025</v>
      </c>
      <c r="Z411" s="10" t="s">
        <v>66</v>
      </c>
      <c r="AA411" s="10" t="s">
        <v>225</v>
      </c>
      <c r="AB411" s="10" t="s">
        <v>66</v>
      </c>
      <c r="AC411" s="10" t="s">
        <v>68</v>
      </c>
      <c r="AD411" s="10" t="str">
        <f>IFERROR(VLOOKUP(B411,'Regiões Administrativas'!$A$1:$B$646,2,0),"")</f>
        <v>Campinas</v>
      </c>
      <c r="AE411" s="10">
        <f>IFERROR(VLOOKUP(Form_Responses[[#This Row],[Município]],'Regiões Administrativas'!$A$1:$I$646,3,0),"")</f>
        <v>15343</v>
      </c>
      <c r="AF411" s="10">
        <f>IFERROR(VLOOKUP(Form_Responses[[#This Row],[Município]],'Regiões Administrativas'!$A$1:$I$646,4,0),"")</f>
        <v>350060005000001</v>
      </c>
      <c r="AG411" s="10">
        <f>IFERROR(VLOOKUP(Form_Responses[[#This Row],[Município]],'Regiões Administrativas'!$A$1:$I$646,4,0),"")</f>
        <v>350060005000001</v>
      </c>
      <c r="AH411" s="10">
        <f>IFERROR(VLOOKUP(B411,'Regiões Administrativas'!$A$1:$I$646,5,0),"")</f>
        <v>3500600</v>
      </c>
      <c r="AI411" s="10">
        <f>IFERROR(VLOOKUP(B411,'Regiões Administrativas'!$A$1:$I$646,6,0),"")</f>
        <v>-47.883974700000003</v>
      </c>
      <c r="AJ411" s="10">
        <f>IFERROR(VLOOKUP(B411,'Regiões Administrativas'!$A$1:$I$646,8,0),"")</f>
        <v>515.23534299999994</v>
      </c>
      <c r="AK411" s="10" t="str">
        <f>IFERROR(VLOOKUP(Form_Responses[[#This Row],[Município]],'Regiões Administrativas'!$A$1:$I$646,9,0),"")</f>
        <v>1J6tHiP,SUj&gt;</v>
      </c>
    </row>
    <row r="412" spans="1:37" ht="22.5" customHeight="1">
      <c r="A412" s="18">
        <v>46043.624260798606</v>
      </c>
      <c r="B412" s="10" t="s">
        <v>2016</v>
      </c>
      <c r="C412" s="10" t="s">
        <v>1109</v>
      </c>
      <c r="D412" s="10" t="s">
        <v>2113</v>
      </c>
      <c r="E412" s="10" t="s">
        <v>2114</v>
      </c>
      <c r="G412" s="10" t="s">
        <v>2115</v>
      </c>
      <c r="I412" s="10" t="s">
        <v>72</v>
      </c>
      <c r="J412" s="16">
        <v>46242</v>
      </c>
      <c r="K412" s="16">
        <v>46243</v>
      </c>
      <c r="L412" s="17">
        <v>0.5</v>
      </c>
      <c r="M412" s="17">
        <v>0</v>
      </c>
      <c r="N412" s="10" t="s">
        <v>268</v>
      </c>
      <c r="O412" s="10" t="s">
        <v>190</v>
      </c>
      <c r="P412" s="10" t="s">
        <v>63</v>
      </c>
      <c r="Q412" s="10" t="s">
        <v>47</v>
      </c>
      <c r="R412" s="10" t="s">
        <v>74</v>
      </c>
      <c r="S412" s="10">
        <v>500</v>
      </c>
      <c r="W412" s="10" t="s">
        <v>2020</v>
      </c>
      <c r="Y412" s="10" t="s">
        <v>2025</v>
      </c>
      <c r="Z412" s="10" t="s">
        <v>66</v>
      </c>
      <c r="AA412" s="10" t="s">
        <v>225</v>
      </c>
      <c r="AB412" s="10" t="s">
        <v>66</v>
      </c>
      <c r="AC412" s="10" t="s">
        <v>68</v>
      </c>
      <c r="AD412" s="10" t="str">
        <f>IFERROR(VLOOKUP(B412,'Regiões Administrativas'!$A$1:$B$646,2,0),"")</f>
        <v>Campinas</v>
      </c>
      <c r="AE412" s="10">
        <f>IFERROR(VLOOKUP(Form_Responses[[#This Row],[Município]],'Regiões Administrativas'!$A$1:$I$646,3,0),"")</f>
        <v>15343</v>
      </c>
      <c r="AF412" s="10">
        <f>IFERROR(VLOOKUP(Form_Responses[[#This Row],[Município]],'Regiões Administrativas'!$A$1:$I$646,4,0),"")</f>
        <v>350060005000001</v>
      </c>
      <c r="AG412" s="10">
        <f>IFERROR(VLOOKUP(Form_Responses[[#This Row],[Município]],'Regiões Administrativas'!$A$1:$I$646,4,0),"")</f>
        <v>350060005000001</v>
      </c>
      <c r="AH412" s="10">
        <f>IFERROR(VLOOKUP(B412,'Regiões Administrativas'!$A$1:$I$646,5,0),"")</f>
        <v>3500600</v>
      </c>
      <c r="AI412" s="10">
        <f>IFERROR(VLOOKUP(B412,'Regiões Administrativas'!$A$1:$I$646,6,0),"")</f>
        <v>-47.883974700000003</v>
      </c>
      <c r="AJ412" s="10">
        <f>IFERROR(VLOOKUP(B412,'Regiões Administrativas'!$A$1:$I$646,8,0),"")</f>
        <v>515.23534299999994</v>
      </c>
      <c r="AK412" s="10" t="str">
        <f>IFERROR(VLOOKUP(Form_Responses[[#This Row],[Município]],'Regiões Administrativas'!$A$1:$I$646,9,0),"")</f>
        <v>1J6tHiP,SUj&gt;</v>
      </c>
    </row>
    <row r="413" spans="1:37" ht="22.5" customHeight="1">
      <c r="A413" s="18">
        <v>46043.631726539352</v>
      </c>
      <c r="B413" s="10" t="s">
        <v>2016</v>
      </c>
      <c r="C413" s="10" t="s">
        <v>1109</v>
      </c>
      <c r="D413" s="10" t="s">
        <v>2116</v>
      </c>
      <c r="E413" s="10" t="s">
        <v>2117</v>
      </c>
      <c r="G413" s="10" t="s">
        <v>2046</v>
      </c>
      <c r="H413" s="10" t="s">
        <v>2054</v>
      </c>
      <c r="I413" s="10" t="s">
        <v>43</v>
      </c>
      <c r="J413" s="16">
        <v>46252</v>
      </c>
      <c r="K413" s="16">
        <v>46196</v>
      </c>
      <c r="L413" s="17">
        <v>0.625</v>
      </c>
      <c r="M413" s="17">
        <v>0</v>
      </c>
      <c r="N413" s="10" t="s">
        <v>268</v>
      </c>
      <c r="O413" s="10" t="s">
        <v>45</v>
      </c>
      <c r="P413" s="10" t="s">
        <v>63</v>
      </c>
      <c r="Q413" s="10" t="s">
        <v>47</v>
      </c>
      <c r="R413" s="10" t="s">
        <v>1002</v>
      </c>
      <c r="S413" s="10">
        <v>1500</v>
      </c>
      <c r="W413" s="10" t="s">
        <v>2032</v>
      </c>
      <c r="Y413" s="10" t="s">
        <v>2025</v>
      </c>
      <c r="Z413" s="10" t="s">
        <v>76</v>
      </c>
      <c r="AA413" s="10" t="s">
        <v>993</v>
      </c>
      <c r="AB413" s="10" t="s">
        <v>66</v>
      </c>
      <c r="AC413" s="10" t="s">
        <v>68</v>
      </c>
      <c r="AD413" s="10" t="str">
        <f>IFERROR(VLOOKUP(B413,'Regiões Administrativas'!$A$1:$B$646,2,0),"")</f>
        <v>Campinas</v>
      </c>
      <c r="AE413" s="10">
        <f>IFERROR(VLOOKUP(Form_Responses[[#This Row],[Município]],'Regiões Administrativas'!$A$1:$I$646,3,0),"")</f>
        <v>15343</v>
      </c>
      <c r="AF413" s="10">
        <f>IFERROR(VLOOKUP(Form_Responses[[#This Row],[Município]],'Regiões Administrativas'!$A$1:$I$646,4,0),"")</f>
        <v>350060005000001</v>
      </c>
      <c r="AG413" s="10">
        <f>IFERROR(VLOOKUP(Form_Responses[[#This Row],[Município]],'Regiões Administrativas'!$A$1:$I$646,4,0),"")</f>
        <v>350060005000001</v>
      </c>
      <c r="AH413" s="10">
        <f>IFERROR(VLOOKUP(B413,'Regiões Administrativas'!$A$1:$I$646,5,0),"")</f>
        <v>3500600</v>
      </c>
      <c r="AI413" s="10">
        <f>IFERROR(VLOOKUP(B413,'Regiões Administrativas'!$A$1:$I$646,6,0),"")</f>
        <v>-47.883974700000003</v>
      </c>
      <c r="AJ413" s="10">
        <f>IFERROR(VLOOKUP(B413,'Regiões Administrativas'!$A$1:$I$646,8,0),"")</f>
        <v>515.23534299999994</v>
      </c>
      <c r="AK413" s="10" t="str">
        <f>IFERROR(VLOOKUP(Form_Responses[[#This Row],[Município]],'Regiões Administrativas'!$A$1:$I$646,9,0),"")</f>
        <v>1J6tHiP,SUj&gt;</v>
      </c>
    </row>
    <row r="414" spans="1:37" ht="22.5" customHeight="1">
      <c r="A414" s="18">
        <v>46043.634599259254</v>
      </c>
      <c r="B414" s="10" t="s">
        <v>2016</v>
      </c>
      <c r="C414" s="10" t="s">
        <v>1109</v>
      </c>
      <c r="D414" s="10" t="s">
        <v>2118</v>
      </c>
      <c r="E414" s="10" t="s">
        <v>2119</v>
      </c>
      <c r="G414" s="10" t="s">
        <v>2046</v>
      </c>
      <c r="I414" s="10" t="s">
        <v>43</v>
      </c>
      <c r="J414" s="16">
        <v>46263</v>
      </c>
      <c r="K414" s="16">
        <v>46052</v>
      </c>
      <c r="L414" s="17">
        <v>0.45833333333575865</v>
      </c>
      <c r="M414" s="17">
        <v>0.83333333333575865</v>
      </c>
      <c r="N414" s="10" t="s">
        <v>268</v>
      </c>
      <c r="O414" s="10" t="s">
        <v>45</v>
      </c>
      <c r="P414" s="10" t="s">
        <v>63</v>
      </c>
      <c r="Q414" s="10" t="s">
        <v>47</v>
      </c>
      <c r="R414" s="10" t="s">
        <v>74</v>
      </c>
      <c r="S414" s="10">
        <v>500</v>
      </c>
      <c r="W414" s="10" t="s">
        <v>2032</v>
      </c>
      <c r="Y414" s="10" t="s">
        <v>2025</v>
      </c>
      <c r="Z414" s="10" t="s">
        <v>66</v>
      </c>
      <c r="AA414" s="10" t="s">
        <v>66</v>
      </c>
      <c r="AB414" s="10" t="s">
        <v>66</v>
      </c>
      <c r="AC414" s="10" t="s">
        <v>68</v>
      </c>
      <c r="AD414" s="10" t="str">
        <f>IFERROR(VLOOKUP(B414,'Regiões Administrativas'!$A$1:$B$646,2,0),"")</f>
        <v>Campinas</v>
      </c>
      <c r="AE414" s="10">
        <f>IFERROR(VLOOKUP(Form_Responses[[#This Row],[Município]],'Regiões Administrativas'!$A$1:$I$646,3,0),"")</f>
        <v>15343</v>
      </c>
      <c r="AF414" s="10">
        <f>IFERROR(VLOOKUP(Form_Responses[[#This Row],[Município]],'Regiões Administrativas'!$A$1:$I$646,4,0),"")</f>
        <v>350060005000001</v>
      </c>
      <c r="AG414" s="10">
        <f>IFERROR(VLOOKUP(Form_Responses[[#This Row],[Município]],'Regiões Administrativas'!$A$1:$I$646,4,0),"")</f>
        <v>350060005000001</v>
      </c>
      <c r="AH414" s="10">
        <f>IFERROR(VLOOKUP(B414,'Regiões Administrativas'!$A$1:$I$646,5,0),"")</f>
        <v>3500600</v>
      </c>
      <c r="AI414" s="10">
        <f>IFERROR(VLOOKUP(B414,'Regiões Administrativas'!$A$1:$I$646,6,0),"")</f>
        <v>-47.883974700000003</v>
      </c>
      <c r="AJ414" s="10">
        <f>IFERROR(VLOOKUP(B414,'Regiões Administrativas'!$A$1:$I$646,8,0),"")</f>
        <v>515.23534299999994</v>
      </c>
      <c r="AK414" s="10" t="str">
        <f>IFERROR(VLOOKUP(Form_Responses[[#This Row],[Município]],'Regiões Administrativas'!$A$1:$I$646,9,0),"")</f>
        <v>1J6tHiP,SUj&gt;</v>
      </c>
    </row>
    <row r="415" spans="1:37" ht="22.5" customHeight="1">
      <c r="A415" s="18">
        <v>46043.646709606481</v>
      </c>
      <c r="B415" s="10" t="s">
        <v>2016</v>
      </c>
      <c r="C415" s="10" t="s">
        <v>1109</v>
      </c>
      <c r="D415" s="10" t="s">
        <v>2120</v>
      </c>
      <c r="E415" s="10" t="s">
        <v>2121</v>
      </c>
      <c r="G415" s="10" t="s">
        <v>2046</v>
      </c>
      <c r="I415" s="10" t="s">
        <v>81</v>
      </c>
      <c r="J415" s="16">
        <v>46177</v>
      </c>
      <c r="K415" s="16">
        <v>46272</v>
      </c>
      <c r="L415" s="17">
        <v>0.41666666666424135</v>
      </c>
      <c r="M415" s="17">
        <v>0.83333333333575865</v>
      </c>
      <c r="N415" s="10" t="s">
        <v>268</v>
      </c>
      <c r="O415" s="10" t="s">
        <v>62</v>
      </c>
      <c r="P415" s="10" t="s">
        <v>63</v>
      </c>
      <c r="Q415" s="10" t="s">
        <v>47</v>
      </c>
      <c r="R415" s="10" t="s">
        <v>48</v>
      </c>
      <c r="S415" s="10">
        <v>1000</v>
      </c>
      <c r="W415" s="10" t="s">
        <v>2032</v>
      </c>
      <c r="Y415" s="10" t="s">
        <v>2025</v>
      </c>
      <c r="Z415" s="10" t="s">
        <v>66</v>
      </c>
      <c r="AA415" s="10" t="s">
        <v>66</v>
      </c>
      <c r="AB415" s="10" t="s">
        <v>66</v>
      </c>
      <c r="AC415" s="10" t="s">
        <v>68</v>
      </c>
      <c r="AD415" s="10" t="str">
        <f>IFERROR(VLOOKUP(B415,'Regiões Administrativas'!$A$1:$B$646,2,0),"")</f>
        <v>Campinas</v>
      </c>
      <c r="AE415" s="10">
        <f>IFERROR(VLOOKUP(Form_Responses[[#This Row],[Município]],'Regiões Administrativas'!$A$1:$I$646,3,0),"")</f>
        <v>15343</v>
      </c>
      <c r="AF415" s="10">
        <f>IFERROR(VLOOKUP(Form_Responses[[#This Row],[Município]],'Regiões Administrativas'!$A$1:$I$646,4,0),"")</f>
        <v>350060005000001</v>
      </c>
      <c r="AG415" s="10">
        <f>IFERROR(VLOOKUP(Form_Responses[[#This Row],[Município]],'Regiões Administrativas'!$A$1:$I$646,4,0),"")</f>
        <v>350060005000001</v>
      </c>
      <c r="AH415" s="10">
        <f>IFERROR(VLOOKUP(B415,'Regiões Administrativas'!$A$1:$I$646,5,0),"")</f>
        <v>3500600</v>
      </c>
      <c r="AI415" s="10">
        <f>IFERROR(VLOOKUP(B415,'Regiões Administrativas'!$A$1:$I$646,6,0),"")</f>
        <v>-47.883974700000003</v>
      </c>
      <c r="AJ415" s="10">
        <f>IFERROR(VLOOKUP(B415,'Regiões Administrativas'!$A$1:$I$646,8,0),"")</f>
        <v>515.23534299999994</v>
      </c>
      <c r="AK415" s="10" t="str">
        <f>IFERROR(VLOOKUP(Form_Responses[[#This Row],[Município]],'Regiões Administrativas'!$A$1:$I$646,9,0),"")</f>
        <v>1J6tHiP,SUj&gt;</v>
      </c>
    </row>
    <row r="416" spans="1:37" ht="22.5" customHeight="1">
      <c r="A416" s="18">
        <v>46043.648838958332</v>
      </c>
      <c r="B416" s="10" t="s">
        <v>2016</v>
      </c>
      <c r="C416" s="10" t="s">
        <v>1109</v>
      </c>
      <c r="D416" s="10" t="s">
        <v>2122</v>
      </c>
      <c r="E416" s="10" t="s">
        <v>2123</v>
      </c>
      <c r="G416" s="10" t="s">
        <v>2059</v>
      </c>
      <c r="I416" s="10" t="s">
        <v>43</v>
      </c>
      <c r="J416" s="16">
        <v>46270</v>
      </c>
      <c r="K416" s="16">
        <v>46272</v>
      </c>
      <c r="L416" s="17">
        <v>0.41666666666424135</v>
      </c>
      <c r="M416" s="17">
        <v>0.79166666666424135</v>
      </c>
      <c r="N416" s="10" t="s">
        <v>268</v>
      </c>
      <c r="O416" s="10" t="s">
        <v>142</v>
      </c>
      <c r="P416" s="10" t="s">
        <v>63</v>
      </c>
      <c r="Q416" s="10" t="s">
        <v>47</v>
      </c>
      <c r="R416" s="10" t="s">
        <v>74</v>
      </c>
      <c r="S416" s="10">
        <v>250</v>
      </c>
      <c r="W416" s="10" t="s">
        <v>2032</v>
      </c>
      <c r="Y416" s="10" t="s">
        <v>2025</v>
      </c>
      <c r="Z416" s="10" t="s">
        <v>66</v>
      </c>
      <c r="AA416" s="10" t="s">
        <v>225</v>
      </c>
      <c r="AB416" s="10" t="s">
        <v>66</v>
      </c>
      <c r="AC416" s="10" t="s">
        <v>68</v>
      </c>
      <c r="AD416" s="10" t="str">
        <f>IFERROR(VLOOKUP(B416,'Regiões Administrativas'!$A$1:$B$646,2,0),"")</f>
        <v>Campinas</v>
      </c>
      <c r="AE416" s="10">
        <f>IFERROR(VLOOKUP(Form_Responses[[#This Row],[Município]],'Regiões Administrativas'!$A$1:$I$646,3,0),"")</f>
        <v>15343</v>
      </c>
      <c r="AF416" s="10">
        <f>IFERROR(VLOOKUP(Form_Responses[[#This Row],[Município]],'Regiões Administrativas'!$A$1:$I$646,4,0),"")</f>
        <v>350060005000001</v>
      </c>
      <c r="AG416" s="10">
        <f>IFERROR(VLOOKUP(Form_Responses[[#This Row],[Município]],'Regiões Administrativas'!$A$1:$I$646,4,0),"")</f>
        <v>350060005000001</v>
      </c>
      <c r="AH416" s="10">
        <f>IFERROR(VLOOKUP(B416,'Regiões Administrativas'!$A$1:$I$646,5,0),"")</f>
        <v>3500600</v>
      </c>
      <c r="AI416" s="10">
        <f>IFERROR(VLOOKUP(B416,'Regiões Administrativas'!$A$1:$I$646,6,0),"")</f>
        <v>-47.883974700000003</v>
      </c>
      <c r="AJ416" s="10">
        <f>IFERROR(VLOOKUP(B416,'Regiões Administrativas'!$A$1:$I$646,8,0),"")</f>
        <v>515.23534299999994</v>
      </c>
      <c r="AK416" s="10" t="str">
        <f>IFERROR(VLOOKUP(Form_Responses[[#This Row],[Município]],'Regiões Administrativas'!$A$1:$I$646,9,0),"")</f>
        <v>1J6tHiP,SUj&gt;</v>
      </c>
    </row>
    <row r="417" spans="1:37" ht="22.5" customHeight="1">
      <c r="A417" s="18">
        <v>46043.650468969907</v>
      </c>
      <c r="B417" s="10" t="s">
        <v>2016</v>
      </c>
      <c r="C417" s="10" t="s">
        <v>1109</v>
      </c>
      <c r="D417" s="10" t="s">
        <v>2124</v>
      </c>
      <c r="E417" s="10" t="s">
        <v>2092</v>
      </c>
      <c r="G417" s="10" t="s">
        <v>2046</v>
      </c>
      <c r="I417" s="10" t="s">
        <v>43</v>
      </c>
      <c r="J417" s="16">
        <v>46277</v>
      </c>
      <c r="K417" s="16">
        <v>46277</v>
      </c>
      <c r="L417" s="17">
        <v>0.33333333333575865</v>
      </c>
      <c r="M417" s="17">
        <v>0.79166666666424135</v>
      </c>
      <c r="N417" s="10" t="s">
        <v>61</v>
      </c>
      <c r="O417" s="10" t="s">
        <v>62</v>
      </c>
      <c r="P417" s="10" t="s">
        <v>63</v>
      </c>
      <c r="Q417" s="10" t="s">
        <v>47</v>
      </c>
      <c r="R417" s="10" t="s">
        <v>1002</v>
      </c>
      <c r="S417" s="10">
        <v>250</v>
      </c>
      <c r="W417" s="10" t="s">
        <v>2032</v>
      </c>
      <c r="Y417" s="10" t="s">
        <v>2025</v>
      </c>
      <c r="Z417" s="10" t="s">
        <v>66</v>
      </c>
      <c r="AA417" s="10" t="s">
        <v>66</v>
      </c>
      <c r="AB417" s="10" t="s">
        <v>66</v>
      </c>
      <c r="AC417" s="10" t="s">
        <v>68</v>
      </c>
      <c r="AD417" s="10" t="str">
        <f>IFERROR(VLOOKUP(B417,'Regiões Administrativas'!$A$1:$B$646,2,0),"")</f>
        <v>Campinas</v>
      </c>
      <c r="AE417" s="10">
        <f>IFERROR(VLOOKUP(Form_Responses[[#This Row],[Município]],'Regiões Administrativas'!$A$1:$I$646,3,0),"")</f>
        <v>15343</v>
      </c>
      <c r="AF417" s="10">
        <f>IFERROR(VLOOKUP(Form_Responses[[#This Row],[Município]],'Regiões Administrativas'!$A$1:$I$646,4,0),"")</f>
        <v>350060005000001</v>
      </c>
      <c r="AG417" s="10">
        <f>IFERROR(VLOOKUP(Form_Responses[[#This Row],[Município]],'Regiões Administrativas'!$A$1:$I$646,4,0),"")</f>
        <v>350060005000001</v>
      </c>
      <c r="AH417" s="10">
        <f>IFERROR(VLOOKUP(B417,'Regiões Administrativas'!$A$1:$I$646,5,0),"")</f>
        <v>3500600</v>
      </c>
      <c r="AI417" s="10">
        <f>IFERROR(VLOOKUP(B417,'Regiões Administrativas'!$A$1:$I$646,6,0),"")</f>
        <v>-47.883974700000003</v>
      </c>
      <c r="AJ417" s="10">
        <f>IFERROR(VLOOKUP(B417,'Regiões Administrativas'!$A$1:$I$646,8,0),"")</f>
        <v>515.23534299999994</v>
      </c>
      <c r="AK417" s="10" t="str">
        <f>IFERROR(VLOOKUP(Form_Responses[[#This Row],[Município]],'Regiões Administrativas'!$A$1:$I$646,9,0),"")</f>
        <v>1J6tHiP,SUj&gt;</v>
      </c>
    </row>
    <row r="418" spans="1:37" ht="22.5" customHeight="1">
      <c r="A418" s="18">
        <v>46043.675506539352</v>
      </c>
      <c r="B418" s="10" t="s">
        <v>2016</v>
      </c>
      <c r="C418" s="10" t="s">
        <v>1109</v>
      </c>
      <c r="D418" s="10" t="s">
        <v>2093</v>
      </c>
      <c r="E418" s="10" t="s">
        <v>2094</v>
      </c>
      <c r="G418" s="10" t="s">
        <v>2046</v>
      </c>
      <c r="I418" s="10" t="s">
        <v>81</v>
      </c>
      <c r="J418" s="16">
        <v>46278</v>
      </c>
      <c r="K418" s="16">
        <v>46278</v>
      </c>
      <c r="L418" s="17">
        <v>0.33333333333575865</v>
      </c>
      <c r="M418" s="17">
        <v>0.79166666666424135</v>
      </c>
      <c r="N418" s="10" t="s">
        <v>61</v>
      </c>
      <c r="O418" s="10" t="s">
        <v>62</v>
      </c>
      <c r="P418" s="10" t="s">
        <v>63</v>
      </c>
      <c r="Q418" s="10" t="s">
        <v>47</v>
      </c>
      <c r="R418" s="10" t="s">
        <v>74</v>
      </c>
      <c r="S418" s="10">
        <v>500</v>
      </c>
      <c r="W418" s="10" t="s">
        <v>2032</v>
      </c>
      <c r="Y418" s="10" t="s">
        <v>2025</v>
      </c>
      <c r="Z418" s="10" t="s">
        <v>66</v>
      </c>
      <c r="AA418" s="10" t="s">
        <v>225</v>
      </c>
      <c r="AB418" s="10" t="s">
        <v>66</v>
      </c>
      <c r="AC418" s="10" t="s">
        <v>68</v>
      </c>
      <c r="AD418" s="10" t="str">
        <f>IFERROR(VLOOKUP(B418,'Regiões Administrativas'!$A$1:$B$646,2,0),"")</f>
        <v>Campinas</v>
      </c>
      <c r="AE418" s="10">
        <f>IFERROR(VLOOKUP(Form_Responses[[#This Row],[Município]],'Regiões Administrativas'!$A$1:$I$646,3,0),"")</f>
        <v>15343</v>
      </c>
      <c r="AF418" s="10">
        <f>IFERROR(VLOOKUP(Form_Responses[[#This Row],[Município]],'Regiões Administrativas'!$A$1:$I$646,4,0),"")</f>
        <v>350060005000001</v>
      </c>
      <c r="AG418" s="10">
        <f>IFERROR(VLOOKUP(Form_Responses[[#This Row],[Município]],'Regiões Administrativas'!$A$1:$I$646,4,0),"")</f>
        <v>350060005000001</v>
      </c>
      <c r="AH418" s="10">
        <f>IFERROR(VLOOKUP(B418,'Regiões Administrativas'!$A$1:$I$646,5,0),"")</f>
        <v>3500600</v>
      </c>
      <c r="AI418" s="10">
        <f>IFERROR(VLOOKUP(B418,'Regiões Administrativas'!$A$1:$I$646,6,0),"")</f>
        <v>-47.883974700000003</v>
      </c>
      <c r="AJ418" s="10">
        <f>IFERROR(VLOOKUP(B418,'Regiões Administrativas'!$A$1:$I$646,8,0),"")</f>
        <v>515.23534299999994</v>
      </c>
      <c r="AK418" s="10" t="str">
        <f>IFERROR(VLOOKUP(Form_Responses[[#This Row],[Município]],'Regiões Administrativas'!$A$1:$I$646,9,0),"")</f>
        <v>1J6tHiP,SUj&gt;</v>
      </c>
    </row>
    <row r="419" spans="1:37" ht="22.5" customHeight="1">
      <c r="A419" s="18">
        <v>46043.677366886579</v>
      </c>
      <c r="B419" s="10" t="s">
        <v>2016</v>
      </c>
      <c r="C419" s="10" t="s">
        <v>1109</v>
      </c>
      <c r="D419" s="10" t="s">
        <v>2125</v>
      </c>
      <c r="E419" s="10" t="s">
        <v>2126</v>
      </c>
      <c r="G419" s="10" t="s">
        <v>2046</v>
      </c>
      <c r="I419" s="10" t="s">
        <v>81</v>
      </c>
      <c r="J419" s="16">
        <v>46284</v>
      </c>
      <c r="K419" s="16">
        <v>46285</v>
      </c>
      <c r="L419" s="17">
        <v>0.33333333333575865</v>
      </c>
      <c r="M419" s="17">
        <v>0.70833333333575865</v>
      </c>
      <c r="N419" s="10" t="s">
        <v>61</v>
      </c>
      <c r="O419" s="10" t="s">
        <v>62</v>
      </c>
      <c r="P419" s="10" t="s">
        <v>63</v>
      </c>
      <c r="Q419" s="10" t="s">
        <v>47</v>
      </c>
      <c r="R419" s="10" t="s">
        <v>1002</v>
      </c>
      <c r="S419" s="10">
        <v>350</v>
      </c>
      <c r="W419" s="10" t="s">
        <v>2032</v>
      </c>
      <c r="Y419" s="10" t="s">
        <v>2025</v>
      </c>
      <c r="Z419" s="10" t="s">
        <v>66</v>
      </c>
      <c r="AA419" s="10" t="s">
        <v>66</v>
      </c>
      <c r="AB419" s="10" t="s">
        <v>66</v>
      </c>
      <c r="AC419" s="10" t="s">
        <v>68</v>
      </c>
      <c r="AD419" s="10" t="str">
        <f>IFERROR(VLOOKUP(B419,'Regiões Administrativas'!$A$1:$B$646,2,0),"")</f>
        <v>Campinas</v>
      </c>
      <c r="AE419" s="10">
        <f>IFERROR(VLOOKUP(Form_Responses[[#This Row],[Município]],'Regiões Administrativas'!$A$1:$I$646,3,0),"")</f>
        <v>15343</v>
      </c>
      <c r="AF419" s="10">
        <f>IFERROR(VLOOKUP(Form_Responses[[#This Row],[Município]],'Regiões Administrativas'!$A$1:$I$646,4,0),"")</f>
        <v>350060005000001</v>
      </c>
      <c r="AG419" s="10">
        <f>IFERROR(VLOOKUP(Form_Responses[[#This Row],[Município]],'Regiões Administrativas'!$A$1:$I$646,4,0),"")</f>
        <v>350060005000001</v>
      </c>
      <c r="AH419" s="10">
        <f>IFERROR(VLOOKUP(B419,'Regiões Administrativas'!$A$1:$I$646,5,0),"")</f>
        <v>3500600</v>
      </c>
      <c r="AI419" s="10">
        <f>IFERROR(VLOOKUP(B419,'Regiões Administrativas'!$A$1:$I$646,6,0),"")</f>
        <v>-47.883974700000003</v>
      </c>
      <c r="AJ419" s="10">
        <f>IFERROR(VLOOKUP(B419,'Regiões Administrativas'!$A$1:$I$646,8,0),"")</f>
        <v>515.23534299999994</v>
      </c>
      <c r="AK419" s="10" t="str">
        <f>IFERROR(VLOOKUP(Form_Responses[[#This Row],[Município]],'Regiões Administrativas'!$A$1:$I$646,9,0),"")</f>
        <v>1J6tHiP,SUj&gt;</v>
      </c>
    </row>
    <row r="420" spans="1:37" ht="22.5" customHeight="1">
      <c r="A420" s="18">
        <v>46043.678789224534</v>
      </c>
      <c r="B420" s="10" t="s">
        <v>2016</v>
      </c>
      <c r="C420" s="10" t="s">
        <v>1109</v>
      </c>
      <c r="D420" s="10" t="s">
        <v>2127</v>
      </c>
      <c r="E420" s="10" t="s">
        <v>2128</v>
      </c>
      <c r="G420" s="10" t="s">
        <v>2046</v>
      </c>
      <c r="I420" s="10" t="s">
        <v>81</v>
      </c>
      <c r="J420" s="16">
        <v>46291</v>
      </c>
      <c r="K420" s="16">
        <v>46292</v>
      </c>
      <c r="L420" s="17">
        <v>0.5</v>
      </c>
      <c r="M420" s="17">
        <v>0.83333333333575865</v>
      </c>
      <c r="N420" s="10" t="s">
        <v>61</v>
      </c>
      <c r="O420" s="10" t="s">
        <v>62</v>
      </c>
      <c r="P420" s="10" t="s">
        <v>63</v>
      </c>
      <c r="Q420" s="10" t="s">
        <v>47</v>
      </c>
      <c r="R420" s="10" t="s">
        <v>1002</v>
      </c>
      <c r="S420" s="10">
        <v>450</v>
      </c>
      <c r="W420" s="10" t="s">
        <v>2032</v>
      </c>
      <c r="Y420" s="10" t="s">
        <v>2025</v>
      </c>
      <c r="Z420" s="10" t="s">
        <v>66</v>
      </c>
      <c r="AA420" s="10" t="s">
        <v>225</v>
      </c>
      <c r="AB420" s="10" t="s">
        <v>66</v>
      </c>
      <c r="AC420" s="10" t="s">
        <v>68</v>
      </c>
      <c r="AD420" s="10" t="str">
        <f>IFERROR(VLOOKUP(B420,'Regiões Administrativas'!$A$1:$B$646,2,0),"")</f>
        <v>Campinas</v>
      </c>
      <c r="AE420" s="10">
        <f>IFERROR(VLOOKUP(Form_Responses[[#This Row],[Município]],'Regiões Administrativas'!$A$1:$I$646,3,0),"")</f>
        <v>15343</v>
      </c>
      <c r="AF420" s="10">
        <f>IFERROR(VLOOKUP(Form_Responses[[#This Row],[Município]],'Regiões Administrativas'!$A$1:$I$646,4,0),"")</f>
        <v>350060005000001</v>
      </c>
      <c r="AG420" s="10">
        <f>IFERROR(VLOOKUP(Form_Responses[[#This Row],[Município]],'Regiões Administrativas'!$A$1:$I$646,4,0),"")</f>
        <v>350060005000001</v>
      </c>
      <c r="AH420" s="10">
        <f>IFERROR(VLOOKUP(B420,'Regiões Administrativas'!$A$1:$I$646,5,0),"")</f>
        <v>3500600</v>
      </c>
      <c r="AI420" s="10">
        <f>IFERROR(VLOOKUP(B420,'Regiões Administrativas'!$A$1:$I$646,6,0),"")</f>
        <v>-47.883974700000003</v>
      </c>
      <c r="AJ420" s="10">
        <f>IFERROR(VLOOKUP(B420,'Regiões Administrativas'!$A$1:$I$646,8,0),"")</f>
        <v>515.23534299999994</v>
      </c>
      <c r="AK420" s="10" t="str">
        <f>IFERROR(VLOOKUP(Form_Responses[[#This Row],[Município]],'Regiões Administrativas'!$A$1:$I$646,9,0),"")</f>
        <v>1J6tHiP,SUj&gt;</v>
      </c>
    </row>
    <row r="421" spans="1:37" ht="22.5" customHeight="1">
      <c r="A421" s="18">
        <v>46043.680919733801</v>
      </c>
      <c r="B421" s="10" t="s">
        <v>2016</v>
      </c>
      <c r="C421" s="10" t="s">
        <v>1109</v>
      </c>
      <c r="D421" s="10" t="s">
        <v>2129</v>
      </c>
      <c r="E421" s="10" t="s">
        <v>2130</v>
      </c>
      <c r="G421" s="10" t="s">
        <v>2046</v>
      </c>
      <c r="I421" s="10" t="s">
        <v>255</v>
      </c>
      <c r="J421" s="16">
        <v>46305</v>
      </c>
      <c r="K421" s="16">
        <v>46305</v>
      </c>
      <c r="L421" s="17">
        <v>0.5</v>
      </c>
      <c r="M421" s="17">
        <v>0.75</v>
      </c>
      <c r="N421" s="10" t="s">
        <v>44</v>
      </c>
      <c r="O421" s="10" t="s">
        <v>45</v>
      </c>
      <c r="P421" s="10" t="s">
        <v>63</v>
      </c>
      <c r="Q421" s="10" t="s">
        <v>47</v>
      </c>
      <c r="R421" s="10" t="s">
        <v>256</v>
      </c>
      <c r="S421" s="10">
        <v>200</v>
      </c>
      <c r="W421" s="10" t="s">
        <v>2020</v>
      </c>
      <c r="Y421" s="10" t="s">
        <v>2025</v>
      </c>
      <c r="Z421" s="10" t="s">
        <v>66</v>
      </c>
      <c r="AA421" s="10" t="s">
        <v>225</v>
      </c>
      <c r="AB421" s="10" t="s">
        <v>66</v>
      </c>
      <c r="AC421" s="10" t="s">
        <v>68</v>
      </c>
      <c r="AD421" s="10" t="str">
        <f>IFERROR(VLOOKUP(B421,'Regiões Administrativas'!$A$1:$B$646,2,0),"")</f>
        <v>Campinas</v>
      </c>
      <c r="AE421" s="10">
        <f>IFERROR(VLOOKUP(Form_Responses[[#This Row],[Município]],'Regiões Administrativas'!$A$1:$I$646,3,0),"")</f>
        <v>15343</v>
      </c>
      <c r="AF421" s="10">
        <f>IFERROR(VLOOKUP(Form_Responses[[#This Row],[Município]],'Regiões Administrativas'!$A$1:$I$646,4,0),"")</f>
        <v>350060005000001</v>
      </c>
      <c r="AG421" s="10">
        <f>IFERROR(VLOOKUP(Form_Responses[[#This Row],[Município]],'Regiões Administrativas'!$A$1:$I$646,4,0),"")</f>
        <v>350060005000001</v>
      </c>
      <c r="AH421" s="10">
        <f>IFERROR(VLOOKUP(B421,'Regiões Administrativas'!$A$1:$I$646,5,0),"")</f>
        <v>3500600</v>
      </c>
      <c r="AI421" s="10">
        <f>IFERROR(VLOOKUP(B421,'Regiões Administrativas'!$A$1:$I$646,6,0),"")</f>
        <v>-47.883974700000003</v>
      </c>
      <c r="AJ421" s="10">
        <f>IFERROR(VLOOKUP(B421,'Regiões Administrativas'!$A$1:$I$646,8,0),"")</f>
        <v>515.23534299999994</v>
      </c>
      <c r="AK421" s="10" t="str">
        <f>IFERROR(VLOOKUP(Form_Responses[[#This Row],[Município]],'Regiões Administrativas'!$A$1:$I$646,9,0),"")</f>
        <v>1J6tHiP,SUj&gt;</v>
      </c>
    </row>
    <row r="422" spans="1:37" ht="22.5" customHeight="1">
      <c r="A422" s="18">
        <v>46043.689672418986</v>
      </c>
      <c r="B422" s="10" t="s">
        <v>2016</v>
      </c>
      <c r="C422" s="10" t="s">
        <v>1109</v>
      </c>
      <c r="D422" s="10" t="s">
        <v>2131</v>
      </c>
      <c r="E422" s="10" t="s">
        <v>2132</v>
      </c>
      <c r="G422" s="10" t="s">
        <v>2019</v>
      </c>
      <c r="I422" s="10" t="s">
        <v>255</v>
      </c>
      <c r="J422" s="16">
        <v>46306</v>
      </c>
      <c r="K422" s="16">
        <v>46306</v>
      </c>
      <c r="L422" s="17">
        <v>0.41666666666424135</v>
      </c>
      <c r="M422" s="17">
        <v>0.75</v>
      </c>
      <c r="N422" s="10" t="s">
        <v>268</v>
      </c>
      <c r="O422" s="10" t="s">
        <v>234</v>
      </c>
      <c r="P422" s="10" t="s">
        <v>235</v>
      </c>
      <c r="Q422" s="10" t="s">
        <v>47</v>
      </c>
      <c r="R422" s="10" t="s">
        <v>1002</v>
      </c>
      <c r="S422" s="10">
        <v>400</v>
      </c>
      <c r="W422" s="10" t="s">
        <v>2032</v>
      </c>
      <c r="Y422" s="10" t="s">
        <v>2133</v>
      </c>
      <c r="Z422" s="10" t="s">
        <v>66</v>
      </c>
      <c r="AA422" s="10" t="s">
        <v>66</v>
      </c>
      <c r="AB422" s="10" t="s">
        <v>66</v>
      </c>
      <c r="AC422" s="10" t="s">
        <v>68</v>
      </c>
      <c r="AD422" s="10" t="str">
        <f>IFERROR(VLOOKUP(B422,'Regiões Administrativas'!$A$1:$B$646,2,0),"")</f>
        <v>Campinas</v>
      </c>
      <c r="AE422" s="10">
        <f>IFERROR(VLOOKUP(Form_Responses[[#This Row],[Município]],'Regiões Administrativas'!$A$1:$I$646,3,0),"")</f>
        <v>15343</v>
      </c>
      <c r="AF422" s="10">
        <f>IFERROR(VLOOKUP(Form_Responses[[#This Row],[Município]],'Regiões Administrativas'!$A$1:$I$646,4,0),"")</f>
        <v>350060005000001</v>
      </c>
      <c r="AG422" s="10">
        <f>IFERROR(VLOOKUP(Form_Responses[[#This Row],[Município]],'Regiões Administrativas'!$A$1:$I$646,4,0),"")</f>
        <v>350060005000001</v>
      </c>
      <c r="AH422" s="10">
        <f>IFERROR(VLOOKUP(B422,'Regiões Administrativas'!$A$1:$I$646,5,0),"")</f>
        <v>3500600</v>
      </c>
      <c r="AI422" s="10">
        <f>IFERROR(VLOOKUP(B422,'Regiões Administrativas'!$A$1:$I$646,6,0),"")</f>
        <v>-47.883974700000003</v>
      </c>
      <c r="AJ422" s="10">
        <f>IFERROR(VLOOKUP(B422,'Regiões Administrativas'!$A$1:$I$646,8,0),"")</f>
        <v>515.23534299999994</v>
      </c>
      <c r="AK422" s="10" t="str">
        <f>IFERROR(VLOOKUP(Form_Responses[[#This Row],[Município]],'Regiões Administrativas'!$A$1:$I$646,9,0),"")</f>
        <v>1J6tHiP,SUj&gt;</v>
      </c>
    </row>
    <row r="423" spans="1:37" ht="22.5" customHeight="1">
      <c r="A423" s="18">
        <v>46043.692654895829</v>
      </c>
      <c r="B423" s="10" t="s">
        <v>2016</v>
      </c>
      <c r="C423" s="10" t="s">
        <v>1109</v>
      </c>
      <c r="D423" s="10" t="s">
        <v>2134</v>
      </c>
      <c r="E423" s="10" t="s">
        <v>2135</v>
      </c>
      <c r="G423" s="10" t="s">
        <v>2046</v>
      </c>
      <c r="I423" s="10" t="s">
        <v>255</v>
      </c>
      <c r="J423" s="16">
        <v>46312</v>
      </c>
      <c r="K423" s="16">
        <v>46314</v>
      </c>
      <c r="L423" s="17">
        <v>0.41666666666424135</v>
      </c>
      <c r="M423" s="17">
        <v>0.79166666666424135</v>
      </c>
      <c r="N423" s="10" t="s">
        <v>268</v>
      </c>
      <c r="O423" s="10" t="s">
        <v>45</v>
      </c>
      <c r="P423" s="10" t="s">
        <v>63</v>
      </c>
      <c r="Q423" s="10" t="s">
        <v>47</v>
      </c>
      <c r="R423" s="10" t="s">
        <v>256</v>
      </c>
      <c r="S423" s="10">
        <v>150</v>
      </c>
      <c r="W423" s="10" t="s">
        <v>2032</v>
      </c>
      <c r="Y423" s="10" t="s">
        <v>2136</v>
      </c>
      <c r="Z423" s="10" t="s">
        <v>66</v>
      </c>
      <c r="AA423" s="10" t="s">
        <v>225</v>
      </c>
      <c r="AB423" s="10" t="s">
        <v>66</v>
      </c>
      <c r="AC423" s="10" t="s">
        <v>68</v>
      </c>
      <c r="AD423" s="10" t="str">
        <f>IFERROR(VLOOKUP(B423,'Regiões Administrativas'!$A$1:$B$646,2,0),"")</f>
        <v>Campinas</v>
      </c>
      <c r="AE423" s="10">
        <f>IFERROR(VLOOKUP(Form_Responses[[#This Row],[Município]],'Regiões Administrativas'!$A$1:$I$646,3,0),"")</f>
        <v>15343</v>
      </c>
      <c r="AF423" s="10">
        <f>IFERROR(VLOOKUP(Form_Responses[[#This Row],[Município]],'Regiões Administrativas'!$A$1:$I$646,4,0),"")</f>
        <v>350060005000001</v>
      </c>
      <c r="AG423" s="10">
        <f>IFERROR(VLOOKUP(Form_Responses[[#This Row],[Município]],'Regiões Administrativas'!$A$1:$I$646,4,0),"")</f>
        <v>350060005000001</v>
      </c>
      <c r="AH423" s="10">
        <f>IFERROR(VLOOKUP(B423,'Regiões Administrativas'!$A$1:$I$646,5,0),"")</f>
        <v>3500600</v>
      </c>
      <c r="AI423" s="10">
        <f>IFERROR(VLOOKUP(B423,'Regiões Administrativas'!$A$1:$I$646,6,0),"")</f>
        <v>-47.883974700000003</v>
      </c>
      <c r="AJ423" s="10">
        <f>IFERROR(VLOOKUP(B423,'Regiões Administrativas'!$A$1:$I$646,8,0),"")</f>
        <v>515.23534299999994</v>
      </c>
      <c r="AK423" s="10" t="str">
        <f>IFERROR(VLOOKUP(Form_Responses[[#This Row],[Município]],'Regiões Administrativas'!$A$1:$I$646,9,0),"")</f>
        <v>1J6tHiP,SUj&gt;</v>
      </c>
    </row>
    <row r="424" spans="1:37" ht="22.5" customHeight="1">
      <c r="A424" s="18">
        <v>46043.697605347217</v>
      </c>
      <c r="B424" s="10" t="s">
        <v>2016</v>
      </c>
      <c r="C424" s="10" t="s">
        <v>1109</v>
      </c>
      <c r="D424" s="10" t="s">
        <v>2137</v>
      </c>
      <c r="E424" s="10" t="s">
        <v>2138</v>
      </c>
      <c r="G424" s="10" t="s">
        <v>2059</v>
      </c>
      <c r="I424" s="10" t="s">
        <v>255</v>
      </c>
      <c r="J424" s="16">
        <v>46326</v>
      </c>
      <c r="K424" s="16">
        <v>46326</v>
      </c>
      <c r="L424" s="17">
        <v>0.79166666666424135</v>
      </c>
      <c r="M424" s="17">
        <v>0.95833333333575865</v>
      </c>
      <c r="N424" s="10" t="s">
        <v>61</v>
      </c>
      <c r="O424" s="10" t="s">
        <v>99</v>
      </c>
      <c r="P424" s="10" t="s">
        <v>63</v>
      </c>
      <c r="Q424" s="10" t="s">
        <v>47</v>
      </c>
      <c r="R424" s="10" t="s">
        <v>1002</v>
      </c>
      <c r="S424" s="10">
        <v>350</v>
      </c>
      <c r="W424" s="10" t="s">
        <v>2032</v>
      </c>
      <c r="Y424" s="10" t="s">
        <v>2136</v>
      </c>
      <c r="Z424" s="10" t="s">
        <v>76</v>
      </c>
      <c r="AA424" s="10" t="s">
        <v>225</v>
      </c>
      <c r="AB424" s="10" t="s">
        <v>66</v>
      </c>
      <c r="AC424" s="10" t="s">
        <v>68</v>
      </c>
      <c r="AD424" s="10" t="str">
        <f>IFERROR(VLOOKUP(B424,'Regiões Administrativas'!$A$1:$B$646,2,0),"")</f>
        <v>Campinas</v>
      </c>
      <c r="AE424" s="10">
        <f>IFERROR(VLOOKUP(Form_Responses[[#This Row],[Município]],'Regiões Administrativas'!$A$1:$I$646,3,0),"")</f>
        <v>15343</v>
      </c>
      <c r="AF424" s="10">
        <f>IFERROR(VLOOKUP(Form_Responses[[#This Row],[Município]],'Regiões Administrativas'!$A$1:$I$646,4,0),"")</f>
        <v>350060005000001</v>
      </c>
      <c r="AG424" s="10">
        <f>IFERROR(VLOOKUP(Form_Responses[[#This Row],[Município]],'Regiões Administrativas'!$A$1:$I$646,4,0),"")</f>
        <v>350060005000001</v>
      </c>
      <c r="AH424" s="10">
        <f>IFERROR(VLOOKUP(B424,'Regiões Administrativas'!$A$1:$I$646,5,0),"")</f>
        <v>3500600</v>
      </c>
      <c r="AI424" s="10">
        <f>IFERROR(VLOOKUP(B424,'Regiões Administrativas'!$A$1:$I$646,6,0),"")</f>
        <v>-47.883974700000003</v>
      </c>
      <c r="AJ424" s="10">
        <f>IFERROR(VLOOKUP(B424,'Regiões Administrativas'!$A$1:$I$646,8,0),"")</f>
        <v>515.23534299999994</v>
      </c>
      <c r="AK424" s="10" t="str">
        <f>IFERROR(VLOOKUP(Form_Responses[[#This Row],[Município]],'Regiões Administrativas'!$A$1:$I$646,9,0),"")</f>
        <v>1J6tHiP,SUj&gt;</v>
      </c>
    </row>
    <row r="425" spans="1:37" ht="22.5" customHeight="1">
      <c r="A425" s="18">
        <v>46044.414016284718</v>
      </c>
      <c r="B425" s="10" t="s">
        <v>2016</v>
      </c>
      <c r="C425" s="10" t="s">
        <v>1109</v>
      </c>
      <c r="D425" s="10" t="s">
        <v>2139</v>
      </c>
      <c r="E425" s="10" t="s">
        <v>2140</v>
      </c>
      <c r="G425" s="10" t="s">
        <v>2019</v>
      </c>
      <c r="I425" s="10" t="s">
        <v>197</v>
      </c>
      <c r="J425" s="16">
        <v>46336</v>
      </c>
      <c r="K425" s="16">
        <v>46306</v>
      </c>
      <c r="L425" s="17">
        <v>0.33333333333575865</v>
      </c>
      <c r="M425" s="17">
        <v>0.75</v>
      </c>
      <c r="N425" s="10" t="s">
        <v>641</v>
      </c>
      <c r="O425" s="10" t="s">
        <v>142</v>
      </c>
      <c r="P425" s="10" t="s">
        <v>63</v>
      </c>
      <c r="Q425" s="10" t="s">
        <v>47</v>
      </c>
      <c r="R425" s="10" t="s">
        <v>74</v>
      </c>
      <c r="S425" s="10">
        <v>3000</v>
      </c>
      <c r="W425" s="10" t="s">
        <v>2032</v>
      </c>
      <c r="Y425" s="10" t="s">
        <v>2025</v>
      </c>
      <c r="Z425" s="10" t="s">
        <v>66</v>
      </c>
      <c r="AA425" s="10" t="s">
        <v>225</v>
      </c>
      <c r="AB425" s="10" t="s">
        <v>66</v>
      </c>
      <c r="AC425" s="10" t="s">
        <v>68</v>
      </c>
      <c r="AD425" s="10" t="str">
        <f>IFERROR(VLOOKUP(B425,'Regiões Administrativas'!$A$1:$B$646,2,0),"")</f>
        <v>Campinas</v>
      </c>
      <c r="AE425" s="10">
        <f>IFERROR(VLOOKUP(Form_Responses[[#This Row],[Município]],'Regiões Administrativas'!$A$1:$I$646,3,0),"")</f>
        <v>15343</v>
      </c>
      <c r="AF425" s="10">
        <f>IFERROR(VLOOKUP(Form_Responses[[#This Row],[Município]],'Regiões Administrativas'!$A$1:$I$646,4,0),"")</f>
        <v>350060005000001</v>
      </c>
      <c r="AG425" s="10">
        <f>IFERROR(VLOOKUP(Form_Responses[[#This Row],[Município]],'Regiões Administrativas'!$A$1:$I$646,4,0),"")</f>
        <v>350060005000001</v>
      </c>
      <c r="AH425" s="10">
        <f>IFERROR(VLOOKUP(B425,'Regiões Administrativas'!$A$1:$I$646,5,0),"")</f>
        <v>3500600</v>
      </c>
      <c r="AI425" s="10">
        <f>IFERROR(VLOOKUP(B425,'Regiões Administrativas'!$A$1:$I$646,6,0),"")</f>
        <v>-47.883974700000003</v>
      </c>
      <c r="AJ425" s="10">
        <f>IFERROR(VLOOKUP(B425,'Regiões Administrativas'!$A$1:$I$646,8,0),"")</f>
        <v>515.23534299999994</v>
      </c>
      <c r="AK425" s="10" t="str">
        <f>IFERROR(VLOOKUP(Form_Responses[[#This Row],[Município]],'Regiões Administrativas'!$A$1:$I$646,9,0),"")</f>
        <v>1J6tHiP,SUj&gt;</v>
      </c>
    </row>
    <row r="426" spans="1:37" ht="22.5" customHeight="1">
      <c r="A426" s="18">
        <v>46044.416457025465</v>
      </c>
      <c r="B426" s="10" t="s">
        <v>2016</v>
      </c>
      <c r="C426" s="10" t="s">
        <v>1109</v>
      </c>
      <c r="D426" s="10" t="s">
        <v>2141</v>
      </c>
      <c r="E426" s="10" t="s">
        <v>2142</v>
      </c>
      <c r="G426" s="10" t="s">
        <v>2143</v>
      </c>
      <c r="I426" s="10" t="s">
        <v>197</v>
      </c>
      <c r="J426" s="16">
        <v>46340</v>
      </c>
      <c r="K426" s="16">
        <v>46396</v>
      </c>
      <c r="L426" s="17">
        <v>0.58333333333575865</v>
      </c>
      <c r="M426" s="17">
        <v>0.95833333333575865</v>
      </c>
      <c r="N426" s="10" t="s">
        <v>44</v>
      </c>
      <c r="O426" s="10" t="s">
        <v>45</v>
      </c>
      <c r="P426" s="10" t="s">
        <v>251</v>
      </c>
      <c r="Q426" s="10" t="s">
        <v>47</v>
      </c>
      <c r="R426" s="10" t="s">
        <v>74</v>
      </c>
      <c r="S426" s="10">
        <v>500000</v>
      </c>
      <c r="W426" s="10" t="s">
        <v>2020</v>
      </c>
      <c r="Y426" s="10" t="s">
        <v>2025</v>
      </c>
      <c r="Z426" s="10" t="s">
        <v>224</v>
      </c>
      <c r="AA426" s="10" t="s">
        <v>343</v>
      </c>
      <c r="AB426" s="10" t="s">
        <v>54</v>
      </c>
      <c r="AC426" s="10" t="s">
        <v>68</v>
      </c>
      <c r="AD426" s="10" t="str">
        <f>IFERROR(VLOOKUP(B426,'Regiões Administrativas'!$A$1:$B$646,2,0),"")</f>
        <v>Campinas</v>
      </c>
      <c r="AE426" s="10">
        <f>IFERROR(VLOOKUP(Form_Responses[[#This Row],[Município]],'Regiões Administrativas'!$A$1:$I$646,3,0),"")</f>
        <v>15343</v>
      </c>
      <c r="AF426" s="10">
        <f>IFERROR(VLOOKUP(Form_Responses[[#This Row],[Município]],'Regiões Administrativas'!$A$1:$I$646,4,0),"")</f>
        <v>350060005000001</v>
      </c>
      <c r="AG426" s="10">
        <f>IFERROR(VLOOKUP(Form_Responses[[#This Row],[Município]],'Regiões Administrativas'!$A$1:$I$646,4,0),"")</f>
        <v>350060005000001</v>
      </c>
      <c r="AH426" s="10">
        <f>IFERROR(VLOOKUP(B426,'Regiões Administrativas'!$A$1:$I$646,5,0),"")</f>
        <v>3500600</v>
      </c>
      <c r="AI426" s="10">
        <f>IFERROR(VLOOKUP(B426,'Regiões Administrativas'!$A$1:$I$646,6,0),"")</f>
        <v>-47.883974700000003</v>
      </c>
      <c r="AJ426" s="10">
        <f>IFERROR(VLOOKUP(B426,'Regiões Administrativas'!$A$1:$I$646,8,0),"")</f>
        <v>515.23534299999994</v>
      </c>
      <c r="AK426" s="10" t="str">
        <f>IFERROR(VLOOKUP(Form_Responses[[#This Row],[Município]],'Regiões Administrativas'!$A$1:$I$646,9,0),"")</f>
        <v>1J6tHiP,SUj&gt;</v>
      </c>
    </row>
    <row r="427" spans="1:37" ht="22.5" customHeight="1">
      <c r="A427" s="18">
        <v>46044.418220162042</v>
      </c>
      <c r="B427" s="10" t="s">
        <v>2016</v>
      </c>
      <c r="C427" s="10" t="s">
        <v>1109</v>
      </c>
      <c r="D427" s="10" t="s">
        <v>2144</v>
      </c>
      <c r="E427" s="10" t="s">
        <v>2145</v>
      </c>
      <c r="G427" s="10" t="s">
        <v>2146</v>
      </c>
      <c r="I427" s="10" t="s">
        <v>197</v>
      </c>
      <c r="J427" s="16">
        <v>46374</v>
      </c>
      <c r="K427" s="16">
        <v>46028</v>
      </c>
      <c r="L427" s="17">
        <v>0.41666666666424135</v>
      </c>
      <c r="M427" s="17">
        <v>0.83333333333575865</v>
      </c>
      <c r="N427" s="10" t="s">
        <v>268</v>
      </c>
      <c r="O427" s="10" t="s">
        <v>45</v>
      </c>
      <c r="P427" s="10" t="s">
        <v>251</v>
      </c>
      <c r="Q427" s="10" t="s">
        <v>47</v>
      </c>
      <c r="R427" s="10" t="s">
        <v>74</v>
      </c>
      <c r="S427" s="10">
        <v>15000</v>
      </c>
      <c r="W427" s="10" t="s">
        <v>2032</v>
      </c>
      <c r="Y427" s="10" t="s">
        <v>2025</v>
      </c>
      <c r="Z427" s="10" t="s">
        <v>66</v>
      </c>
      <c r="AA427" s="10" t="s">
        <v>225</v>
      </c>
      <c r="AB427" s="10" t="s">
        <v>66</v>
      </c>
      <c r="AC427" s="10" t="s">
        <v>68</v>
      </c>
      <c r="AD427" s="10" t="str">
        <f>IFERROR(VLOOKUP(B427,'Regiões Administrativas'!$A$1:$B$646,2,0),"")</f>
        <v>Campinas</v>
      </c>
      <c r="AE427" s="10">
        <f>IFERROR(VLOOKUP(Form_Responses[[#This Row],[Município]],'Regiões Administrativas'!$A$1:$I$646,3,0),"")</f>
        <v>15343</v>
      </c>
      <c r="AF427" s="10">
        <f>IFERROR(VLOOKUP(Form_Responses[[#This Row],[Município]],'Regiões Administrativas'!$A$1:$I$646,4,0),"")</f>
        <v>350060005000001</v>
      </c>
      <c r="AG427" s="10">
        <f>IFERROR(VLOOKUP(Form_Responses[[#This Row],[Município]],'Regiões Administrativas'!$A$1:$I$646,4,0),"")</f>
        <v>350060005000001</v>
      </c>
      <c r="AH427" s="10">
        <f>IFERROR(VLOOKUP(B427,'Regiões Administrativas'!$A$1:$I$646,5,0),"")</f>
        <v>3500600</v>
      </c>
      <c r="AI427" s="10">
        <f>IFERROR(VLOOKUP(B427,'Regiões Administrativas'!$A$1:$I$646,6,0),"")</f>
        <v>-47.883974700000003</v>
      </c>
      <c r="AJ427" s="10">
        <f>IFERROR(VLOOKUP(B427,'Regiões Administrativas'!$A$1:$I$646,8,0),"")</f>
        <v>515.23534299999994</v>
      </c>
      <c r="AK427" s="10" t="str">
        <f>IFERROR(VLOOKUP(Form_Responses[[#This Row],[Município]],'Regiões Administrativas'!$A$1:$I$646,9,0),"")</f>
        <v>1J6tHiP,SUj&gt;</v>
      </c>
    </row>
    <row r="428" spans="1:37" ht="22.5" customHeight="1">
      <c r="A428" s="18">
        <v>46044.420368958337</v>
      </c>
      <c r="B428" s="10" t="s">
        <v>2016</v>
      </c>
      <c r="C428" s="10" t="s">
        <v>1109</v>
      </c>
      <c r="D428" s="10" t="s">
        <v>2147</v>
      </c>
      <c r="E428" s="10" t="s">
        <v>2148</v>
      </c>
      <c r="G428" s="10" t="s">
        <v>2149</v>
      </c>
      <c r="I428" s="10" t="s">
        <v>162</v>
      </c>
      <c r="J428" s="16">
        <v>46386</v>
      </c>
      <c r="K428" s="16">
        <v>46387</v>
      </c>
      <c r="L428" s="17">
        <v>0.83333333333575865</v>
      </c>
      <c r="M428" s="17">
        <v>0</v>
      </c>
      <c r="N428" s="10" t="s">
        <v>44</v>
      </c>
      <c r="O428" s="10" t="s">
        <v>45</v>
      </c>
      <c r="P428" s="10" t="s">
        <v>180</v>
      </c>
      <c r="Q428" s="10" t="s">
        <v>47</v>
      </c>
      <c r="R428" s="10" t="s">
        <v>1002</v>
      </c>
      <c r="S428" s="10">
        <v>3000</v>
      </c>
      <c r="W428" s="10" t="s">
        <v>2032</v>
      </c>
      <c r="Y428" s="10" t="s">
        <v>2025</v>
      </c>
      <c r="Z428" s="10" t="s">
        <v>66</v>
      </c>
      <c r="AA428" s="10" t="s">
        <v>66</v>
      </c>
      <c r="AB428" s="10" t="s">
        <v>66</v>
      </c>
      <c r="AC428" s="10" t="s">
        <v>68</v>
      </c>
      <c r="AD428" s="10" t="str">
        <f>IFERROR(VLOOKUP(B428,'Regiões Administrativas'!$A$1:$B$646,2,0),"")</f>
        <v>Campinas</v>
      </c>
      <c r="AE428" s="10">
        <f>IFERROR(VLOOKUP(Form_Responses[[#This Row],[Município]],'Regiões Administrativas'!$A$1:$I$646,3,0),"")</f>
        <v>15343</v>
      </c>
      <c r="AF428" s="10">
        <f>IFERROR(VLOOKUP(Form_Responses[[#This Row],[Município]],'Regiões Administrativas'!$A$1:$I$646,4,0),"")</f>
        <v>350060005000001</v>
      </c>
      <c r="AG428" s="10">
        <f>IFERROR(VLOOKUP(Form_Responses[[#This Row],[Município]],'Regiões Administrativas'!$A$1:$I$646,4,0),"")</f>
        <v>350060005000001</v>
      </c>
      <c r="AH428" s="10">
        <f>IFERROR(VLOOKUP(B428,'Regiões Administrativas'!$A$1:$I$646,5,0),"")</f>
        <v>3500600</v>
      </c>
      <c r="AI428" s="10">
        <f>IFERROR(VLOOKUP(B428,'Regiões Administrativas'!$A$1:$I$646,6,0),"")</f>
        <v>-47.883974700000003</v>
      </c>
      <c r="AJ428" s="10">
        <f>IFERROR(VLOOKUP(B428,'Regiões Administrativas'!$A$1:$I$646,8,0),"")</f>
        <v>515.23534299999994</v>
      </c>
      <c r="AK428" s="10" t="str">
        <f>IFERROR(VLOOKUP(Form_Responses[[#This Row],[Município]],'Regiões Administrativas'!$A$1:$I$646,9,0),"")</f>
        <v>1J6tHiP,SUj&gt;</v>
      </c>
    </row>
    <row r="429" spans="1:37" ht="22.5" customHeight="1">
      <c r="A429" s="15">
        <v>46044.469652569445</v>
      </c>
      <c r="B429" s="10" t="s">
        <v>662</v>
      </c>
      <c r="C429" s="10" t="s">
        <v>216</v>
      </c>
      <c r="D429" s="10" t="s">
        <v>2150</v>
      </c>
      <c r="E429" s="10" t="s">
        <v>2151</v>
      </c>
      <c r="G429" s="10" t="s">
        <v>2152</v>
      </c>
      <c r="H429" s="72" t="s">
        <v>672</v>
      </c>
      <c r="I429" s="10" t="s">
        <v>267</v>
      </c>
      <c r="J429" s="16">
        <v>46038</v>
      </c>
      <c r="K429" s="16">
        <v>46040</v>
      </c>
      <c r="N429" s="10" t="s">
        <v>73</v>
      </c>
      <c r="O429" s="10" t="s">
        <v>45</v>
      </c>
      <c r="P429" s="10" t="s">
        <v>99</v>
      </c>
      <c r="Q429" s="10" t="s">
        <v>47</v>
      </c>
      <c r="R429" s="10" t="s">
        <v>74</v>
      </c>
      <c r="S429" s="19">
        <v>6000</v>
      </c>
      <c r="U429" s="19">
        <v>10000</v>
      </c>
      <c r="V429" s="19">
        <v>10000</v>
      </c>
      <c r="W429" s="10" t="s">
        <v>673</v>
      </c>
      <c r="X429" s="72" t="s">
        <v>2153</v>
      </c>
      <c r="Y429" s="10" t="s">
        <v>668</v>
      </c>
      <c r="Z429" s="10" t="s">
        <v>361</v>
      </c>
      <c r="AA429" s="10" t="s">
        <v>93</v>
      </c>
      <c r="AB429" s="10" t="s">
        <v>66</v>
      </c>
      <c r="AC429" s="10" t="s">
        <v>68</v>
      </c>
      <c r="AD429" s="10" t="str">
        <f>IFERROR(VLOOKUP(B429,'Regiões Administrativas'!$A$1:$B$646,2,0),"")</f>
        <v>Santos</v>
      </c>
      <c r="AE429" s="10">
        <f>IFERROR(VLOOKUP(Form_Responses[[#This Row],[Município]],'Regiões Administrativas'!$A$1:$I$646,3,0),"")</f>
        <v>16898</v>
      </c>
      <c r="AF429" s="10">
        <f>IFERROR(VLOOKUP(Form_Responses[[#This Row],[Município]],'Regiões Administrativas'!$A$1:$I$646,4,0),"")</f>
        <v>354100005000001</v>
      </c>
      <c r="AG429" s="10">
        <f>IFERROR(VLOOKUP(Form_Responses[[#This Row],[Município]],'Regiões Administrativas'!$A$1:$I$646,4,0),"")</f>
        <v>354100005000001</v>
      </c>
      <c r="AH429" s="10">
        <f>IFERROR(VLOOKUP(B429,'Regiões Administrativas'!$A$1:$I$646,5,0),"")</f>
        <v>3541000</v>
      </c>
      <c r="AI429" s="10">
        <f>IFERROR(VLOOKUP(B429,'Regiões Administrativas'!$A$1:$I$646,6,0),"")</f>
        <v>-46.412049600000003</v>
      </c>
      <c r="AJ429" s="10">
        <f>IFERROR(VLOOKUP(B429,'Regiões Administrativas'!$A$1:$I$646,8,0),"")</f>
        <v>8.6821260000000002</v>
      </c>
      <c r="AK429" s="10" t="str">
        <f>IFERROR(VLOOKUP(Form_Responses[[#This Row],[Município]],'Regiões Administrativas'!$A$1:$I$646,9,0),"")</f>
        <v>1J6toXTzH9Kf</v>
      </c>
    </row>
    <row r="430" spans="1:37" ht="22.5" customHeight="1">
      <c r="A430" s="18">
        <v>46044.617486990741</v>
      </c>
      <c r="B430" s="10" t="s">
        <v>1968</v>
      </c>
      <c r="C430" s="10" t="s">
        <v>85</v>
      </c>
      <c r="D430" s="10" t="s">
        <v>2154</v>
      </c>
      <c r="E430" s="10" t="s">
        <v>2155</v>
      </c>
      <c r="G430" s="10" t="s">
        <v>2156</v>
      </c>
      <c r="H430" s="72" t="s">
        <v>2157</v>
      </c>
      <c r="I430" s="10" t="s">
        <v>60</v>
      </c>
      <c r="J430" s="16">
        <v>46176</v>
      </c>
      <c r="K430" s="16">
        <v>46179</v>
      </c>
      <c r="L430" s="17">
        <v>0.83333333333575865</v>
      </c>
      <c r="M430" s="17">
        <v>8.3333333335758653E-2</v>
      </c>
      <c r="N430" s="10" t="s">
        <v>61</v>
      </c>
      <c r="O430" s="10" t="s">
        <v>234</v>
      </c>
      <c r="P430" s="10" t="s">
        <v>46</v>
      </c>
      <c r="Q430" s="10" t="s">
        <v>47</v>
      </c>
      <c r="R430" s="10" t="s">
        <v>74</v>
      </c>
      <c r="S430" s="19">
        <v>44400</v>
      </c>
      <c r="T430" s="19">
        <v>37000</v>
      </c>
      <c r="U430" s="19">
        <v>33860</v>
      </c>
      <c r="V430" s="19">
        <v>31600</v>
      </c>
      <c r="W430" s="10" t="s">
        <v>1973</v>
      </c>
      <c r="Y430" s="72" t="s">
        <v>2158</v>
      </c>
      <c r="Z430" s="10" t="s">
        <v>76</v>
      </c>
      <c r="AA430" s="10" t="s">
        <v>113</v>
      </c>
      <c r="AB430" s="10" t="s">
        <v>66</v>
      </c>
      <c r="AC430" s="10" t="s">
        <v>68</v>
      </c>
      <c r="AD430" s="10" t="str">
        <f>IFERROR(VLOOKUP(B430,'Regiões Administrativas'!$A$1:$B$646,2,0),"")</f>
        <v>Campinas</v>
      </c>
      <c r="AE430" s="10">
        <f>IFERROR(VLOOKUP(Form_Responses[[#This Row],[Município]],'Regiões Administrativas'!$A$1:$I$646,3,0),"")</f>
        <v>15756</v>
      </c>
      <c r="AF430" s="10">
        <f>IFERROR(VLOOKUP(Form_Responses[[#This Row],[Município]],'Regiões Administrativas'!$A$1:$I$646,4,0),"")</f>
        <v>351080705000001</v>
      </c>
      <c r="AG430" s="10">
        <f>IFERROR(VLOOKUP(Form_Responses[[#This Row],[Município]],'Regiões Administrativas'!$A$1:$I$646,4,0),"")</f>
        <v>351080705000001</v>
      </c>
      <c r="AH430" s="10">
        <f>IFERROR(VLOOKUP(B430,'Regiões Administrativas'!$A$1:$I$646,5,0),"")</f>
        <v>3510807</v>
      </c>
      <c r="AI430" s="10">
        <f>IFERROR(VLOOKUP(B430,'Regiões Administrativas'!$A$1:$I$646,6,0),"")</f>
        <v>-47.079758200000001</v>
      </c>
      <c r="AJ430" s="10">
        <f>IFERROR(VLOOKUP(B430,'Regiões Administrativas'!$A$1:$I$646,8,0),"")</f>
        <v>718.09278400000005</v>
      </c>
      <c r="AK430" s="10" t="str">
        <f>IFERROR(VLOOKUP(Form_Responses[[#This Row],[Município]],'Regiões Administrativas'!$A$1:$I$646,9,0),"")</f>
        <v>1J6tG4mZ^Rw-</v>
      </c>
    </row>
    <row r="431" spans="1:37" ht="22.5" customHeight="1">
      <c r="A431" s="15">
        <v>46044.649068078703</v>
      </c>
      <c r="B431" s="10" t="s">
        <v>2159</v>
      </c>
      <c r="C431" s="10" t="s">
        <v>1109</v>
      </c>
      <c r="D431" s="10" t="s">
        <v>2160</v>
      </c>
      <c r="E431" s="10" t="s">
        <v>2161</v>
      </c>
      <c r="G431" s="10" t="s">
        <v>2162</v>
      </c>
      <c r="I431" s="10" t="s">
        <v>89</v>
      </c>
      <c r="J431" s="16">
        <v>46067</v>
      </c>
      <c r="K431" s="16">
        <v>46070</v>
      </c>
      <c r="N431" s="10" t="s">
        <v>44</v>
      </c>
      <c r="O431" s="10" t="s">
        <v>45</v>
      </c>
      <c r="P431" s="10" t="s">
        <v>90</v>
      </c>
      <c r="Q431" s="10" t="s">
        <v>47</v>
      </c>
      <c r="R431" s="10" t="s">
        <v>74</v>
      </c>
      <c r="S431" s="10">
        <v>20000</v>
      </c>
      <c r="W431" s="10" t="s">
        <v>2163</v>
      </c>
      <c r="Y431" s="10" t="s">
        <v>2164</v>
      </c>
      <c r="Z431" s="10" t="s">
        <v>992</v>
      </c>
      <c r="AA431" s="10" t="s">
        <v>67</v>
      </c>
      <c r="AB431" s="10" t="s">
        <v>66</v>
      </c>
      <c r="AC431" s="10" t="s">
        <v>94</v>
      </c>
      <c r="AD431" s="10" t="str">
        <f>IFERROR(VLOOKUP(B431,'Regiões Administrativas'!$A$1:$B$646,2,0),"")</f>
        <v>Central</v>
      </c>
      <c r="AE431" s="10">
        <f>IFERROR(VLOOKUP(Form_Responses[[#This Row],[Município]],'Regiões Administrativas'!$A$1:$I$646,3,0),"")</f>
        <v>17155</v>
      </c>
      <c r="AF431" s="10">
        <f>IFERROR(VLOOKUP(Form_Responses[[#This Row],[Município]],'Regiões Administrativas'!$A$1:$I$646,4,0),"")</f>
        <v>354890605000001</v>
      </c>
      <c r="AG431" s="10">
        <f>IFERROR(VLOOKUP(Form_Responses[[#This Row],[Município]],'Regiões Administrativas'!$A$1:$I$646,4,0),"")</f>
        <v>354890605000001</v>
      </c>
      <c r="AH431" s="10">
        <f>IFERROR(VLOOKUP(B431,'Regiões Administrativas'!$A$1:$I$646,5,0),"")</f>
        <v>3548906</v>
      </c>
      <c r="AI431" s="10">
        <f>IFERROR(VLOOKUP(B431,'Regiões Administrativas'!$A$1:$I$646,6,0),"")</f>
        <v>-47.889237700000002</v>
      </c>
      <c r="AJ431" s="10">
        <f>IFERROR(VLOOKUP(B431,'Regiões Administrativas'!$A$1:$I$646,8,0),"")</f>
        <v>849.65603699999997</v>
      </c>
      <c r="AK431" s="10" t="str">
        <f>IFERROR(VLOOKUP(Form_Responses[[#This Row],[Município]],'Regiões Administrativas'!$A$1:$I$646,9,0),"")</f>
        <v>1J6tgj?A]D&lt;f</v>
      </c>
    </row>
    <row r="432" spans="1:37" ht="22.5" customHeight="1">
      <c r="A432" s="18">
        <v>46045.397230532406</v>
      </c>
      <c r="B432" s="10" t="s">
        <v>2165</v>
      </c>
      <c r="C432" s="10" t="s">
        <v>811</v>
      </c>
      <c r="D432" s="10" t="s">
        <v>2166</v>
      </c>
      <c r="E432" s="10" t="s">
        <v>2167</v>
      </c>
      <c r="G432" s="10" t="s">
        <v>2168</v>
      </c>
      <c r="H432" s="72" t="s">
        <v>2169</v>
      </c>
      <c r="I432" s="10" t="s">
        <v>81</v>
      </c>
      <c r="J432" s="16">
        <v>46288</v>
      </c>
      <c r="K432" s="16">
        <v>46288</v>
      </c>
      <c r="N432" s="10" t="s">
        <v>110</v>
      </c>
      <c r="O432" s="10" t="s">
        <v>45</v>
      </c>
      <c r="P432" s="10" t="s">
        <v>63</v>
      </c>
      <c r="Q432" s="10" t="s">
        <v>47</v>
      </c>
      <c r="R432" s="10" t="s">
        <v>74</v>
      </c>
      <c r="S432" s="10">
        <v>15000</v>
      </c>
      <c r="T432" s="10">
        <v>12000</v>
      </c>
      <c r="U432" s="10">
        <v>7000</v>
      </c>
      <c r="V432" s="10">
        <v>5000</v>
      </c>
      <c r="W432" s="10" t="s">
        <v>2170</v>
      </c>
      <c r="Y432" s="10" t="s">
        <v>2171</v>
      </c>
      <c r="Z432" s="10" t="s">
        <v>76</v>
      </c>
      <c r="AA432" s="10" t="s">
        <v>67</v>
      </c>
      <c r="AB432" s="10" t="s">
        <v>54</v>
      </c>
      <c r="AC432" s="10" t="s">
        <v>68</v>
      </c>
      <c r="AD432" s="10" t="str">
        <f>IFERROR(VLOOKUP(B432,'Regiões Administrativas'!$A$1:$B$646,2,0),"")</f>
        <v>Campinas</v>
      </c>
      <c r="AE432" s="10">
        <f>IFERROR(VLOOKUP(Form_Responses[[#This Row],[Município]],'Regiões Administrativas'!$A$1:$I$646,3,0),"")</f>
        <v>17300</v>
      </c>
      <c r="AF432" s="10">
        <f>IFERROR(VLOOKUP(Form_Responses[[#This Row],[Município]],'Regiões Administrativas'!$A$1:$I$646,4,0),"")</f>
        <v>355160305000001</v>
      </c>
      <c r="AG432" s="10">
        <f>IFERROR(VLOOKUP(Form_Responses[[#This Row],[Município]],'Regiões Administrativas'!$A$1:$I$646,4,0),"")</f>
        <v>355160305000001</v>
      </c>
      <c r="AH432" s="10">
        <f>IFERROR(VLOOKUP(B432,'Regiões Administrativas'!$A$1:$I$646,5,0),"")</f>
        <v>3551603</v>
      </c>
      <c r="AI432" s="10">
        <f>IFERROR(VLOOKUP(B432,'Regiões Administrativas'!$A$1:$I$646,6,0),"")</f>
        <v>-46.701791399999998</v>
      </c>
      <c r="AJ432" s="10">
        <f>IFERROR(VLOOKUP(B432,'Regiões Administrativas'!$A$1:$I$646,8,0),"")</f>
        <v>941.40979900000002</v>
      </c>
      <c r="AK432" s="10" t="str">
        <f>IFERROR(VLOOKUP(Form_Responses[[#This Row],[Município]],'Regiões Administrativas'!$A$1:$I$646,9,0),"")</f>
        <v>1J6tjj*lLb;f</v>
      </c>
    </row>
    <row r="433" spans="1:37" ht="22.5" customHeight="1">
      <c r="A433" s="18">
        <v>46045.414272731483</v>
      </c>
      <c r="B433" s="10" t="s">
        <v>2165</v>
      </c>
      <c r="C433" s="10" t="s">
        <v>811</v>
      </c>
      <c r="D433" s="10" t="s">
        <v>2172</v>
      </c>
      <c r="E433" s="10" t="s">
        <v>2173</v>
      </c>
      <c r="G433" s="10" t="s">
        <v>2174</v>
      </c>
      <c r="H433" s="72" t="s">
        <v>2169</v>
      </c>
      <c r="I433" s="10" t="s">
        <v>72</v>
      </c>
      <c r="J433" s="16">
        <v>46221</v>
      </c>
      <c r="K433" s="16">
        <v>46222</v>
      </c>
      <c r="N433" s="10" t="s">
        <v>268</v>
      </c>
      <c r="O433" s="10" t="s">
        <v>45</v>
      </c>
      <c r="P433" s="10" t="s">
        <v>63</v>
      </c>
      <c r="Q433" s="10" t="s">
        <v>47</v>
      </c>
      <c r="R433" s="10" t="s">
        <v>48</v>
      </c>
      <c r="S433" s="10">
        <v>4000</v>
      </c>
      <c r="T433" s="10">
        <v>3000</v>
      </c>
      <c r="U433" s="10">
        <v>2500</v>
      </c>
      <c r="V433" s="10">
        <v>2000</v>
      </c>
      <c r="W433" s="10" t="s">
        <v>2170</v>
      </c>
      <c r="Y433" s="10" t="s">
        <v>2171</v>
      </c>
      <c r="Z433" s="10" t="s">
        <v>76</v>
      </c>
      <c r="AA433" s="10" t="s">
        <v>67</v>
      </c>
      <c r="AB433" s="10" t="s">
        <v>54</v>
      </c>
      <c r="AC433" s="10" t="s">
        <v>68</v>
      </c>
      <c r="AD433" s="10" t="str">
        <f>IFERROR(VLOOKUP(B433,'Regiões Administrativas'!$A$1:$B$646,2,0),"")</f>
        <v>Campinas</v>
      </c>
      <c r="AE433" s="10">
        <f>IFERROR(VLOOKUP(Form_Responses[[#This Row],[Município]],'Regiões Administrativas'!$A$1:$I$646,3,0),"")</f>
        <v>17300</v>
      </c>
      <c r="AF433" s="10">
        <f>IFERROR(VLOOKUP(Form_Responses[[#This Row],[Município]],'Regiões Administrativas'!$A$1:$I$646,4,0),"")</f>
        <v>355160305000001</v>
      </c>
      <c r="AG433" s="10">
        <f>IFERROR(VLOOKUP(Form_Responses[[#This Row],[Município]],'Regiões Administrativas'!$A$1:$I$646,4,0),"")</f>
        <v>355160305000001</v>
      </c>
      <c r="AH433" s="10">
        <f>IFERROR(VLOOKUP(B433,'Regiões Administrativas'!$A$1:$I$646,5,0),"")</f>
        <v>3551603</v>
      </c>
      <c r="AI433" s="10">
        <f>IFERROR(VLOOKUP(B433,'Regiões Administrativas'!$A$1:$I$646,6,0),"")</f>
        <v>-46.701791399999998</v>
      </c>
      <c r="AJ433" s="10">
        <f>IFERROR(VLOOKUP(B433,'Regiões Administrativas'!$A$1:$I$646,8,0),"")</f>
        <v>941.40979900000002</v>
      </c>
      <c r="AK433" s="10" t="str">
        <f>IFERROR(VLOOKUP(Form_Responses[[#This Row],[Município]],'Regiões Administrativas'!$A$1:$I$646,9,0),"")</f>
        <v>1J6tjj*lLb;f</v>
      </c>
    </row>
    <row r="434" spans="1:37" ht="22.5" customHeight="1">
      <c r="A434" s="20">
        <v>46045.427117349536</v>
      </c>
      <c r="B434" s="10" t="s">
        <v>2165</v>
      </c>
      <c r="C434" s="10" t="s">
        <v>811</v>
      </c>
      <c r="D434" s="10" t="s">
        <v>522</v>
      </c>
      <c r="E434" s="10" t="s">
        <v>2175</v>
      </c>
      <c r="G434" s="10" t="s">
        <v>2176</v>
      </c>
      <c r="H434" s="72" t="s">
        <v>2169</v>
      </c>
      <c r="I434" s="10" t="s">
        <v>128</v>
      </c>
      <c r="J434" s="16">
        <v>46143</v>
      </c>
      <c r="K434" s="16">
        <v>46145</v>
      </c>
      <c r="L434" s="17">
        <v>0.41666666666424135</v>
      </c>
      <c r="M434" s="17">
        <v>0.91666666666424135</v>
      </c>
      <c r="N434" s="10" t="s">
        <v>73</v>
      </c>
      <c r="O434" s="10" t="s">
        <v>190</v>
      </c>
      <c r="P434" s="10" t="s">
        <v>63</v>
      </c>
      <c r="Q434" s="10" t="s">
        <v>47</v>
      </c>
      <c r="R434" s="10" t="s">
        <v>48</v>
      </c>
      <c r="S434" s="10">
        <v>35000</v>
      </c>
      <c r="T434" s="10">
        <v>30000</v>
      </c>
      <c r="U434" s="10">
        <v>20000</v>
      </c>
      <c r="V434" s="10">
        <v>15000</v>
      </c>
      <c r="W434" s="10" t="s">
        <v>2177</v>
      </c>
      <c r="Y434" s="10" t="s">
        <v>2171</v>
      </c>
      <c r="Z434" s="10" t="s">
        <v>76</v>
      </c>
      <c r="AA434" s="10" t="s">
        <v>67</v>
      </c>
      <c r="AB434" s="10" t="s">
        <v>54</v>
      </c>
      <c r="AC434" s="10" t="s">
        <v>68</v>
      </c>
      <c r="AD434" s="10" t="str">
        <f>IFERROR(VLOOKUP(B434,'Regiões Administrativas'!$A$1:$B$646,2,0),"")</f>
        <v>Campinas</v>
      </c>
      <c r="AE434" s="10">
        <f>IFERROR(VLOOKUP(Form_Responses[[#This Row],[Município]],'Regiões Administrativas'!$A$1:$I$646,3,0),"")</f>
        <v>17300</v>
      </c>
      <c r="AF434" s="10">
        <f>IFERROR(VLOOKUP(Form_Responses[[#This Row],[Município]],'Regiões Administrativas'!$A$1:$I$646,4,0),"")</f>
        <v>355160305000001</v>
      </c>
      <c r="AG434" s="10">
        <f>IFERROR(VLOOKUP(Form_Responses[[#This Row],[Município]],'Regiões Administrativas'!$A$1:$I$646,4,0),"")</f>
        <v>355160305000001</v>
      </c>
      <c r="AH434" s="10">
        <f>IFERROR(VLOOKUP(B434,'Regiões Administrativas'!$A$1:$I$646,5,0),"")</f>
        <v>3551603</v>
      </c>
      <c r="AI434" s="10">
        <f>IFERROR(VLOOKUP(B434,'Regiões Administrativas'!$A$1:$I$646,6,0),"")</f>
        <v>-46.701791399999998</v>
      </c>
      <c r="AJ434" s="10">
        <f>IFERROR(VLOOKUP(B434,'Regiões Administrativas'!$A$1:$I$646,8,0),"")</f>
        <v>941.40979900000002</v>
      </c>
      <c r="AK434" s="10" t="str">
        <f>IFERROR(VLOOKUP(Form_Responses[[#This Row],[Município]],'Regiões Administrativas'!$A$1:$I$646,9,0),"")</f>
        <v>1J6tjj*lLb;f</v>
      </c>
    </row>
    <row r="435" spans="1:37" ht="22.5" customHeight="1">
      <c r="A435" s="18">
        <v>46045.434507013888</v>
      </c>
      <c r="B435" s="10" t="s">
        <v>2165</v>
      </c>
      <c r="C435" s="10" t="s">
        <v>811</v>
      </c>
      <c r="D435" s="10" t="s">
        <v>2178</v>
      </c>
      <c r="E435" s="10" t="s">
        <v>2179</v>
      </c>
      <c r="G435" s="10" t="s">
        <v>2176</v>
      </c>
      <c r="H435" s="72" t="s">
        <v>2169</v>
      </c>
      <c r="I435" s="10" t="s">
        <v>81</v>
      </c>
      <c r="J435" s="16">
        <v>46283</v>
      </c>
      <c r="K435" s="16">
        <v>46285</v>
      </c>
      <c r="L435" s="17">
        <v>0.41666666666424135</v>
      </c>
      <c r="M435" s="17">
        <v>0.91666666666424135</v>
      </c>
      <c r="N435" s="10" t="s">
        <v>44</v>
      </c>
      <c r="O435" s="10" t="s">
        <v>190</v>
      </c>
      <c r="P435" s="10" t="s">
        <v>63</v>
      </c>
      <c r="Q435" s="10" t="s">
        <v>365</v>
      </c>
      <c r="R435" s="10" t="s">
        <v>48</v>
      </c>
      <c r="S435" s="10">
        <v>40000</v>
      </c>
      <c r="T435" s="10">
        <v>35000</v>
      </c>
      <c r="U435" s="10">
        <v>30000</v>
      </c>
      <c r="V435" s="10">
        <v>12000</v>
      </c>
      <c r="W435" s="10" t="s">
        <v>2170</v>
      </c>
      <c r="Y435" s="10" t="s">
        <v>2171</v>
      </c>
      <c r="Z435" s="10" t="s">
        <v>76</v>
      </c>
      <c r="AA435" s="10" t="s">
        <v>67</v>
      </c>
      <c r="AB435" s="10" t="s">
        <v>54</v>
      </c>
      <c r="AC435" s="10" t="s">
        <v>68</v>
      </c>
      <c r="AD435" s="10" t="str">
        <f>IFERROR(VLOOKUP(B435,'Regiões Administrativas'!$A$1:$B$646,2,0),"")</f>
        <v>Campinas</v>
      </c>
      <c r="AE435" s="10">
        <f>IFERROR(VLOOKUP(Form_Responses[[#This Row],[Município]],'Regiões Administrativas'!$A$1:$I$646,3,0),"")</f>
        <v>17300</v>
      </c>
      <c r="AF435" s="10">
        <f>IFERROR(VLOOKUP(Form_Responses[[#This Row],[Município]],'Regiões Administrativas'!$A$1:$I$646,4,0),"")</f>
        <v>355160305000001</v>
      </c>
      <c r="AG435" s="10">
        <f>IFERROR(VLOOKUP(Form_Responses[[#This Row],[Município]],'Regiões Administrativas'!$A$1:$I$646,4,0),"")</f>
        <v>355160305000001</v>
      </c>
      <c r="AH435" s="10">
        <f>IFERROR(VLOOKUP(B435,'Regiões Administrativas'!$A$1:$I$646,5,0),"")</f>
        <v>3551603</v>
      </c>
      <c r="AI435" s="10">
        <f>IFERROR(VLOOKUP(B435,'Regiões Administrativas'!$A$1:$I$646,6,0),"")</f>
        <v>-46.701791399999998</v>
      </c>
      <c r="AJ435" s="10">
        <f>IFERROR(VLOOKUP(B435,'Regiões Administrativas'!$A$1:$I$646,8,0),"")</f>
        <v>941.40979900000002</v>
      </c>
      <c r="AK435" s="10" t="str">
        <f>IFERROR(VLOOKUP(Form_Responses[[#This Row],[Município]],'Regiões Administrativas'!$A$1:$I$646,9,0),"")</f>
        <v>1J6tjj*lLb;f</v>
      </c>
    </row>
    <row r="436" spans="1:37" ht="22.5" customHeight="1">
      <c r="A436" s="18">
        <v>46045.446697673615</v>
      </c>
      <c r="B436" s="10" t="s">
        <v>2165</v>
      </c>
      <c r="C436" s="10" t="s">
        <v>811</v>
      </c>
      <c r="D436" s="10" t="s">
        <v>2180</v>
      </c>
      <c r="E436" s="10" t="s">
        <v>2181</v>
      </c>
      <c r="G436" s="10" t="s">
        <v>2176</v>
      </c>
      <c r="H436" s="72" t="s">
        <v>2169</v>
      </c>
      <c r="I436" s="10" t="s">
        <v>72</v>
      </c>
      <c r="J436" s="16">
        <v>46213</v>
      </c>
      <c r="K436" s="16">
        <v>46215</v>
      </c>
      <c r="L436" s="17">
        <v>0.41666666666424135</v>
      </c>
      <c r="M436" s="17">
        <v>0.91666666666424135</v>
      </c>
      <c r="N436" s="10" t="s">
        <v>44</v>
      </c>
      <c r="O436" s="10" t="s">
        <v>45</v>
      </c>
      <c r="P436" s="10" t="s">
        <v>63</v>
      </c>
      <c r="Q436" s="10" t="s">
        <v>47</v>
      </c>
      <c r="R436" s="10" t="s">
        <v>48</v>
      </c>
      <c r="S436" s="10">
        <v>12000</v>
      </c>
      <c r="T436" s="10">
        <v>10000</v>
      </c>
      <c r="U436" s="10">
        <v>8000</v>
      </c>
      <c r="V436" s="10">
        <v>7000</v>
      </c>
      <c r="W436" s="10" t="s">
        <v>2170</v>
      </c>
      <c r="Y436" s="10" t="s">
        <v>2171</v>
      </c>
      <c r="Z436" s="10" t="s">
        <v>76</v>
      </c>
      <c r="AA436" s="10" t="s">
        <v>67</v>
      </c>
      <c r="AB436" s="10" t="s">
        <v>54</v>
      </c>
      <c r="AC436" s="10" t="s">
        <v>68</v>
      </c>
      <c r="AD436" s="10" t="str">
        <f>IFERROR(VLOOKUP(B436,'Regiões Administrativas'!$A$1:$B$646,2,0),"")</f>
        <v>Campinas</v>
      </c>
      <c r="AE436" s="10">
        <f>IFERROR(VLOOKUP(Form_Responses[[#This Row],[Município]],'Regiões Administrativas'!$A$1:$I$646,3,0),"")</f>
        <v>17300</v>
      </c>
      <c r="AF436" s="10">
        <f>IFERROR(VLOOKUP(Form_Responses[[#This Row],[Município]],'Regiões Administrativas'!$A$1:$I$646,4,0),"")</f>
        <v>355160305000001</v>
      </c>
      <c r="AG436" s="10">
        <f>IFERROR(VLOOKUP(Form_Responses[[#This Row],[Município]],'Regiões Administrativas'!$A$1:$I$646,4,0),"")</f>
        <v>355160305000001</v>
      </c>
      <c r="AH436" s="10">
        <f>IFERROR(VLOOKUP(B436,'Regiões Administrativas'!$A$1:$I$646,5,0),"")</f>
        <v>3551603</v>
      </c>
      <c r="AI436" s="10">
        <f>IFERROR(VLOOKUP(B436,'Regiões Administrativas'!$A$1:$I$646,6,0),"")</f>
        <v>-46.701791399999998</v>
      </c>
      <c r="AJ436" s="10">
        <f>IFERROR(VLOOKUP(B436,'Regiões Administrativas'!$A$1:$I$646,8,0),"")</f>
        <v>941.40979900000002</v>
      </c>
      <c r="AK436" s="10" t="str">
        <f>IFERROR(VLOOKUP(Form_Responses[[#This Row],[Município]],'Regiões Administrativas'!$A$1:$I$646,9,0),"")</f>
        <v>1J6tjj*lLb;f</v>
      </c>
    </row>
    <row r="437" spans="1:37" ht="22.5" customHeight="1">
      <c r="A437" s="18">
        <v>46045.46447619213</v>
      </c>
      <c r="B437" s="10" t="s">
        <v>2165</v>
      </c>
      <c r="C437" s="10" t="s">
        <v>811</v>
      </c>
      <c r="D437" s="10" t="s">
        <v>2182</v>
      </c>
      <c r="E437" s="10" t="s">
        <v>2183</v>
      </c>
      <c r="G437" s="10" t="s">
        <v>2184</v>
      </c>
      <c r="H437" s="72" t="s">
        <v>2169</v>
      </c>
      <c r="I437" s="10" t="s">
        <v>60</v>
      </c>
      <c r="J437" s="16">
        <v>46192</v>
      </c>
      <c r="K437" s="16">
        <v>46229</v>
      </c>
      <c r="N437" s="10" t="s">
        <v>73</v>
      </c>
      <c r="O437" s="10" t="s">
        <v>45</v>
      </c>
      <c r="P437" s="10" t="s">
        <v>63</v>
      </c>
      <c r="Q437" s="10" t="s">
        <v>47</v>
      </c>
      <c r="R437" s="10" t="s">
        <v>230</v>
      </c>
      <c r="S437" s="10">
        <v>850000</v>
      </c>
      <c r="T437" s="10">
        <v>700000</v>
      </c>
      <c r="U437" s="10">
        <v>500000</v>
      </c>
      <c r="V437" s="10">
        <v>200000</v>
      </c>
      <c r="W437" s="10" t="s">
        <v>2170</v>
      </c>
      <c r="Y437" s="10" t="s">
        <v>2171</v>
      </c>
      <c r="Z437" s="10" t="s">
        <v>76</v>
      </c>
      <c r="AA437" s="10" t="s">
        <v>67</v>
      </c>
      <c r="AB437" s="10" t="s">
        <v>54</v>
      </c>
      <c r="AC437" s="10" t="s">
        <v>68</v>
      </c>
      <c r="AD437" s="10" t="str">
        <f>IFERROR(VLOOKUP(B437,'Regiões Administrativas'!$A$1:$B$646,2,0),"")</f>
        <v>Campinas</v>
      </c>
      <c r="AE437" s="10">
        <f>IFERROR(VLOOKUP(Form_Responses[[#This Row],[Município]],'Regiões Administrativas'!$A$1:$I$646,3,0),"")</f>
        <v>17300</v>
      </c>
      <c r="AF437" s="10">
        <f>IFERROR(VLOOKUP(Form_Responses[[#This Row],[Município]],'Regiões Administrativas'!$A$1:$I$646,4,0),"")</f>
        <v>355160305000001</v>
      </c>
      <c r="AG437" s="10">
        <f>IFERROR(VLOOKUP(Form_Responses[[#This Row],[Município]],'Regiões Administrativas'!$A$1:$I$646,4,0),"")</f>
        <v>355160305000001</v>
      </c>
      <c r="AH437" s="10">
        <f>IFERROR(VLOOKUP(B437,'Regiões Administrativas'!$A$1:$I$646,5,0),"")</f>
        <v>3551603</v>
      </c>
      <c r="AI437" s="10">
        <f>IFERROR(VLOOKUP(B437,'Regiões Administrativas'!$A$1:$I$646,6,0),"")</f>
        <v>-46.701791399999998</v>
      </c>
      <c r="AJ437" s="10">
        <f>IFERROR(VLOOKUP(B437,'Regiões Administrativas'!$A$1:$I$646,8,0),"")</f>
        <v>941.40979900000002</v>
      </c>
      <c r="AK437" s="10" t="str">
        <f>IFERROR(VLOOKUP(Form_Responses[[#This Row],[Município]],'Regiões Administrativas'!$A$1:$I$646,9,0),"")</f>
        <v>1J6tjj*lLb;f</v>
      </c>
    </row>
    <row r="438" spans="1:37" ht="22.5" customHeight="1">
      <c r="A438" s="15">
        <v>46045.473517847218</v>
      </c>
      <c r="B438" s="10" t="s">
        <v>2165</v>
      </c>
      <c r="C438" s="10" t="s">
        <v>811</v>
      </c>
      <c r="D438" s="10" t="s">
        <v>2185</v>
      </c>
      <c r="E438" s="10" t="s">
        <v>2186</v>
      </c>
      <c r="G438" s="10" t="s">
        <v>2176</v>
      </c>
      <c r="H438" s="72" t="s">
        <v>2169</v>
      </c>
      <c r="I438" s="10" t="s">
        <v>220</v>
      </c>
      <c r="J438" s="16">
        <v>46164</v>
      </c>
      <c r="K438" s="16">
        <v>46166</v>
      </c>
      <c r="L438" s="17">
        <v>0.41666666666424135</v>
      </c>
      <c r="M438" s="17">
        <v>0.91666666666424135</v>
      </c>
      <c r="N438" s="10" t="s">
        <v>73</v>
      </c>
      <c r="O438" s="10" t="s">
        <v>190</v>
      </c>
      <c r="P438" s="10" t="s">
        <v>63</v>
      </c>
      <c r="Q438" s="10" t="s">
        <v>47</v>
      </c>
      <c r="R438" s="10" t="s">
        <v>230</v>
      </c>
      <c r="S438" s="10">
        <v>35000</v>
      </c>
      <c r="T438" s="10">
        <v>30000</v>
      </c>
      <c r="U438" s="10">
        <v>20000</v>
      </c>
      <c r="V438" s="10">
        <v>15000</v>
      </c>
      <c r="W438" s="10" t="s">
        <v>2170</v>
      </c>
      <c r="Y438" s="10" t="s">
        <v>2171</v>
      </c>
      <c r="Z438" s="10" t="s">
        <v>76</v>
      </c>
      <c r="AA438" s="10" t="s">
        <v>67</v>
      </c>
      <c r="AB438" s="10" t="s">
        <v>54</v>
      </c>
      <c r="AC438" s="10" t="s">
        <v>68</v>
      </c>
      <c r="AD438" s="10" t="str">
        <f>IFERROR(VLOOKUP(B438,'Regiões Administrativas'!$A$1:$B$646,2,0),"")</f>
        <v>Campinas</v>
      </c>
      <c r="AE438" s="10">
        <f>IFERROR(VLOOKUP(Form_Responses[[#This Row],[Município]],'Regiões Administrativas'!$A$1:$I$646,3,0),"")</f>
        <v>17300</v>
      </c>
      <c r="AF438" s="10">
        <f>IFERROR(VLOOKUP(Form_Responses[[#This Row],[Município]],'Regiões Administrativas'!$A$1:$I$646,4,0),"")</f>
        <v>355160305000001</v>
      </c>
      <c r="AG438" s="10">
        <f>IFERROR(VLOOKUP(Form_Responses[[#This Row],[Município]],'Regiões Administrativas'!$A$1:$I$646,4,0),"")</f>
        <v>355160305000001</v>
      </c>
      <c r="AH438" s="10">
        <f>IFERROR(VLOOKUP(B438,'Regiões Administrativas'!$A$1:$I$646,5,0),"")</f>
        <v>3551603</v>
      </c>
      <c r="AI438" s="10">
        <f>IFERROR(VLOOKUP(B438,'Regiões Administrativas'!$A$1:$I$646,6,0),"")</f>
        <v>-46.701791399999998</v>
      </c>
      <c r="AJ438" s="10">
        <f>IFERROR(VLOOKUP(B438,'Regiões Administrativas'!$A$1:$I$646,8,0),"")</f>
        <v>941.40979900000002</v>
      </c>
      <c r="AK438" s="10" t="str">
        <f>IFERROR(VLOOKUP(Form_Responses[[#This Row],[Município]],'Regiões Administrativas'!$A$1:$I$646,9,0),"")</f>
        <v>1J6tjj*lLb;f</v>
      </c>
    </row>
    <row r="439" spans="1:37" ht="22.5" customHeight="1">
      <c r="A439" s="18">
        <v>46045.482391145837</v>
      </c>
      <c r="B439" s="10" t="s">
        <v>2165</v>
      </c>
      <c r="C439" s="10" t="s">
        <v>811</v>
      </c>
      <c r="D439" s="10" t="s">
        <v>2187</v>
      </c>
      <c r="E439" s="10" t="s">
        <v>2188</v>
      </c>
      <c r="G439" s="10" t="s">
        <v>2189</v>
      </c>
      <c r="H439" s="72" t="s">
        <v>2169</v>
      </c>
      <c r="I439" s="10" t="s">
        <v>197</v>
      </c>
      <c r="J439" s="16">
        <v>46339</v>
      </c>
      <c r="K439" s="16">
        <v>46387</v>
      </c>
      <c r="N439" s="10" t="s">
        <v>44</v>
      </c>
      <c r="O439" s="10" t="s">
        <v>45</v>
      </c>
      <c r="P439" s="10" t="s">
        <v>251</v>
      </c>
      <c r="Q439" s="10" t="s">
        <v>47</v>
      </c>
      <c r="R439" s="10" t="s">
        <v>230</v>
      </c>
      <c r="S439" s="10">
        <v>850000</v>
      </c>
      <c r="T439" s="10">
        <v>700000</v>
      </c>
      <c r="U439" s="10">
        <v>500000</v>
      </c>
      <c r="V439" s="10">
        <v>180000</v>
      </c>
      <c r="W439" s="10" t="s">
        <v>2170</v>
      </c>
      <c r="Y439" s="10" t="s">
        <v>2171</v>
      </c>
      <c r="Z439" s="10" t="s">
        <v>76</v>
      </c>
      <c r="AA439" s="10" t="s">
        <v>67</v>
      </c>
      <c r="AB439" s="10" t="s">
        <v>54</v>
      </c>
      <c r="AC439" s="10" t="s">
        <v>68</v>
      </c>
      <c r="AD439" s="10" t="str">
        <f>IFERROR(VLOOKUP(B439,'Regiões Administrativas'!$A$1:$B$646,2,0),"")</f>
        <v>Campinas</v>
      </c>
      <c r="AE439" s="10">
        <f>IFERROR(VLOOKUP(Form_Responses[[#This Row],[Município]],'Regiões Administrativas'!$A$1:$I$646,3,0),"")</f>
        <v>17300</v>
      </c>
      <c r="AF439" s="10">
        <f>IFERROR(VLOOKUP(Form_Responses[[#This Row],[Município]],'Regiões Administrativas'!$A$1:$I$646,4,0),"")</f>
        <v>355160305000001</v>
      </c>
      <c r="AG439" s="10">
        <f>IFERROR(VLOOKUP(Form_Responses[[#This Row],[Município]],'Regiões Administrativas'!$A$1:$I$646,4,0),"")</f>
        <v>355160305000001</v>
      </c>
      <c r="AH439" s="10">
        <f>IFERROR(VLOOKUP(B439,'Regiões Administrativas'!$A$1:$I$646,5,0),"")</f>
        <v>3551603</v>
      </c>
      <c r="AI439" s="10">
        <f>IFERROR(VLOOKUP(B439,'Regiões Administrativas'!$A$1:$I$646,6,0),"")</f>
        <v>-46.701791399999998</v>
      </c>
      <c r="AJ439" s="10">
        <f>IFERROR(VLOOKUP(B439,'Regiões Administrativas'!$A$1:$I$646,8,0),"")</f>
        <v>941.40979900000002</v>
      </c>
      <c r="AK439" s="10" t="str">
        <f>IFERROR(VLOOKUP(Form_Responses[[#This Row],[Município]],'Regiões Administrativas'!$A$1:$I$646,9,0),"")</f>
        <v>1J6tjj*lLb;f</v>
      </c>
    </row>
    <row r="440" spans="1:37" ht="22.5" customHeight="1">
      <c r="A440" s="15">
        <v>46045.49111023148</v>
      </c>
      <c r="B440" s="10" t="s">
        <v>2165</v>
      </c>
      <c r="C440" s="10" t="s">
        <v>811</v>
      </c>
      <c r="D440" s="10" t="s">
        <v>2190</v>
      </c>
      <c r="E440" s="10" t="s">
        <v>2191</v>
      </c>
      <c r="G440" s="10" t="s">
        <v>2192</v>
      </c>
      <c r="H440" s="72" t="s">
        <v>2169</v>
      </c>
      <c r="I440" s="10" t="s">
        <v>128</v>
      </c>
      <c r="J440" s="16">
        <v>46115</v>
      </c>
      <c r="K440" s="16">
        <v>46115</v>
      </c>
      <c r="N440" s="10" t="s">
        <v>98</v>
      </c>
      <c r="O440" s="10" t="s">
        <v>221</v>
      </c>
      <c r="P440" s="10" t="s">
        <v>221</v>
      </c>
      <c r="Q440" s="10" t="s">
        <v>47</v>
      </c>
      <c r="R440" s="10" t="s">
        <v>48</v>
      </c>
      <c r="S440" s="10">
        <v>2500</v>
      </c>
      <c r="T440" s="10">
        <v>2200</v>
      </c>
      <c r="U440" s="10">
        <v>2000</v>
      </c>
      <c r="V440" s="10">
        <v>1700</v>
      </c>
      <c r="W440" s="10" t="s">
        <v>2170</v>
      </c>
      <c r="Y440" s="10" t="s">
        <v>2171</v>
      </c>
      <c r="Z440" s="10" t="s">
        <v>76</v>
      </c>
      <c r="AA440" s="10" t="s">
        <v>66</v>
      </c>
      <c r="AB440" s="10" t="s">
        <v>54</v>
      </c>
      <c r="AC440" s="10" t="s">
        <v>68</v>
      </c>
      <c r="AD440" s="10" t="str">
        <f>IFERROR(VLOOKUP(B440,'Regiões Administrativas'!$A$1:$B$646,2,0),"")</f>
        <v>Campinas</v>
      </c>
      <c r="AE440" s="10">
        <f>IFERROR(VLOOKUP(Form_Responses[[#This Row],[Município]],'Regiões Administrativas'!$A$1:$I$646,3,0),"")</f>
        <v>17300</v>
      </c>
      <c r="AF440" s="10">
        <f>IFERROR(VLOOKUP(Form_Responses[[#This Row],[Município]],'Regiões Administrativas'!$A$1:$I$646,4,0),"")</f>
        <v>355160305000001</v>
      </c>
      <c r="AG440" s="10">
        <f>IFERROR(VLOOKUP(Form_Responses[[#This Row],[Município]],'Regiões Administrativas'!$A$1:$I$646,4,0),"")</f>
        <v>355160305000001</v>
      </c>
      <c r="AH440" s="10">
        <f>IFERROR(VLOOKUP(B440,'Regiões Administrativas'!$A$1:$I$646,5,0),"")</f>
        <v>3551603</v>
      </c>
      <c r="AI440" s="10">
        <f>IFERROR(VLOOKUP(B440,'Regiões Administrativas'!$A$1:$I$646,6,0),"")</f>
        <v>-46.701791399999998</v>
      </c>
      <c r="AJ440" s="10">
        <f>IFERROR(VLOOKUP(B440,'Regiões Administrativas'!$A$1:$I$646,8,0),"")</f>
        <v>941.40979900000002</v>
      </c>
      <c r="AK440" s="10" t="str">
        <f>IFERROR(VLOOKUP(Form_Responses[[#This Row],[Município]],'Regiões Administrativas'!$A$1:$I$646,9,0),"")</f>
        <v>1J6tjj*lLb;f</v>
      </c>
    </row>
    <row r="441" spans="1:37" ht="22.5" customHeight="1">
      <c r="A441" s="18">
        <v>46045.509043738421</v>
      </c>
      <c r="B441" s="10" t="s">
        <v>2165</v>
      </c>
      <c r="C441" s="10" t="s">
        <v>811</v>
      </c>
      <c r="D441" s="10" t="s">
        <v>2193</v>
      </c>
      <c r="E441" s="10" t="s">
        <v>2194</v>
      </c>
      <c r="G441" s="10" t="s">
        <v>2195</v>
      </c>
      <c r="H441" s="72" t="s">
        <v>2169</v>
      </c>
      <c r="I441" s="10" t="s">
        <v>162</v>
      </c>
      <c r="L441" s="17">
        <v>0.83333333333575865</v>
      </c>
      <c r="M441" s="17">
        <v>0.875</v>
      </c>
      <c r="N441" s="10" t="s">
        <v>421</v>
      </c>
      <c r="O441" s="10" t="s">
        <v>45</v>
      </c>
      <c r="P441" s="10" t="s">
        <v>251</v>
      </c>
      <c r="Q441" s="10" t="s">
        <v>47</v>
      </c>
      <c r="R441" s="10" t="s">
        <v>48</v>
      </c>
      <c r="S441" s="10">
        <v>12000</v>
      </c>
      <c r="T441" s="10">
        <v>11000</v>
      </c>
      <c r="U441" s="10">
        <v>10000</v>
      </c>
      <c r="V441" s="10">
        <v>8000</v>
      </c>
      <c r="W441" s="10" t="s">
        <v>2170</v>
      </c>
      <c r="Y441" s="10" t="s">
        <v>2171</v>
      </c>
      <c r="Z441" s="10" t="s">
        <v>76</v>
      </c>
      <c r="AA441" s="10" t="s">
        <v>67</v>
      </c>
      <c r="AB441" s="10" t="s">
        <v>54</v>
      </c>
      <c r="AC441" s="10" t="s">
        <v>68</v>
      </c>
      <c r="AD441" s="10" t="str">
        <f>IFERROR(VLOOKUP(B441,'Regiões Administrativas'!$A$1:$B$646,2,0),"")</f>
        <v>Campinas</v>
      </c>
      <c r="AE441" s="10">
        <f>IFERROR(VLOOKUP(Form_Responses[[#This Row],[Município]],'Regiões Administrativas'!$A$1:$I$646,3,0),"")</f>
        <v>17300</v>
      </c>
      <c r="AF441" s="10">
        <f>IFERROR(VLOOKUP(Form_Responses[[#This Row],[Município]],'Regiões Administrativas'!$A$1:$I$646,4,0),"")</f>
        <v>355160305000001</v>
      </c>
      <c r="AG441" s="10">
        <f>IFERROR(VLOOKUP(Form_Responses[[#This Row],[Município]],'Regiões Administrativas'!$A$1:$I$646,4,0),"")</f>
        <v>355160305000001</v>
      </c>
      <c r="AH441" s="10">
        <f>IFERROR(VLOOKUP(B441,'Regiões Administrativas'!$A$1:$I$646,5,0),"")</f>
        <v>3551603</v>
      </c>
      <c r="AI441" s="10">
        <f>IFERROR(VLOOKUP(B441,'Regiões Administrativas'!$A$1:$I$646,6,0),"")</f>
        <v>-46.701791399999998</v>
      </c>
      <c r="AJ441" s="10">
        <f>IFERROR(VLOOKUP(B441,'Regiões Administrativas'!$A$1:$I$646,8,0),"")</f>
        <v>941.40979900000002</v>
      </c>
      <c r="AK441" s="10" t="str">
        <f>IFERROR(VLOOKUP(Form_Responses[[#This Row],[Município]],'Regiões Administrativas'!$A$1:$I$646,9,0),"")</f>
        <v>1J6tjj*lLb;f</v>
      </c>
    </row>
    <row r="442" spans="1:37" ht="22.5" customHeight="1">
      <c r="A442" s="18">
        <v>46045.516047962963</v>
      </c>
      <c r="B442" s="10" t="s">
        <v>2165</v>
      </c>
      <c r="C442" s="10" t="s">
        <v>811</v>
      </c>
      <c r="D442" s="10" t="s">
        <v>734</v>
      </c>
      <c r="E442" s="10" t="s">
        <v>2196</v>
      </c>
      <c r="G442" s="10" t="s">
        <v>2197</v>
      </c>
      <c r="H442" s="72" t="s">
        <v>2169</v>
      </c>
      <c r="I442" s="10" t="s">
        <v>162</v>
      </c>
      <c r="J442" s="16">
        <v>46387</v>
      </c>
      <c r="K442" s="16">
        <v>46388</v>
      </c>
      <c r="L442" s="17">
        <v>0.83333333333575865</v>
      </c>
      <c r="M442" s="17">
        <v>8.3333333335758653E-2</v>
      </c>
      <c r="N442" s="10" t="s">
        <v>44</v>
      </c>
      <c r="O442" s="10" t="s">
        <v>45</v>
      </c>
      <c r="P442" s="10" t="s">
        <v>180</v>
      </c>
      <c r="Q442" s="10" t="s">
        <v>47</v>
      </c>
      <c r="R442" s="10" t="s">
        <v>230</v>
      </c>
      <c r="S442" s="10">
        <v>12000</v>
      </c>
      <c r="T442" s="10">
        <v>11000</v>
      </c>
      <c r="U442" s="10">
        <v>8000</v>
      </c>
      <c r="V442" s="10">
        <v>5000</v>
      </c>
      <c r="W442" s="10" t="s">
        <v>2170</v>
      </c>
      <c r="Y442" s="10" t="s">
        <v>2171</v>
      </c>
      <c r="Z442" s="10" t="s">
        <v>76</v>
      </c>
      <c r="AA442" s="10" t="s">
        <v>67</v>
      </c>
      <c r="AB442" s="10" t="s">
        <v>54</v>
      </c>
      <c r="AC442" s="10" t="s">
        <v>68</v>
      </c>
      <c r="AD442" s="10" t="str">
        <f>IFERROR(VLOOKUP(B442,'Regiões Administrativas'!$A$1:$B$646,2,0),"")</f>
        <v>Campinas</v>
      </c>
      <c r="AE442" s="10">
        <f>IFERROR(VLOOKUP(Form_Responses[[#This Row],[Município]],'Regiões Administrativas'!$A$1:$I$646,3,0),"")</f>
        <v>17300</v>
      </c>
      <c r="AF442" s="10">
        <f>IFERROR(VLOOKUP(Form_Responses[[#This Row],[Município]],'Regiões Administrativas'!$A$1:$I$646,4,0),"")</f>
        <v>355160305000001</v>
      </c>
      <c r="AG442" s="10">
        <f>IFERROR(VLOOKUP(Form_Responses[[#This Row],[Município]],'Regiões Administrativas'!$A$1:$I$646,4,0),"")</f>
        <v>355160305000001</v>
      </c>
      <c r="AH442" s="10">
        <f>IFERROR(VLOOKUP(B442,'Regiões Administrativas'!$A$1:$I$646,5,0),"")</f>
        <v>3551603</v>
      </c>
      <c r="AI442" s="10">
        <f>IFERROR(VLOOKUP(B442,'Regiões Administrativas'!$A$1:$I$646,6,0),"")</f>
        <v>-46.701791399999998</v>
      </c>
      <c r="AJ442" s="10">
        <f>IFERROR(VLOOKUP(B442,'Regiões Administrativas'!$A$1:$I$646,8,0),"")</f>
        <v>941.40979900000002</v>
      </c>
      <c r="AK442" s="10" t="str">
        <f>IFERROR(VLOOKUP(Form_Responses[[#This Row],[Município]],'Regiões Administrativas'!$A$1:$I$646,9,0),"")</f>
        <v>1J6tjj*lLb;f</v>
      </c>
    </row>
    <row r="443" spans="1:37" ht="22.5" customHeight="1">
      <c r="A443" s="15">
        <v>46045.536164976853</v>
      </c>
      <c r="B443" s="10" t="s">
        <v>2198</v>
      </c>
      <c r="C443" s="10" t="s">
        <v>272</v>
      </c>
      <c r="D443" s="10" t="s">
        <v>2199</v>
      </c>
      <c r="E443" s="10" t="s">
        <v>2200</v>
      </c>
      <c r="F443" s="10" t="s">
        <v>2201</v>
      </c>
      <c r="G443" s="10" t="s">
        <v>2202</v>
      </c>
      <c r="H443" s="10" t="s">
        <v>2201</v>
      </c>
      <c r="I443" s="10" t="s">
        <v>89</v>
      </c>
      <c r="J443" s="16">
        <v>46067</v>
      </c>
      <c r="K443" s="16">
        <v>46098</v>
      </c>
      <c r="L443" s="17">
        <v>0.75</v>
      </c>
      <c r="M443" s="17">
        <v>0</v>
      </c>
      <c r="N443" s="10" t="s">
        <v>44</v>
      </c>
      <c r="O443" s="10" t="s">
        <v>45</v>
      </c>
      <c r="P443" s="10" t="s">
        <v>90</v>
      </c>
      <c r="Q443" s="10" t="s">
        <v>47</v>
      </c>
      <c r="R443" s="10" t="s">
        <v>74</v>
      </c>
      <c r="S443" s="19">
        <v>3000</v>
      </c>
      <c r="T443" s="19">
        <v>3000</v>
      </c>
      <c r="U443" s="19">
        <v>3000</v>
      </c>
      <c r="V443" s="19">
        <v>3000</v>
      </c>
      <c r="W443" s="10" t="s">
        <v>2203</v>
      </c>
      <c r="X443" s="10" t="s">
        <v>2201</v>
      </c>
      <c r="Y443" s="10" t="s">
        <v>2204</v>
      </c>
      <c r="Z443" s="10" t="s">
        <v>66</v>
      </c>
      <c r="AA443" s="10" t="s">
        <v>455</v>
      </c>
      <c r="AB443" s="10" t="s">
        <v>66</v>
      </c>
      <c r="AC443" s="10" t="s">
        <v>68</v>
      </c>
      <c r="AD443" s="10" t="str">
        <f>IFERROR(VLOOKUP(B443,'Regiões Administrativas'!$A$1:$B$646,2,0),"")</f>
        <v>RMSP</v>
      </c>
      <c r="AE443" s="10">
        <f>IFERROR(VLOOKUP(Form_Responses[[#This Row],[Município]],'Regiões Administrativas'!$A$1:$I$646,3,0),"")</f>
        <v>16312</v>
      </c>
      <c r="AF443" s="10">
        <f>IFERROR(VLOOKUP(Form_Responses[[#This Row],[Município]],'Regiões Administrativas'!$A$1:$I$646,4,0),"")</f>
        <v>352620905000001</v>
      </c>
      <c r="AG443" s="10">
        <f>IFERROR(VLOOKUP(Form_Responses[[#This Row],[Município]],'Regiões Administrativas'!$A$1:$I$646,4,0),"")</f>
        <v>352620905000001</v>
      </c>
      <c r="AH443" s="10">
        <f>IFERROR(VLOOKUP(B443,'Regiões Administrativas'!$A$1:$I$646,5,0),"")</f>
        <v>3526209</v>
      </c>
      <c r="AI443" s="10">
        <f>IFERROR(VLOOKUP(B443,'Regiões Administrativas'!$A$1:$I$646,6,0),"")</f>
        <v>-47.081594099999997</v>
      </c>
      <c r="AJ443" s="10">
        <f>IFERROR(VLOOKUP(B443,'Regiões Administrativas'!$A$1:$I$646,8,0),"")</f>
        <v>717.41663100000005</v>
      </c>
      <c r="AK443" s="10" t="str">
        <f>IFERROR(VLOOKUP(Form_Responses[[#This Row],[Município]],'Regiões Administrativas'!$A$1:$I$646,9,0),"")</f>
        <v>1J6tMWHvA.+f</v>
      </c>
    </row>
    <row r="444" spans="1:37" ht="22.5" customHeight="1">
      <c r="A444" s="15">
        <v>46045.538245937496</v>
      </c>
      <c r="B444" s="10" t="s">
        <v>2165</v>
      </c>
      <c r="C444" s="10" t="s">
        <v>811</v>
      </c>
      <c r="D444" s="10" t="s">
        <v>2205</v>
      </c>
      <c r="E444" s="10" t="s">
        <v>2206</v>
      </c>
      <c r="G444" s="10" t="s">
        <v>2207</v>
      </c>
      <c r="H444" s="72" t="s">
        <v>2169</v>
      </c>
      <c r="I444" s="10" t="s">
        <v>267</v>
      </c>
      <c r="J444" s="16">
        <v>46389</v>
      </c>
      <c r="K444" s="16">
        <v>46419</v>
      </c>
      <c r="N444" s="10" t="s">
        <v>73</v>
      </c>
      <c r="O444" s="10" t="s">
        <v>45</v>
      </c>
      <c r="P444" s="10" t="s">
        <v>63</v>
      </c>
      <c r="Q444" s="10" t="s">
        <v>47</v>
      </c>
      <c r="R444" s="10" t="s">
        <v>48</v>
      </c>
      <c r="S444" s="10">
        <v>700000</v>
      </c>
      <c r="T444" s="10">
        <v>600000</v>
      </c>
      <c r="U444" s="10">
        <v>500000</v>
      </c>
      <c r="V444" s="10">
        <v>300000</v>
      </c>
      <c r="W444" s="10" t="s">
        <v>2170</v>
      </c>
      <c r="Y444" s="10" t="s">
        <v>2171</v>
      </c>
      <c r="Z444" s="10" t="s">
        <v>76</v>
      </c>
      <c r="AA444" s="10" t="s">
        <v>67</v>
      </c>
      <c r="AB444" s="10" t="s">
        <v>54</v>
      </c>
      <c r="AC444" s="10" t="s">
        <v>68</v>
      </c>
      <c r="AD444" s="10" t="str">
        <f>IFERROR(VLOOKUP(B444,'Regiões Administrativas'!$A$1:$B$646,2,0),"")</f>
        <v>Campinas</v>
      </c>
      <c r="AE444" s="10">
        <f>IFERROR(VLOOKUP(Form_Responses[[#This Row],[Município]],'Regiões Administrativas'!$A$1:$I$646,3,0),"")</f>
        <v>17300</v>
      </c>
      <c r="AF444" s="10">
        <f>IFERROR(VLOOKUP(Form_Responses[[#This Row],[Município]],'Regiões Administrativas'!$A$1:$I$646,4,0),"")</f>
        <v>355160305000001</v>
      </c>
      <c r="AG444" s="10">
        <f>IFERROR(VLOOKUP(Form_Responses[[#This Row],[Município]],'Regiões Administrativas'!$A$1:$I$646,4,0),"")</f>
        <v>355160305000001</v>
      </c>
      <c r="AH444" s="10">
        <f>IFERROR(VLOOKUP(B444,'Regiões Administrativas'!$A$1:$I$646,5,0),"")</f>
        <v>3551603</v>
      </c>
      <c r="AI444" s="10">
        <f>IFERROR(VLOOKUP(B444,'Regiões Administrativas'!$A$1:$I$646,6,0),"")</f>
        <v>-46.701791399999998</v>
      </c>
      <c r="AJ444" s="10">
        <f>IFERROR(VLOOKUP(B444,'Regiões Administrativas'!$A$1:$I$646,8,0),"")</f>
        <v>941.40979900000002</v>
      </c>
      <c r="AK444" s="10" t="str">
        <f>IFERROR(VLOOKUP(Form_Responses[[#This Row],[Município]],'Regiões Administrativas'!$A$1:$I$646,9,0),"")</f>
        <v>1J6tjj*lLb;f</v>
      </c>
    </row>
    <row r="445" spans="1:37" ht="22.5" customHeight="1">
      <c r="A445" s="18">
        <v>46045.644465659723</v>
      </c>
      <c r="B445" s="10" t="s">
        <v>744</v>
      </c>
      <c r="C445" s="10" t="s">
        <v>555</v>
      </c>
      <c r="D445" s="10" t="s">
        <v>2208</v>
      </c>
      <c r="E445" s="10" t="s">
        <v>2209</v>
      </c>
      <c r="G445" s="10" t="s">
        <v>1519</v>
      </c>
      <c r="I445" s="10" t="s">
        <v>162</v>
      </c>
      <c r="N445" s="10" t="s">
        <v>73</v>
      </c>
      <c r="O445" s="10" t="s">
        <v>45</v>
      </c>
      <c r="P445" s="10" t="s">
        <v>251</v>
      </c>
      <c r="Q445" s="10" t="s">
        <v>47</v>
      </c>
      <c r="R445" s="10" t="s">
        <v>74</v>
      </c>
      <c r="S445" s="10">
        <v>2000</v>
      </c>
      <c r="W445" s="10" t="s">
        <v>1512</v>
      </c>
      <c r="Y445" s="10" t="s">
        <v>1513</v>
      </c>
      <c r="Z445" s="10" t="s">
        <v>76</v>
      </c>
      <c r="AA445" s="10" t="s">
        <v>113</v>
      </c>
      <c r="AB445" s="10" t="s">
        <v>66</v>
      </c>
      <c r="AC445" s="10" t="s">
        <v>68</v>
      </c>
      <c r="AD445" s="10" t="str">
        <f>IFERROR(VLOOKUP(B445,'Regiões Administrativas'!$A$1:$B$646,2,0),"")</f>
        <v>São José do Rio Preto</v>
      </c>
      <c r="AE445" s="10">
        <f>IFERROR(VLOOKUP(Form_Responses[[#This Row],[Município]],'Regiões Administrativas'!$A$1:$I$646,3,0),"")</f>
        <v>16510</v>
      </c>
      <c r="AF445" s="10">
        <f>IFERROR(VLOOKUP(Form_Responses[[#This Row],[Município]],'Regiões Administrativas'!$A$1:$I$646,4,0),"")</f>
        <v>353000305000001</v>
      </c>
      <c r="AG445" s="10">
        <f>IFERROR(VLOOKUP(Form_Responses[[#This Row],[Município]],'Regiões Administrativas'!$A$1:$I$646,4,0),"")</f>
        <v>353000305000001</v>
      </c>
      <c r="AH445" s="10">
        <f>IFERROR(VLOOKUP(B445,'Regiões Administrativas'!$A$1:$I$646,5,0),"")</f>
        <v>3530003</v>
      </c>
      <c r="AI445" s="10">
        <f>IFERROR(VLOOKUP(B445,'Regiões Administrativas'!$A$1:$I$646,6,0),"")</f>
        <v>-50.138427200000002</v>
      </c>
      <c r="AJ445" s="10">
        <f>IFERROR(VLOOKUP(B445,'Regiões Administrativas'!$A$1:$I$646,8,0),"")</f>
        <v>459.85779500000001</v>
      </c>
      <c r="AK445" s="10" t="str">
        <f>IFERROR(VLOOKUP(Form_Responses[[#This Row],[Município]],'Regiões Administrativas'!$A$1:$I$646,9,0),"")</f>
        <v>1J6R3A:EK2)f</v>
      </c>
    </row>
    <row r="446" spans="1:37" ht="22.5" customHeight="1">
      <c r="A446" s="18">
        <v>46045.647179085645</v>
      </c>
      <c r="B446" s="10" t="s">
        <v>744</v>
      </c>
      <c r="C446" s="10" t="s">
        <v>555</v>
      </c>
      <c r="D446" s="10" t="s">
        <v>248</v>
      </c>
      <c r="E446" s="10" t="s">
        <v>2210</v>
      </c>
      <c r="G446" s="10" t="s">
        <v>1519</v>
      </c>
      <c r="I446" s="10" t="s">
        <v>162</v>
      </c>
      <c r="N446" s="10" t="s">
        <v>44</v>
      </c>
      <c r="O446" s="10" t="s">
        <v>45</v>
      </c>
      <c r="P446" s="10" t="s">
        <v>251</v>
      </c>
      <c r="Q446" s="10" t="s">
        <v>47</v>
      </c>
      <c r="R446" s="10" t="s">
        <v>74</v>
      </c>
      <c r="S446" s="10">
        <v>3000</v>
      </c>
      <c r="W446" s="10" t="s">
        <v>1512</v>
      </c>
      <c r="Y446" s="10" t="s">
        <v>1513</v>
      </c>
      <c r="Z446" s="10" t="s">
        <v>76</v>
      </c>
      <c r="AA446" s="10" t="s">
        <v>113</v>
      </c>
      <c r="AB446" s="10" t="s">
        <v>66</v>
      </c>
      <c r="AC446" s="10" t="s">
        <v>68</v>
      </c>
      <c r="AD446" s="10" t="str">
        <f>IFERROR(VLOOKUP(B446,'Regiões Administrativas'!$A$1:$B$646,2,0),"")</f>
        <v>São José do Rio Preto</v>
      </c>
      <c r="AE446" s="10">
        <f>IFERROR(VLOOKUP(Form_Responses[[#This Row],[Município]],'Regiões Administrativas'!$A$1:$I$646,3,0),"")</f>
        <v>16510</v>
      </c>
      <c r="AF446" s="10">
        <f>IFERROR(VLOOKUP(Form_Responses[[#This Row],[Município]],'Regiões Administrativas'!$A$1:$I$646,4,0),"")</f>
        <v>353000305000001</v>
      </c>
      <c r="AG446" s="10">
        <f>IFERROR(VLOOKUP(Form_Responses[[#This Row],[Município]],'Regiões Administrativas'!$A$1:$I$646,4,0),"")</f>
        <v>353000305000001</v>
      </c>
      <c r="AH446" s="10">
        <f>IFERROR(VLOOKUP(B446,'Regiões Administrativas'!$A$1:$I$646,5,0),"")</f>
        <v>3530003</v>
      </c>
      <c r="AI446" s="10">
        <f>IFERROR(VLOOKUP(B446,'Regiões Administrativas'!$A$1:$I$646,6,0),"")</f>
        <v>-50.138427200000002</v>
      </c>
      <c r="AJ446" s="10">
        <f>IFERROR(VLOOKUP(B446,'Regiões Administrativas'!$A$1:$I$646,8,0),"")</f>
        <v>459.85779500000001</v>
      </c>
      <c r="AK446" s="10" t="str">
        <f>IFERROR(VLOOKUP(Form_Responses[[#This Row],[Município]],'Regiões Administrativas'!$A$1:$I$646,9,0),"")</f>
        <v>1J6R3A:EK2)f</v>
      </c>
    </row>
    <row r="447" spans="1:37" ht="22.5" customHeight="1">
      <c r="A447" s="18">
        <v>46045.649404745374</v>
      </c>
      <c r="B447" s="10" t="s">
        <v>744</v>
      </c>
      <c r="C447" s="10" t="s">
        <v>555</v>
      </c>
      <c r="D447" s="10" t="s">
        <v>2211</v>
      </c>
      <c r="E447" s="10" t="s">
        <v>2212</v>
      </c>
      <c r="G447" s="10" t="s">
        <v>2213</v>
      </c>
      <c r="I447" s="10" t="s">
        <v>162</v>
      </c>
      <c r="N447" s="10" t="s">
        <v>44</v>
      </c>
      <c r="O447" s="10" t="s">
        <v>45</v>
      </c>
      <c r="P447" s="10" t="s">
        <v>251</v>
      </c>
      <c r="Q447" s="10" t="s">
        <v>47</v>
      </c>
      <c r="R447" s="10" t="s">
        <v>74</v>
      </c>
      <c r="S447" s="10">
        <v>2000</v>
      </c>
      <c r="W447" s="10" t="s">
        <v>749</v>
      </c>
      <c r="Y447" s="10" t="s">
        <v>1513</v>
      </c>
      <c r="Z447" s="10" t="s">
        <v>76</v>
      </c>
      <c r="AA447" s="10" t="s">
        <v>113</v>
      </c>
      <c r="AB447" s="10" t="s">
        <v>66</v>
      </c>
      <c r="AC447" s="10" t="s">
        <v>68</v>
      </c>
      <c r="AD447" s="10" t="str">
        <f>IFERROR(VLOOKUP(B447,'Regiões Administrativas'!$A$1:$B$646,2,0),"")</f>
        <v>São José do Rio Preto</v>
      </c>
      <c r="AE447" s="10">
        <f>IFERROR(VLOOKUP(Form_Responses[[#This Row],[Município]],'Regiões Administrativas'!$A$1:$I$646,3,0),"")</f>
        <v>16510</v>
      </c>
      <c r="AF447" s="10">
        <f>IFERROR(VLOOKUP(Form_Responses[[#This Row],[Município]],'Regiões Administrativas'!$A$1:$I$646,4,0),"")</f>
        <v>353000305000001</v>
      </c>
      <c r="AG447" s="10">
        <f>IFERROR(VLOOKUP(Form_Responses[[#This Row],[Município]],'Regiões Administrativas'!$A$1:$I$646,4,0),"")</f>
        <v>353000305000001</v>
      </c>
      <c r="AH447" s="10">
        <f>IFERROR(VLOOKUP(B447,'Regiões Administrativas'!$A$1:$I$646,5,0),"")</f>
        <v>3530003</v>
      </c>
      <c r="AI447" s="10">
        <f>IFERROR(VLOOKUP(B447,'Regiões Administrativas'!$A$1:$I$646,6,0),"")</f>
        <v>-50.138427200000002</v>
      </c>
      <c r="AJ447" s="10">
        <f>IFERROR(VLOOKUP(B447,'Regiões Administrativas'!$A$1:$I$646,8,0),"")</f>
        <v>459.85779500000001</v>
      </c>
      <c r="AK447" s="10" t="str">
        <f>IFERROR(VLOOKUP(Form_Responses[[#This Row],[Município]],'Regiões Administrativas'!$A$1:$I$646,9,0),"")</f>
        <v>1J6R3A:EK2)f</v>
      </c>
    </row>
    <row r="448" spans="1:37" ht="22.5" customHeight="1">
      <c r="A448" s="18">
        <v>46045.65165936343</v>
      </c>
      <c r="B448" s="10" t="s">
        <v>744</v>
      </c>
      <c r="C448" s="10" t="s">
        <v>555</v>
      </c>
      <c r="D448" s="10" t="s">
        <v>2214</v>
      </c>
      <c r="E448" s="10" t="s">
        <v>2215</v>
      </c>
      <c r="G448" s="10" t="s">
        <v>1519</v>
      </c>
      <c r="I448" s="10" t="s">
        <v>162</v>
      </c>
      <c r="N448" s="10" t="s">
        <v>44</v>
      </c>
      <c r="O448" s="10" t="s">
        <v>45</v>
      </c>
      <c r="P448" s="10" t="s">
        <v>180</v>
      </c>
      <c r="Q448" s="10" t="s">
        <v>47</v>
      </c>
      <c r="R448" s="10" t="s">
        <v>74</v>
      </c>
      <c r="S448" s="10">
        <v>2000</v>
      </c>
      <c r="W448" s="10" t="s">
        <v>749</v>
      </c>
      <c r="Y448" s="10" t="s">
        <v>1513</v>
      </c>
      <c r="Z448" s="10" t="s">
        <v>76</v>
      </c>
      <c r="AA448" s="10" t="s">
        <v>113</v>
      </c>
      <c r="AB448" s="10" t="s">
        <v>66</v>
      </c>
      <c r="AC448" s="10" t="s">
        <v>68</v>
      </c>
      <c r="AD448" s="10" t="str">
        <f>IFERROR(VLOOKUP(B448,'Regiões Administrativas'!$A$1:$B$646,2,0),"")</f>
        <v>São José do Rio Preto</v>
      </c>
      <c r="AE448" s="10">
        <f>IFERROR(VLOOKUP(Form_Responses[[#This Row],[Município]],'Regiões Administrativas'!$A$1:$I$646,3,0),"")</f>
        <v>16510</v>
      </c>
      <c r="AF448" s="10">
        <f>IFERROR(VLOOKUP(Form_Responses[[#This Row],[Município]],'Regiões Administrativas'!$A$1:$I$646,4,0),"")</f>
        <v>353000305000001</v>
      </c>
      <c r="AG448" s="10">
        <f>IFERROR(VLOOKUP(Form_Responses[[#This Row],[Município]],'Regiões Administrativas'!$A$1:$I$646,4,0),"")</f>
        <v>353000305000001</v>
      </c>
      <c r="AH448" s="10">
        <f>IFERROR(VLOOKUP(B448,'Regiões Administrativas'!$A$1:$I$646,5,0),"")</f>
        <v>3530003</v>
      </c>
      <c r="AI448" s="10">
        <f>IFERROR(VLOOKUP(B448,'Regiões Administrativas'!$A$1:$I$646,6,0),"")</f>
        <v>-50.138427200000002</v>
      </c>
      <c r="AJ448" s="10">
        <f>IFERROR(VLOOKUP(B448,'Regiões Administrativas'!$A$1:$I$646,8,0),"")</f>
        <v>459.85779500000001</v>
      </c>
      <c r="AK448" s="10" t="str">
        <f>IFERROR(VLOOKUP(Form_Responses[[#This Row],[Município]],'Regiões Administrativas'!$A$1:$I$646,9,0),"")</f>
        <v>1J6R3A:EK2)f</v>
      </c>
    </row>
    <row r="449" spans="1:37" ht="22.5" customHeight="1">
      <c r="A449" s="18">
        <v>46045.653725243057</v>
      </c>
      <c r="B449" s="10" t="s">
        <v>744</v>
      </c>
      <c r="C449" s="10" t="s">
        <v>555</v>
      </c>
      <c r="D449" s="10" t="s">
        <v>210</v>
      </c>
      <c r="E449" s="10" t="s">
        <v>2216</v>
      </c>
      <c r="G449" s="10" t="s">
        <v>1519</v>
      </c>
      <c r="I449" s="10" t="s">
        <v>162</v>
      </c>
      <c r="N449" s="10" t="s">
        <v>44</v>
      </c>
      <c r="O449" s="10" t="s">
        <v>45</v>
      </c>
      <c r="P449" s="10" t="s">
        <v>180</v>
      </c>
      <c r="Q449" s="10" t="s">
        <v>47</v>
      </c>
      <c r="R449" s="10" t="s">
        <v>74</v>
      </c>
      <c r="S449" s="10">
        <v>2000</v>
      </c>
      <c r="W449" s="10" t="s">
        <v>749</v>
      </c>
      <c r="Y449" s="10" t="s">
        <v>1513</v>
      </c>
      <c r="Z449" s="10" t="s">
        <v>76</v>
      </c>
      <c r="AA449" s="10" t="s">
        <v>113</v>
      </c>
      <c r="AB449" s="10" t="s">
        <v>66</v>
      </c>
      <c r="AC449" s="10" t="s">
        <v>68</v>
      </c>
      <c r="AD449" s="10" t="str">
        <f>IFERROR(VLOOKUP(B449,'Regiões Administrativas'!$A$1:$B$646,2,0),"")</f>
        <v>São José do Rio Preto</v>
      </c>
      <c r="AE449" s="10">
        <f>IFERROR(VLOOKUP(Form_Responses[[#This Row],[Município]],'Regiões Administrativas'!$A$1:$I$646,3,0),"")</f>
        <v>16510</v>
      </c>
      <c r="AF449" s="10">
        <f>IFERROR(VLOOKUP(Form_Responses[[#This Row],[Município]],'Regiões Administrativas'!$A$1:$I$646,4,0),"")</f>
        <v>353000305000001</v>
      </c>
      <c r="AG449" s="10">
        <f>IFERROR(VLOOKUP(Form_Responses[[#This Row],[Município]],'Regiões Administrativas'!$A$1:$I$646,4,0),"")</f>
        <v>353000305000001</v>
      </c>
      <c r="AH449" s="10">
        <f>IFERROR(VLOOKUP(B449,'Regiões Administrativas'!$A$1:$I$646,5,0),"")</f>
        <v>3530003</v>
      </c>
      <c r="AI449" s="10">
        <f>IFERROR(VLOOKUP(B449,'Regiões Administrativas'!$A$1:$I$646,6,0),"")</f>
        <v>-50.138427200000002</v>
      </c>
      <c r="AJ449" s="10">
        <f>IFERROR(VLOOKUP(B449,'Regiões Administrativas'!$A$1:$I$646,8,0),"")</f>
        <v>459.85779500000001</v>
      </c>
      <c r="AK449" s="10" t="str">
        <f>IFERROR(VLOOKUP(Form_Responses[[#This Row],[Município]],'Regiões Administrativas'!$A$1:$I$646,9,0),"")</f>
        <v>1J6R3A:EK2)f</v>
      </c>
    </row>
    <row r="450" spans="1:37" ht="22.5" customHeight="1">
      <c r="A450" s="18">
        <v>46048.410032870372</v>
      </c>
      <c r="B450" s="10" t="s">
        <v>382</v>
      </c>
      <c r="C450" s="10" t="s">
        <v>383</v>
      </c>
      <c r="D450" s="10" t="s">
        <v>2217</v>
      </c>
      <c r="E450" s="10" t="s">
        <v>2218</v>
      </c>
      <c r="G450" s="10" t="s">
        <v>2219</v>
      </c>
      <c r="H450" s="72" t="s">
        <v>2220</v>
      </c>
      <c r="I450" s="10" t="s">
        <v>162</v>
      </c>
      <c r="J450" s="16">
        <v>46367</v>
      </c>
      <c r="K450" s="16">
        <v>46376</v>
      </c>
      <c r="N450" s="10" t="s">
        <v>268</v>
      </c>
      <c r="O450" s="10" t="s">
        <v>234</v>
      </c>
      <c r="P450" s="10" t="s">
        <v>235</v>
      </c>
      <c r="Q450" s="10" t="s">
        <v>47</v>
      </c>
      <c r="R450" s="10" t="s">
        <v>48</v>
      </c>
      <c r="S450" s="19">
        <v>120000</v>
      </c>
      <c r="T450" s="19">
        <v>90000</v>
      </c>
      <c r="U450" s="19">
        <v>85000</v>
      </c>
      <c r="W450" s="10" t="s">
        <v>2221</v>
      </c>
      <c r="Y450" s="10" t="s">
        <v>389</v>
      </c>
      <c r="Z450" s="10" t="s">
        <v>76</v>
      </c>
      <c r="AA450" s="10" t="s">
        <v>1898</v>
      </c>
      <c r="AB450" s="10" t="s">
        <v>66</v>
      </c>
      <c r="AC450" s="10" t="s">
        <v>68</v>
      </c>
      <c r="AD450" s="10" t="str">
        <f>IFERROR(VLOOKUP(B450,'Regiões Administrativas'!$A$1:$B$646,2,0),"")</f>
        <v>Campinas</v>
      </c>
      <c r="AE450" s="10">
        <f>IFERROR(VLOOKUP(Form_Responses[[#This Row],[Município]],'Regiões Administrativas'!$A$1:$I$646,3,0),"")</f>
        <v>16193</v>
      </c>
      <c r="AF450" s="10">
        <f>IFERROR(VLOOKUP(Form_Responses[[#This Row],[Município]],'Regiões Administrativas'!$A$1:$I$646,4,0),"")</f>
        <v>352400605000001</v>
      </c>
      <c r="AG450" s="10">
        <f>IFERROR(VLOOKUP(Form_Responses[[#This Row],[Município]],'Regiões Administrativas'!$A$1:$I$646,4,0),"")</f>
        <v>352400605000001</v>
      </c>
      <c r="AH450" s="10">
        <f>IFERROR(VLOOKUP(B450,'Regiões Administrativas'!$A$1:$I$646,5,0),"")</f>
        <v>3524006</v>
      </c>
      <c r="AI450" s="10">
        <f>IFERROR(VLOOKUP(B450,'Regiões Administrativas'!$A$1:$I$646,6,0),"")</f>
        <v>-47.055701200000001</v>
      </c>
      <c r="AJ450" s="10">
        <f>IFERROR(VLOOKUP(B450,'Regiões Administrativas'!$A$1:$I$646,8,0),"")</f>
        <v>672.32714899999996</v>
      </c>
      <c r="AK450" s="10" t="str">
        <f>IFERROR(VLOOKUP(Form_Responses[[#This Row],[Município]],'Regiões Administrativas'!$A$1:$I$646,9,0),"")</f>
        <v>1J6tLR+&lt;QWRf</v>
      </c>
    </row>
    <row r="451" spans="1:37" ht="22.5" customHeight="1">
      <c r="A451" s="18">
        <v>46048.414519085651</v>
      </c>
      <c r="B451" s="10" t="s">
        <v>382</v>
      </c>
      <c r="C451" s="10" t="s">
        <v>383</v>
      </c>
      <c r="D451" s="10" t="s">
        <v>384</v>
      </c>
      <c r="E451" s="10" t="s">
        <v>2222</v>
      </c>
      <c r="G451" s="10" t="s">
        <v>2223</v>
      </c>
      <c r="H451" s="72" t="s">
        <v>2220</v>
      </c>
      <c r="I451" s="10" t="s">
        <v>81</v>
      </c>
      <c r="J451" s="16">
        <v>46276</v>
      </c>
      <c r="K451" s="16">
        <v>46306</v>
      </c>
      <c r="N451" s="10" t="s">
        <v>73</v>
      </c>
      <c r="O451" s="10" t="s">
        <v>190</v>
      </c>
      <c r="P451" s="10" t="s">
        <v>63</v>
      </c>
      <c r="Q451" s="10" t="s">
        <v>47</v>
      </c>
      <c r="R451" s="10" t="s">
        <v>48</v>
      </c>
      <c r="S451" s="19">
        <v>30000</v>
      </c>
      <c r="T451" s="19">
        <v>20000</v>
      </c>
      <c r="W451" s="10" t="s">
        <v>388</v>
      </c>
      <c r="Y451" s="10" t="s">
        <v>389</v>
      </c>
      <c r="Z451" s="10" t="s">
        <v>76</v>
      </c>
      <c r="AA451" s="10" t="s">
        <v>93</v>
      </c>
      <c r="AB451" s="10" t="s">
        <v>66</v>
      </c>
      <c r="AC451" s="10" t="s">
        <v>68</v>
      </c>
      <c r="AD451" s="10" t="str">
        <f>IFERROR(VLOOKUP(B451,'Regiões Administrativas'!$A$1:$B$646,2,0),"")</f>
        <v>Campinas</v>
      </c>
      <c r="AE451" s="10">
        <f>IFERROR(VLOOKUP(Form_Responses[[#This Row],[Município]],'Regiões Administrativas'!$A$1:$I$646,3,0),"")</f>
        <v>16193</v>
      </c>
      <c r="AF451" s="10">
        <f>IFERROR(VLOOKUP(Form_Responses[[#This Row],[Município]],'Regiões Administrativas'!$A$1:$I$646,4,0),"")</f>
        <v>352400605000001</v>
      </c>
      <c r="AG451" s="10">
        <f>IFERROR(VLOOKUP(Form_Responses[[#This Row],[Município]],'Regiões Administrativas'!$A$1:$I$646,4,0),"")</f>
        <v>352400605000001</v>
      </c>
      <c r="AH451" s="10">
        <f>IFERROR(VLOOKUP(B451,'Regiões Administrativas'!$A$1:$I$646,5,0),"")</f>
        <v>3524006</v>
      </c>
      <c r="AI451" s="10">
        <f>IFERROR(VLOOKUP(B451,'Regiões Administrativas'!$A$1:$I$646,6,0),"")</f>
        <v>-47.055701200000001</v>
      </c>
      <c r="AJ451" s="10">
        <f>IFERROR(VLOOKUP(B451,'Regiões Administrativas'!$A$1:$I$646,8,0),"")</f>
        <v>672.32714899999996</v>
      </c>
      <c r="AK451" s="10" t="str">
        <f>IFERROR(VLOOKUP(Form_Responses[[#This Row],[Município]],'Regiões Administrativas'!$A$1:$I$646,9,0),"")</f>
        <v>1J6tLR+&lt;QWRf</v>
      </c>
    </row>
    <row r="452" spans="1:37" ht="22.5" customHeight="1">
      <c r="A452" s="15">
        <v>46048.447183587967</v>
      </c>
      <c r="B452" s="10" t="s">
        <v>2224</v>
      </c>
      <c r="C452" s="10" t="s">
        <v>336</v>
      </c>
      <c r="D452" s="10" t="s">
        <v>2225</v>
      </c>
      <c r="E452" s="10" t="s">
        <v>2226</v>
      </c>
      <c r="G452" s="10" t="s">
        <v>2227</v>
      </c>
      <c r="H452" s="72" t="s">
        <v>2228</v>
      </c>
      <c r="I452" s="10" t="s">
        <v>89</v>
      </c>
      <c r="J452" s="16">
        <v>46061</v>
      </c>
      <c r="K452" s="16">
        <v>46070</v>
      </c>
      <c r="L452" s="17">
        <v>0.5</v>
      </c>
      <c r="M452" s="17">
        <v>0.95833333333575865</v>
      </c>
      <c r="N452" s="10" t="s">
        <v>73</v>
      </c>
      <c r="O452" s="10" t="s">
        <v>45</v>
      </c>
      <c r="P452" s="10" t="s">
        <v>90</v>
      </c>
      <c r="Q452" s="10" t="s">
        <v>47</v>
      </c>
      <c r="R452" s="10" t="s">
        <v>74</v>
      </c>
      <c r="S452" s="10">
        <v>6000</v>
      </c>
      <c r="T452" s="10">
        <v>5000</v>
      </c>
      <c r="U452" s="10">
        <v>4500</v>
      </c>
      <c r="V452" s="10">
        <v>4000</v>
      </c>
      <c r="W452" s="10" t="s">
        <v>2229</v>
      </c>
      <c r="Y452" s="10" t="s">
        <v>2230</v>
      </c>
      <c r="Z452" s="10" t="s">
        <v>632</v>
      </c>
      <c r="AA452" s="10" t="s">
        <v>101</v>
      </c>
      <c r="AB452" s="10" t="s">
        <v>54</v>
      </c>
      <c r="AC452" s="10" t="s">
        <v>68</v>
      </c>
      <c r="AD452" s="10" t="str">
        <f>IFERROR(VLOOKUP(B452,'Regiões Administrativas'!$A$1:$B$646,2,0),"")</f>
        <v>Ribeirão Preto</v>
      </c>
      <c r="AE452" s="10">
        <f>IFERROR(VLOOKUP(Form_Responses[[#This Row],[Município]],'Regiões Administrativas'!$A$1:$I$646,3,0),"")</f>
        <v>17303</v>
      </c>
      <c r="AF452" s="10">
        <f>IFERROR(VLOOKUP(Form_Responses[[#This Row],[Município]],'Regiões Administrativas'!$A$1:$I$646,4,0),"")</f>
        <v>355170205000001</v>
      </c>
      <c r="AG452" s="10">
        <f>IFERROR(VLOOKUP(Form_Responses[[#This Row],[Município]],'Regiões Administrativas'!$A$1:$I$646,4,0),"")</f>
        <v>355170205000001</v>
      </c>
      <c r="AH452" s="10">
        <f>IFERROR(VLOOKUP(B452,'Regiões Administrativas'!$A$1:$I$646,5,0),"")</f>
        <v>3551702</v>
      </c>
      <c r="AI452" s="10">
        <f>IFERROR(VLOOKUP(B452,'Regiões Administrativas'!$A$1:$I$646,6,0),"")</f>
        <v>-47.9911484</v>
      </c>
      <c r="AJ452" s="10">
        <f>IFERROR(VLOOKUP(B452,'Regiões Administrativas'!$A$1:$I$646,8,0),"")</f>
        <v>545.97698800000001</v>
      </c>
      <c r="AK452" s="10" t="str">
        <f>IFERROR(VLOOKUP(Form_Responses[[#This Row],[Município]],'Regiões Administrativas'!$A$1:$I$646,9,0),"")</f>
        <v>1J6t^,ES@Hu-</v>
      </c>
    </row>
    <row r="453" spans="1:37" ht="22.5" customHeight="1">
      <c r="A453" s="15">
        <v>46048.707490659726</v>
      </c>
      <c r="B453" s="10" t="s">
        <v>2231</v>
      </c>
      <c r="C453" s="10" t="s">
        <v>1109</v>
      </c>
      <c r="D453" s="10" t="s">
        <v>2232</v>
      </c>
      <c r="E453" s="10" t="s">
        <v>2233</v>
      </c>
      <c r="G453" s="10" t="s">
        <v>2234</v>
      </c>
      <c r="I453" s="10" t="s">
        <v>89</v>
      </c>
      <c r="J453" s="16">
        <v>46067</v>
      </c>
      <c r="K453" s="16">
        <v>46070</v>
      </c>
      <c r="L453" s="17">
        <v>0.875</v>
      </c>
      <c r="M453" s="17">
        <v>8.3333333335758653E-2</v>
      </c>
      <c r="N453" s="10" t="s">
        <v>44</v>
      </c>
      <c r="O453" s="10" t="s">
        <v>45</v>
      </c>
      <c r="P453" s="10" t="s">
        <v>90</v>
      </c>
      <c r="Q453" s="10" t="s">
        <v>47</v>
      </c>
      <c r="R453" s="10" t="s">
        <v>74</v>
      </c>
      <c r="S453" s="10">
        <v>60000</v>
      </c>
      <c r="T453" s="10">
        <v>60000</v>
      </c>
      <c r="U453" s="10">
        <v>60000</v>
      </c>
      <c r="V453" s="10">
        <v>40000</v>
      </c>
      <c r="W453" s="10" t="s">
        <v>990</v>
      </c>
      <c r="Y453" s="10" t="s">
        <v>2235</v>
      </c>
      <c r="Z453" s="10" t="s">
        <v>76</v>
      </c>
      <c r="AA453" s="10" t="s">
        <v>67</v>
      </c>
      <c r="AB453" s="10" t="s">
        <v>66</v>
      </c>
      <c r="AC453" s="10" t="s">
        <v>68</v>
      </c>
      <c r="AD453" s="10" t="str">
        <f>IFERROR(VLOOKUP(B453,'Regiões Administrativas'!$A$1:$B$646,2,0),"")</f>
        <v>Campinas</v>
      </c>
      <c r="AE453" s="10">
        <f>IFERROR(VLOOKUP(Form_Responses[[#This Row],[Município]],'Regiões Administrativas'!$A$1:$I$646,3,0),"")</f>
        <v>17377</v>
      </c>
      <c r="AF453" s="10">
        <f>IFERROR(VLOOKUP(Form_Responses[[#This Row],[Município]],'Regiões Administrativas'!$A$1:$I$646,4,0),"")</f>
        <v>355470605000001</v>
      </c>
      <c r="AG453" s="10">
        <f>IFERROR(VLOOKUP(Form_Responses[[#This Row],[Município]],'Regiões Administrativas'!$A$1:$I$646,4,0),"")</f>
        <v>355470605000001</v>
      </c>
      <c r="AH453" s="10">
        <f>IFERROR(VLOOKUP(B453,'Regiões Administrativas'!$A$1:$I$646,5,0),"")</f>
        <v>3554706</v>
      </c>
      <c r="AI453" s="10">
        <f>IFERROR(VLOOKUP(B453,'Regiões Administrativas'!$A$1:$I$646,6,0),"")</f>
        <v>-48.172157599999998</v>
      </c>
      <c r="AJ453" s="10">
        <f>IFERROR(VLOOKUP(B453,'Regiões Administrativas'!$A$1:$I$646,8,0),"")</f>
        <v>794.43520799999999</v>
      </c>
      <c r="AK453" s="10" t="str">
        <f>IFERROR(VLOOKUP(Form_Responses[[#This Row],[Município]],'Regiões Administrativas'!$A$1:$I$646,9,0),"")</f>
        <v>1J6Rudr;Ml;-</v>
      </c>
    </row>
    <row r="454" spans="1:37" ht="22.5" customHeight="1">
      <c r="A454" s="15">
        <v>46049.399139421294</v>
      </c>
      <c r="B454" s="10" t="s">
        <v>2236</v>
      </c>
      <c r="C454" s="10" t="s">
        <v>2237</v>
      </c>
      <c r="D454" s="10" t="s">
        <v>2238</v>
      </c>
      <c r="E454" s="10" t="s">
        <v>2239</v>
      </c>
      <c r="G454" s="10" t="s">
        <v>2240</v>
      </c>
      <c r="H454" s="72" t="s">
        <v>2241</v>
      </c>
      <c r="I454" s="10" t="s">
        <v>89</v>
      </c>
      <c r="J454" s="16">
        <v>46060</v>
      </c>
      <c r="K454" s="16">
        <v>46061</v>
      </c>
      <c r="N454" s="10" t="s">
        <v>61</v>
      </c>
      <c r="O454" s="10" t="s">
        <v>62</v>
      </c>
      <c r="P454" s="10" t="s">
        <v>63</v>
      </c>
      <c r="Q454" s="10" t="s">
        <v>47</v>
      </c>
      <c r="R454" s="10" t="s">
        <v>48</v>
      </c>
      <c r="S454" s="10">
        <v>10000</v>
      </c>
      <c r="T454" s="10">
        <v>9000</v>
      </c>
      <c r="W454" s="10" t="s">
        <v>2242</v>
      </c>
      <c r="X454" s="72" t="s">
        <v>2241</v>
      </c>
      <c r="Y454" s="10" t="s">
        <v>2243</v>
      </c>
      <c r="Z454" s="10" t="s">
        <v>66</v>
      </c>
      <c r="AA454" s="10" t="s">
        <v>67</v>
      </c>
      <c r="AB454" s="10" t="s">
        <v>344</v>
      </c>
      <c r="AC454" s="10" t="s">
        <v>68</v>
      </c>
      <c r="AD454" s="10" t="str">
        <f>IFERROR(VLOOKUP(B454,'Regiões Administrativas'!$A$1:$B$646,2,0),"")</f>
        <v>São José dos Campos</v>
      </c>
      <c r="AE454" s="10">
        <f>IFERROR(VLOOKUP(Form_Responses[[#This Row],[Município]],'Regiões Administrativas'!$A$1:$I$646,3,0),"")</f>
        <v>15748</v>
      </c>
      <c r="AF454" s="10">
        <f>IFERROR(VLOOKUP(Form_Responses[[#This Row],[Município]],'Regiões Administrativas'!$A$1:$I$646,4,0),"")</f>
        <v>351050005000001</v>
      </c>
      <c r="AG454" s="10">
        <f>IFERROR(VLOOKUP(Form_Responses[[#This Row],[Município]],'Regiões Administrativas'!$A$1:$I$646,4,0),"")</f>
        <v>351050005000001</v>
      </c>
      <c r="AH454" s="10">
        <f>IFERROR(VLOOKUP(B454,'Regiões Administrativas'!$A$1:$I$646,5,0),"")</f>
        <v>3510500</v>
      </c>
      <c r="AI454" s="10">
        <f>IFERROR(VLOOKUP(B454,'Regiões Administrativas'!$A$1:$I$646,6,0),"")</f>
        <v>-45.410818399999997</v>
      </c>
      <c r="AJ454" s="10">
        <f>IFERROR(VLOOKUP(B454,'Regiões Administrativas'!$A$1:$I$646,8,0),"")</f>
        <v>3.1946180000000002</v>
      </c>
      <c r="AK454" s="10" t="str">
        <f>IFERROR(VLOOKUP(Form_Responses[[#This Row],[Município]],'Regiões Administrativas'!$A$1:$I$646,9,0),"")</f>
        <v>1J6tw+iAPggp</v>
      </c>
    </row>
    <row r="455" spans="1:37" ht="22.5" customHeight="1">
      <c r="A455" s="15">
        <v>46049.403616597221</v>
      </c>
      <c r="B455" s="10" t="s">
        <v>2236</v>
      </c>
      <c r="C455" s="10" t="s">
        <v>2237</v>
      </c>
      <c r="D455" s="10" t="s">
        <v>2244</v>
      </c>
      <c r="E455" s="10" t="s">
        <v>2245</v>
      </c>
      <c r="G455" s="10" t="s">
        <v>2246</v>
      </c>
      <c r="H455" s="72" t="s">
        <v>2247</v>
      </c>
      <c r="I455" s="10" t="s">
        <v>89</v>
      </c>
      <c r="J455" s="16">
        <v>46066</v>
      </c>
      <c r="K455" s="16">
        <v>46070</v>
      </c>
      <c r="N455" s="10" t="s">
        <v>73</v>
      </c>
      <c r="O455" s="10" t="s">
        <v>45</v>
      </c>
      <c r="P455" s="10" t="s">
        <v>90</v>
      </c>
      <c r="Q455" s="10" t="s">
        <v>47</v>
      </c>
      <c r="R455" s="10" t="s">
        <v>74</v>
      </c>
      <c r="S455" s="10">
        <v>500000</v>
      </c>
      <c r="T455" s="10">
        <v>300000</v>
      </c>
      <c r="W455" s="10" t="s">
        <v>2248</v>
      </c>
      <c r="Y455" s="10" t="s">
        <v>2249</v>
      </c>
      <c r="Z455" s="10" t="s">
        <v>76</v>
      </c>
      <c r="AA455" s="10" t="s">
        <v>67</v>
      </c>
      <c r="AB455" s="10" t="s">
        <v>318</v>
      </c>
      <c r="AC455" s="10" t="s">
        <v>68</v>
      </c>
      <c r="AD455" s="10" t="str">
        <f>IFERROR(VLOOKUP(B455,'Regiões Administrativas'!$A$1:$B$646,2,0),"")</f>
        <v>São José dos Campos</v>
      </c>
      <c r="AE455" s="10">
        <f>IFERROR(VLOOKUP(Form_Responses[[#This Row],[Município]],'Regiões Administrativas'!$A$1:$I$646,3,0),"")</f>
        <v>15748</v>
      </c>
      <c r="AF455" s="10">
        <f>IFERROR(VLOOKUP(Form_Responses[[#This Row],[Município]],'Regiões Administrativas'!$A$1:$I$646,4,0),"")</f>
        <v>351050005000001</v>
      </c>
      <c r="AG455" s="10">
        <f>IFERROR(VLOOKUP(Form_Responses[[#This Row],[Município]],'Regiões Administrativas'!$A$1:$I$646,4,0),"")</f>
        <v>351050005000001</v>
      </c>
      <c r="AH455" s="10">
        <f>IFERROR(VLOOKUP(B455,'Regiões Administrativas'!$A$1:$I$646,5,0),"")</f>
        <v>3510500</v>
      </c>
      <c r="AI455" s="10">
        <f>IFERROR(VLOOKUP(B455,'Regiões Administrativas'!$A$1:$I$646,6,0),"")</f>
        <v>-45.410818399999997</v>
      </c>
      <c r="AJ455" s="10">
        <f>IFERROR(VLOOKUP(B455,'Regiões Administrativas'!$A$1:$I$646,8,0),"")</f>
        <v>3.1946180000000002</v>
      </c>
      <c r="AK455" s="10" t="str">
        <f>IFERROR(VLOOKUP(Form_Responses[[#This Row],[Município]],'Regiões Administrativas'!$A$1:$I$646,9,0),"")</f>
        <v>1J6tw+iAPggp</v>
      </c>
    </row>
    <row r="456" spans="1:37" ht="22.5" customHeight="1">
      <c r="A456" s="15">
        <v>46049.416579548611</v>
      </c>
      <c r="B456" s="10" t="s">
        <v>2236</v>
      </c>
      <c r="C456" s="10" t="s">
        <v>2237</v>
      </c>
      <c r="D456" s="10" t="s">
        <v>2250</v>
      </c>
      <c r="E456" s="10" t="s">
        <v>2251</v>
      </c>
      <c r="G456" s="10" t="s">
        <v>2252</v>
      </c>
      <c r="H456" s="72" t="s">
        <v>2253</v>
      </c>
      <c r="I456" s="10" t="s">
        <v>89</v>
      </c>
      <c r="J456" s="16">
        <v>46075</v>
      </c>
      <c r="K456" s="16">
        <v>46075</v>
      </c>
      <c r="L456" s="17">
        <v>0.5</v>
      </c>
      <c r="M456" s="17">
        <v>0.91666666666424135</v>
      </c>
      <c r="N456" s="10" t="s">
        <v>73</v>
      </c>
      <c r="O456" s="10" t="s">
        <v>310</v>
      </c>
      <c r="P456" s="10" t="s">
        <v>63</v>
      </c>
      <c r="Q456" s="10" t="s">
        <v>47</v>
      </c>
      <c r="R456" s="10" t="s">
        <v>74</v>
      </c>
      <c r="S456" s="10">
        <v>300</v>
      </c>
      <c r="W456" s="10" t="s">
        <v>2254</v>
      </c>
      <c r="Y456" s="10" t="s">
        <v>2249</v>
      </c>
      <c r="Z456" s="10" t="s">
        <v>66</v>
      </c>
      <c r="AA456" s="10" t="s">
        <v>244</v>
      </c>
      <c r="AB456" s="10" t="s">
        <v>318</v>
      </c>
      <c r="AC456" s="10" t="s">
        <v>68</v>
      </c>
      <c r="AD456" s="10" t="str">
        <f>IFERROR(VLOOKUP(B456,'Regiões Administrativas'!$A$1:$B$646,2,0),"")</f>
        <v>São José dos Campos</v>
      </c>
      <c r="AE456" s="10">
        <f>IFERROR(VLOOKUP(Form_Responses[[#This Row],[Município]],'Regiões Administrativas'!$A$1:$I$646,3,0),"")</f>
        <v>15748</v>
      </c>
      <c r="AF456" s="10">
        <f>IFERROR(VLOOKUP(Form_Responses[[#This Row],[Município]],'Regiões Administrativas'!$A$1:$I$646,4,0),"")</f>
        <v>351050005000001</v>
      </c>
      <c r="AG456" s="10">
        <f>IFERROR(VLOOKUP(Form_Responses[[#This Row],[Município]],'Regiões Administrativas'!$A$1:$I$646,4,0),"")</f>
        <v>351050005000001</v>
      </c>
      <c r="AH456" s="10">
        <f>IFERROR(VLOOKUP(B456,'Regiões Administrativas'!$A$1:$I$646,5,0),"")</f>
        <v>3510500</v>
      </c>
      <c r="AI456" s="10">
        <f>IFERROR(VLOOKUP(B456,'Regiões Administrativas'!$A$1:$I$646,6,0),"")</f>
        <v>-45.410818399999997</v>
      </c>
      <c r="AJ456" s="10">
        <f>IFERROR(VLOOKUP(B456,'Regiões Administrativas'!$A$1:$I$646,8,0),"")</f>
        <v>3.1946180000000002</v>
      </c>
      <c r="AK456" s="10" t="str">
        <f>IFERROR(VLOOKUP(Form_Responses[[#This Row],[Município]],'Regiões Administrativas'!$A$1:$I$646,9,0),"")</f>
        <v>1J6tw+iAPggp</v>
      </c>
    </row>
    <row r="457" spans="1:37" ht="22.5" customHeight="1">
      <c r="A457" s="15">
        <v>46049.424245717593</v>
      </c>
      <c r="B457" s="10" t="s">
        <v>2236</v>
      </c>
      <c r="C457" s="10" t="s">
        <v>2237</v>
      </c>
      <c r="D457" s="10" t="s">
        <v>2255</v>
      </c>
      <c r="E457" s="10" t="s">
        <v>2256</v>
      </c>
      <c r="G457" s="10" t="s">
        <v>2257</v>
      </c>
      <c r="H457" s="72" t="s">
        <v>2258</v>
      </c>
      <c r="I457" s="10" t="s">
        <v>109</v>
      </c>
      <c r="J457" s="16">
        <v>46095</v>
      </c>
      <c r="K457" s="16">
        <v>46095</v>
      </c>
      <c r="N457" s="10" t="s">
        <v>61</v>
      </c>
      <c r="O457" s="10" t="s">
        <v>62</v>
      </c>
      <c r="P457" s="10" t="s">
        <v>63</v>
      </c>
      <c r="Q457" s="10" t="s">
        <v>47</v>
      </c>
      <c r="R457" s="10" t="s">
        <v>48</v>
      </c>
      <c r="S457" s="10">
        <v>1000</v>
      </c>
      <c r="W457" s="10" t="s">
        <v>2259</v>
      </c>
      <c r="X457" s="72" t="s">
        <v>2258</v>
      </c>
      <c r="Y457" s="10" t="s">
        <v>2260</v>
      </c>
      <c r="Z457" s="10" t="s">
        <v>66</v>
      </c>
      <c r="AA457" s="10" t="s">
        <v>67</v>
      </c>
      <c r="AB457" s="10" t="s">
        <v>344</v>
      </c>
      <c r="AC457" s="10" t="s">
        <v>68</v>
      </c>
      <c r="AD457" s="10" t="str">
        <f>IFERROR(VLOOKUP(B457,'Regiões Administrativas'!$A$1:$B$646,2,0),"")</f>
        <v>São José dos Campos</v>
      </c>
      <c r="AE457" s="10">
        <f>IFERROR(VLOOKUP(Form_Responses[[#This Row],[Município]],'Regiões Administrativas'!$A$1:$I$646,3,0),"")</f>
        <v>15748</v>
      </c>
      <c r="AF457" s="10">
        <f>IFERROR(VLOOKUP(Form_Responses[[#This Row],[Município]],'Regiões Administrativas'!$A$1:$I$646,4,0),"")</f>
        <v>351050005000001</v>
      </c>
      <c r="AG457" s="10">
        <f>IFERROR(VLOOKUP(Form_Responses[[#This Row],[Município]],'Regiões Administrativas'!$A$1:$I$646,4,0),"")</f>
        <v>351050005000001</v>
      </c>
      <c r="AH457" s="10">
        <f>IFERROR(VLOOKUP(B457,'Regiões Administrativas'!$A$1:$I$646,5,0),"")</f>
        <v>3510500</v>
      </c>
      <c r="AI457" s="10">
        <f>IFERROR(VLOOKUP(B457,'Regiões Administrativas'!$A$1:$I$646,6,0),"")</f>
        <v>-45.410818399999997</v>
      </c>
      <c r="AJ457" s="10">
        <f>IFERROR(VLOOKUP(B457,'Regiões Administrativas'!$A$1:$I$646,8,0),"")</f>
        <v>3.1946180000000002</v>
      </c>
      <c r="AK457" s="10" t="str">
        <f>IFERROR(VLOOKUP(Form_Responses[[#This Row],[Município]],'Regiões Administrativas'!$A$1:$I$646,9,0),"")</f>
        <v>1J6tw+iAPggp</v>
      </c>
    </row>
    <row r="458" spans="1:37" ht="22.5" customHeight="1">
      <c r="A458" s="15">
        <v>46049.431460868058</v>
      </c>
      <c r="B458" s="10" t="s">
        <v>2236</v>
      </c>
      <c r="C458" s="10" t="s">
        <v>2237</v>
      </c>
      <c r="D458" s="10" t="s">
        <v>2261</v>
      </c>
      <c r="E458" s="10" t="s">
        <v>2262</v>
      </c>
      <c r="G458" s="10" t="s">
        <v>2263</v>
      </c>
      <c r="H458" s="72" t="s">
        <v>2264</v>
      </c>
      <c r="I458" s="10" t="s">
        <v>109</v>
      </c>
      <c r="J458" s="16">
        <v>46101</v>
      </c>
      <c r="K458" s="16">
        <v>46103</v>
      </c>
      <c r="N458" s="10" t="s">
        <v>61</v>
      </c>
      <c r="O458" s="10" t="s">
        <v>62</v>
      </c>
      <c r="P458" s="10" t="s">
        <v>63</v>
      </c>
      <c r="Q458" s="10" t="s">
        <v>47</v>
      </c>
      <c r="R458" s="10" t="s">
        <v>230</v>
      </c>
      <c r="S458" s="10">
        <v>5000</v>
      </c>
      <c r="W458" s="10" t="s">
        <v>2265</v>
      </c>
      <c r="X458" s="72" t="s">
        <v>2264</v>
      </c>
      <c r="Y458" s="10" t="s">
        <v>2266</v>
      </c>
      <c r="Z458" s="10" t="s">
        <v>66</v>
      </c>
      <c r="AA458" s="10" t="s">
        <v>67</v>
      </c>
      <c r="AB458" s="10" t="s">
        <v>344</v>
      </c>
      <c r="AC458" s="10" t="s">
        <v>68</v>
      </c>
      <c r="AD458" s="10" t="str">
        <f>IFERROR(VLOOKUP(B458,'Regiões Administrativas'!$A$1:$B$646,2,0),"")</f>
        <v>São José dos Campos</v>
      </c>
      <c r="AE458" s="10">
        <f>IFERROR(VLOOKUP(Form_Responses[[#This Row],[Município]],'Regiões Administrativas'!$A$1:$I$646,3,0),"")</f>
        <v>15748</v>
      </c>
      <c r="AF458" s="10">
        <f>IFERROR(VLOOKUP(Form_Responses[[#This Row],[Município]],'Regiões Administrativas'!$A$1:$I$646,4,0),"")</f>
        <v>351050005000001</v>
      </c>
      <c r="AG458" s="10">
        <f>IFERROR(VLOOKUP(Form_Responses[[#This Row],[Município]],'Regiões Administrativas'!$A$1:$I$646,4,0),"")</f>
        <v>351050005000001</v>
      </c>
      <c r="AH458" s="10">
        <f>IFERROR(VLOOKUP(B458,'Regiões Administrativas'!$A$1:$I$646,5,0),"")</f>
        <v>3510500</v>
      </c>
      <c r="AI458" s="10">
        <f>IFERROR(VLOOKUP(B458,'Regiões Administrativas'!$A$1:$I$646,6,0),"")</f>
        <v>-45.410818399999997</v>
      </c>
      <c r="AJ458" s="10">
        <f>IFERROR(VLOOKUP(B458,'Regiões Administrativas'!$A$1:$I$646,8,0),"")</f>
        <v>3.1946180000000002</v>
      </c>
      <c r="AK458" s="10" t="str">
        <f>IFERROR(VLOOKUP(Form_Responses[[#This Row],[Município]],'Regiões Administrativas'!$A$1:$I$646,9,0),"")</f>
        <v>1J6tw+iAPggp</v>
      </c>
    </row>
    <row r="459" spans="1:37" ht="22.5" customHeight="1">
      <c r="A459" s="15">
        <v>46049.440527777777</v>
      </c>
      <c r="B459" s="10" t="s">
        <v>2236</v>
      </c>
      <c r="C459" s="10" t="s">
        <v>2237</v>
      </c>
      <c r="D459" s="10" t="s">
        <v>943</v>
      </c>
      <c r="E459" s="10" t="s">
        <v>2267</v>
      </c>
      <c r="G459" s="10" t="s">
        <v>2268</v>
      </c>
      <c r="H459" s="72" t="s">
        <v>2269</v>
      </c>
      <c r="I459" s="10" t="s">
        <v>128</v>
      </c>
      <c r="J459" s="16">
        <v>46118</v>
      </c>
      <c r="K459" s="16">
        <v>46118</v>
      </c>
      <c r="N459" s="10" t="s">
        <v>73</v>
      </c>
      <c r="O459" s="10" t="s">
        <v>221</v>
      </c>
      <c r="P459" s="10" t="s">
        <v>480</v>
      </c>
      <c r="Q459" s="10" t="s">
        <v>47</v>
      </c>
      <c r="R459" s="10" t="s">
        <v>74</v>
      </c>
      <c r="S459" s="10">
        <v>12000</v>
      </c>
      <c r="T459" s="10">
        <v>10000</v>
      </c>
      <c r="W459" s="10" t="s">
        <v>2270</v>
      </c>
      <c r="Y459" s="10" t="s">
        <v>2271</v>
      </c>
      <c r="Z459" s="10" t="s">
        <v>632</v>
      </c>
      <c r="AA459" s="10" t="s">
        <v>113</v>
      </c>
      <c r="AB459" s="10" t="s">
        <v>318</v>
      </c>
      <c r="AC459" s="10" t="s">
        <v>68</v>
      </c>
      <c r="AD459" s="10" t="str">
        <f>IFERROR(VLOOKUP(B459,'Regiões Administrativas'!$A$1:$B$646,2,0),"")</f>
        <v>São José dos Campos</v>
      </c>
      <c r="AE459" s="10">
        <f>IFERROR(VLOOKUP(Form_Responses[[#This Row],[Município]],'Regiões Administrativas'!$A$1:$I$646,3,0),"")</f>
        <v>15748</v>
      </c>
      <c r="AF459" s="10">
        <f>IFERROR(VLOOKUP(Form_Responses[[#This Row],[Município]],'Regiões Administrativas'!$A$1:$I$646,4,0),"")</f>
        <v>351050005000001</v>
      </c>
      <c r="AG459" s="10">
        <f>IFERROR(VLOOKUP(Form_Responses[[#This Row],[Município]],'Regiões Administrativas'!$A$1:$I$646,4,0),"")</f>
        <v>351050005000001</v>
      </c>
      <c r="AH459" s="10">
        <f>IFERROR(VLOOKUP(B459,'Regiões Administrativas'!$A$1:$I$646,5,0),"")</f>
        <v>3510500</v>
      </c>
      <c r="AI459" s="10">
        <f>IFERROR(VLOOKUP(B459,'Regiões Administrativas'!$A$1:$I$646,6,0),"")</f>
        <v>-45.410818399999997</v>
      </c>
      <c r="AJ459" s="10">
        <f>IFERROR(VLOOKUP(B459,'Regiões Administrativas'!$A$1:$I$646,8,0),"")</f>
        <v>3.1946180000000002</v>
      </c>
      <c r="AK459" s="10" t="str">
        <f>IFERROR(VLOOKUP(Form_Responses[[#This Row],[Município]],'Regiões Administrativas'!$A$1:$I$646,9,0),"")</f>
        <v>1J6tw+iAPggp</v>
      </c>
    </row>
    <row r="460" spans="1:37" ht="22.5" customHeight="1">
      <c r="A460" s="15">
        <v>46049.444737407408</v>
      </c>
      <c r="B460" s="10" t="s">
        <v>2236</v>
      </c>
      <c r="C460" s="10" t="s">
        <v>2237</v>
      </c>
      <c r="D460" s="10" t="s">
        <v>994</v>
      </c>
      <c r="E460" s="10" t="s">
        <v>2272</v>
      </c>
      <c r="G460" s="10" t="s">
        <v>2273</v>
      </c>
      <c r="H460" s="72" t="s">
        <v>2269</v>
      </c>
      <c r="I460" s="10" t="s">
        <v>128</v>
      </c>
      <c r="J460" s="16">
        <v>46130</v>
      </c>
      <c r="K460" s="16">
        <v>46132</v>
      </c>
      <c r="N460" s="10" t="s">
        <v>73</v>
      </c>
      <c r="O460" s="10" t="s">
        <v>62</v>
      </c>
      <c r="P460" s="10" t="s">
        <v>63</v>
      </c>
      <c r="Q460" s="10" t="s">
        <v>47</v>
      </c>
      <c r="R460" s="10" t="s">
        <v>74</v>
      </c>
      <c r="S460" s="10">
        <v>2000</v>
      </c>
      <c r="T460" s="10">
        <v>1500</v>
      </c>
      <c r="W460" s="10" t="s">
        <v>2274</v>
      </c>
      <c r="Y460" s="10" t="s">
        <v>2249</v>
      </c>
      <c r="Z460" s="10" t="s">
        <v>76</v>
      </c>
      <c r="AA460" s="10" t="s">
        <v>67</v>
      </c>
      <c r="AB460" s="10" t="s">
        <v>344</v>
      </c>
      <c r="AC460" s="10" t="s">
        <v>68</v>
      </c>
      <c r="AD460" s="10" t="str">
        <f>IFERROR(VLOOKUP(B460,'Regiões Administrativas'!$A$1:$B$646,2,0),"")</f>
        <v>São José dos Campos</v>
      </c>
      <c r="AE460" s="10">
        <f>IFERROR(VLOOKUP(Form_Responses[[#This Row],[Município]],'Regiões Administrativas'!$A$1:$I$646,3,0),"")</f>
        <v>15748</v>
      </c>
      <c r="AF460" s="10">
        <f>IFERROR(VLOOKUP(Form_Responses[[#This Row],[Município]],'Regiões Administrativas'!$A$1:$I$646,4,0),"")</f>
        <v>351050005000001</v>
      </c>
      <c r="AG460" s="10">
        <f>IFERROR(VLOOKUP(Form_Responses[[#This Row],[Município]],'Regiões Administrativas'!$A$1:$I$646,4,0),"")</f>
        <v>351050005000001</v>
      </c>
      <c r="AH460" s="10">
        <f>IFERROR(VLOOKUP(B460,'Regiões Administrativas'!$A$1:$I$646,5,0),"")</f>
        <v>3510500</v>
      </c>
      <c r="AI460" s="10">
        <f>IFERROR(VLOOKUP(B460,'Regiões Administrativas'!$A$1:$I$646,6,0),"")</f>
        <v>-45.410818399999997</v>
      </c>
      <c r="AJ460" s="10">
        <f>IFERROR(VLOOKUP(B460,'Regiões Administrativas'!$A$1:$I$646,8,0),"")</f>
        <v>3.1946180000000002</v>
      </c>
      <c r="AK460" s="10" t="str">
        <f>IFERROR(VLOOKUP(Form_Responses[[#This Row],[Município]],'Regiões Administrativas'!$A$1:$I$646,9,0),"")</f>
        <v>1J6tw+iAPggp</v>
      </c>
    </row>
    <row r="461" spans="1:37" ht="22.5" customHeight="1">
      <c r="A461" s="15">
        <v>46049.450695162042</v>
      </c>
      <c r="B461" s="10" t="s">
        <v>2236</v>
      </c>
      <c r="C461" s="10" t="s">
        <v>2237</v>
      </c>
      <c r="D461" s="10" t="s">
        <v>2275</v>
      </c>
      <c r="E461" s="10" t="s">
        <v>2276</v>
      </c>
      <c r="G461" s="10" t="s">
        <v>2277</v>
      </c>
      <c r="H461" s="72" t="s">
        <v>2278</v>
      </c>
      <c r="I461" s="10" t="s">
        <v>220</v>
      </c>
      <c r="J461" s="16">
        <v>46142</v>
      </c>
      <c r="K461" s="16">
        <v>46145</v>
      </c>
      <c r="N461" s="10" t="s">
        <v>61</v>
      </c>
      <c r="O461" s="10" t="s">
        <v>62</v>
      </c>
      <c r="P461" s="10" t="s">
        <v>63</v>
      </c>
      <c r="Q461" s="10" t="s">
        <v>47</v>
      </c>
      <c r="R461" s="10" t="s">
        <v>48</v>
      </c>
      <c r="S461" s="10">
        <v>5000</v>
      </c>
      <c r="W461" s="10" t="s">
        <v>2279</v>
      </c>
      <c r="Y461" s="10" t="s">
        <v>2249</v>
      </c>
      <c r="Z461" s="10" t="s">
        <v>76</v>
      </c>
      <c r="AA461" s="10" t="s">
        <v>113</v>
      </c>
      <c r="AB461" s="10" t="s">
        <v>344</v>
      </c>
      <c r="AC461" s="10" t="s">
        <v>68</v>
      </c>
      <c r="AD461" s="10" t="str">
        <f>IFERROR(VLOOKUP(B461,'Regiões Administrativas'!$A$1:$B$646,2,0),"")</f>
        <v>São José dos Campos</v>
      </c>
      <c r="AE461" s="10">
        <f>IFERROR(VLOOKUP(Form_Responses[[#This Row],[Município]],'Regiões Administrativas'!$A$1:$I$646,3,0),"")</f>
        <v>15748</v>
      </c>
      <c r="AF461" s="10">
        <f>IFERROR(VLOOKUP(Form_Responses[[#This Row],[Município]],'Regiões Administrativas'!$A$1:$I$646,4,0),"")</f>
        <v>351050005000001</v>
      </c>
      <c r="AG461" s="10">
        <f>IFERROR(VLOOKUP(Form_Responses[[#This Row],[Município]],'Regiões Administrativas'!$A$1:$I$646,4,0),"")</f>
        <v>351050005000001</v>
      </c>
      <c r="AH461" s="10">
        <f>IFERROR(VLOOKUP(B461,'Regiões Administrativas'!$A$1:$I$646,5,0),"")</f>
        <v>3510500</v>
      </c>
      <c r="AI461" s="10">
        <f>IFERROR(VLOOKUP(B461,'Regiões Administrativas'!$A$1:$I$646,6,0),"")</f>
        <v>-45.410818399999997</v>
      </c>
      <c r="AJ461" s="10">
        <f>IFERROR(VLOOKUP(B461,'Regiões Administrativas'!$A$1:$I$646,8,0),"")</f>
        <v>3.1946180000000002</v>
      </c>
      <c r="AK461" s="10" t="str">
        <f>IFERROR(VLOOKUP(Form_Responses[[#This Row],[Município]],'Regiões Administrativas'!$A$1:$I$646,9,0),"")</f>
        <v>1J6tw+iAPggp</v>
      </c>
    </row>
    <row r="462" spans="1:37" ht="22.5" customHeight="1">
      <c r="A462" s="18">
        <v>46049.509072037035</v>
      </c>
      <c r="B462" s="10" t="s">
        <v>2280</v>
      </c>
      <c r="C462" s="10" t="s">
        <v>2281</v>
      </c>
      <c r="D462" s="10" t="s">
        <v>2282</v>
      </c>
      <c r="E462" s="10" t="s">
        <v>2283</v>
      </c>
      <c r="F462" s="10" t="s">
        <v>2201</v>
      </c>
      <c r="G462" s="10" t="s">
        <v>2284</v>
      </c>
      <c r="H462" s="10" t="s">
        <v>126</v>
      </c>
      <c r="I462" s="10" t="s">
        <v>60</v>
      </c>
      <c r="J462" s="16">
        <v>46178</v>
      </c>
      <c r="K462" s="16">
        <v>46179</v>
      </c>
      <c r="L462" s="17">
        <v>0.75</v>
      </c>
      <c r="M462" s="17">
        <v>0</v>
      </c>
      <c r="N462" s="10" t="s">
        <v>44</v>
      </c>
      <c r="O462" s="10" t="s">
        <v>45</v>
      </c>
      <c r="P462" s="10" t="s">
        <v>135</v>
      </c>
      <c r="Q462" s="10" t="s">
        <v>47</v>
      </c>
      <c r="R462" s="10" t="s">
        <v>256</v>
      </c>
      <c r="S462" s="10">
        <v>13000</v>
      </c>
      <c r="T462" s="10">
        <v>11000</v>
      </c>
      <c r="U462" s="10">
        <v>8000</v>
      </c>
      <c r="V462" s="10">
        <v>9000</v>
      </c>
      <c r="W462" s="10" t="s">
        <v>990</v>
      </c>
      <c r="X462" s="10" t="s">
        <v>126</v>
      </c>
      <c r="Y462" s="10" t="s">
        <v>2285</v>
      </c>
      <c r="Z462" s="10" t="s">
        <v>361</v>
      </c>
      <c r="AA462" s="10" t="s">
        <v>1610</v>
      </c>
      <c r="AB462" s="10" t="s">
        <v>66</v>
      </c>
      <c r="AC462" s="10" t="s">
        <v>68</v>
      </c>
      <c r="AD462" s="10" t="str">
        <f>IFERROR(VLOOKUP(B462,'Regiões Administrativas'!$A$1:$B$646,2,0),"")</f>
        <v>Campinas</v>
      </c>
      <c r="AE462" s="10">
        <f>IFERROR(VLOOKUP(Form_Responses[[#This Row],[Município]],'Regiões Administrativas'!$A$1:$I$646,3,0),"")</f>
        <v>16563</v>
      </c>
      <c r="AF462" s="10">
        <f>IFERROR(VLOOKUP(Form_Responses[[#This Row],[Município]],'Regiões Administrativas'!$A$1:$I$646,4,0),"")</f>
        <v>353070605000001</v>
      </c>
      <c r="AG462" s="10">
        <f>IFERROR(VLOOKUP(Form_Responses[[#This Row],[Município]],'Regiões Administrativas'!$A$1:$I$646,4,0),"")</f>
        <v>353070605000001</v>
      </c>
      <c r="AH462" s="10">
        <f>IFERROR(VLOOKUP(B462,'Regiões Administrativas'!$A$1:$I$646,5,0),"")</f>
        <v>3530706</v>
      </c>
      <c r="AI462" s="10">
        <f>IFERROR(VLOOKUP(B462,'Regiões Administrativas'!$A$1:$I$646,6,0),"")</f>
        <v>-46.944474100000001</v>
      </c>
      <c r="AJ462" s="10">
        <f>IFERROR(VLOOKUP(B462,'Regiões Administrativas'!$A$1:$I$646,8,0),"")</f>
        <v>607.01452099999995</v>
      </c>
      <c r="AK462" s="10" t="str">
        <f>IFERROR(VLOOKUP(Form_Responses[[#This Row],[Município]],'Regiões Administrativas'!$A$1:$I$646,9,0),"")</f>
        <v>1J6th8yG+gL-</v>
      </c>
    </row>
    <row r="463" spans="1:37" ht="22.5" customHeight="1">
      <c r="A463" s="15">
        <v>46049.55841518518</v>
      </c>
      <c r="B463" s="10" t="s">
        <v>2236</v>
      </c>
      <c r="C463" s="10" t="s">
        <v>2237</v>
      </c>
      <c r="D463" s="10" t="s">
        <v>2286</v>
      </c>
      <c r="E463" s="10" t="s">
        <v>2287</v>
      </c>
      <c r="G463" s="10" t="s">
        <v>2288</v>
      </c>
      <c r="I463" s="10" t="s">
        <v>220</v>
      </c>
      <c r="J463" s="16">
        <v>46157</v>
      </c>
      <c r="K463" s="16">
        <v>46159</v>
      </c>
      <c r="L463" s="17">
        <v>0.33333333333575865</v>
      </c>
      <c r="M463" s="17">
        <v>0.75</v>
      </c>
      <c r="N463" s="10" t="s">
        <v>268</v>
      </c>
      <c r="O463" s="10" t="s">
        <v>142</v>
      </c>
      <c r="P463" s="10" t="s">
        <v>63</v>
      </c>
      <c r="Q463" s="10" t="s">
        <v>47</v>
      </c>
      <c r="R463" s="10" t="s">
        <v>74</v>
      </c>
      <c r="S463" s="10">
        <v>10000</v>
      </c>
      <c r="W463" s="10" t="s">
        <v>2289</v>
      </c>
      <c r="X463" s="72" t="s">
        <v>2290</v>
      </c>
      <c r="Y463" s="10" t="s">
        <v>2291</v>
      </c>
      <c r="Z463" s="10" t="s">
        <v>66</v>
      </c>
      <c r="AA463" s="10" t="s">
        <v>93</v>
      </c>
      <c r="AB463" s="10" t="s">
        <v>66</v>
      </c>
      <c r="AC463" s="10" t="s">
        <v>68</v>
      </c>
      <c r="AD463" s="10" t="str">
        <f>IFERROR(VLOOKUP(B463,'Regiões Administrativas'!$A$1:$B$646,2,0),"")</f>
        <v>São José dos Campos</v>
      </c>
      <c r="AE463" s="10">
        <f>IFERROR(VLOOKUP(Form_Responses[[#This Row],[Município]],'Regiões Administrativas'!$A$1:$I$646,3,0),"")</f>
        <v>15748</v>
      </c>
      <c r="AF463" s="10">
        <f>IFERROR(VLOOKUP(Form_Responses[[#This Row],[Município]],'Regiões Administrativas'!$A$1:$I$646,4,0),"")</f>
        <v>351050005000001</v>
      </c>
      <c r="AG463" s="10">
        <f>IFERROR(VLOOKUP(Form_Responses[[#This Row],[Município]],'Regiões Administrativas'!$A$1:$I$646,4,0),"")</f>
        <v>351050005000001</v>
      </c>
      <c r="AH463" s="10">
        <f>IFERROR(VLOOKUP(B463,'Regiões Administrativas'!$A$1:$I$646,5,0),"")</f>
        <v>3510500</v>
      </c>
      <c r="AI463" s="10">
        <f>IFERROR(VLOOKUP(B463,'Regiões Administrativas'!$A$1:$I$646,6,0),"")</f>
        <v>-45.410818399999997</v>
      </c>
      <c r="AJ463" s="10">
        <f>IFERROR(VLOOKUP(B463,'Regiões Administrativas'!$A$1:$I$646,8,0),"")</f>
        <v>3.1946180000000002</v>
      </c>
      <c r="AK463" s="10" t="str">
        <f>IFERROR(VLOOKUP(Form_Responses[[#This Row],[Município]],'Regiões Administrativas'!$A$1:$I$646,9,0),"")</f>
        <v>1J6tw+iAPggp</v>
      </c>
    </row>
    <row r="464" spans="1:37" ht="22.5" customHeight="1">
      <c r="A464" s="15">
        <v>46049.564276446763</v>
      </c>
      <c r="B464" s="10" t="s">
        <v>2236</v>
      </c>
      <c r="C464" s="10" t="s">
        <v>2237</v>
      </c>
      <c r="D464" s="10" t="s">
        <v>2292</v>
      </c>
      <c r="E464" s="10" t="s">
        <v>2293</v>
      </c>
      <c r="G464" s="10" t="s">
        <v>2294</v>
      </c>
      <c r="H464" s="72" t="s">
        <v>2295</v>
      </c>
      <c r="I464" s="10" t="s">
        <v>220</v>
      </c>
      <c r="J464" s="16">
        <v>46170</v>
      </c>
      <c r="K464" s="16">
        <v>46173</v>
      </c>
      <c r="N464" s="10" t="s">
        <v>73</v>
      </c>
      <c r="O464" s="10" t="s">
        <v>190</v>
      </c>
      <c r="P464" s="10" t="s">
        <v>63</v>
      </c>
      <c r="Q464" s="10" t="s">
        <v>47</v>
      </c>
      <c r="R464" s="10" t="s">
        <v>74</v>
      </c>
      <c r="S464" s="10">
        <v>20000</v>
      </c>
      <c r="T464" s="10">
        <v>18000</v>
      </c>
      <c r="U464" s="10">
        <v>17000</v>
      </c>
      <c r="W464" s="10" t="s">
        <v>2248</v>
      </c>
      <c r="Y464" s="10" t="s">
        <v>2249</v>
      </c>
      <c r="Z464" s="10" t="s">
        <v>76</v>
      </c>
      <c r="AA464" s="10" t="s">
        <v>93</v>
      </c>
      <c r="AB464" s="10" t="s">
        <v>318</v>
      </c>
      <c r="AC464" s="10" t="s">
        <v>68</v>
      </c>
      <c r="AD464" s="10" t="str">
        <f>IFERROR(VLOOKUP(B464,'Regiões Administrativas'!$A$1:$B$646,2,0),"")</f>
        <v>São José dos Campos</v>
      </c>
      <c r="AE464" s="10">
        <f>IFERROR(VLOOKUP(Form_Responses[[#This Row],[Município]],'Regiões Administrativas'!$A$1:$I$646,3,0),"")</f>
        <v>15748</v>
      </c>
      <c r="AF464" s="10">
        <f>IFERROR(VLOOKUP(Form_Responses[[#This Row],[Município]],'Regiões Administrativas'!$A$1:$I$646,4,0),"")</f>
        <v>351050005000001</v>
      </c>
      <c r="AG464" s="10">
        <f>IFERROR(VLOOKUP(Form_Responses[[#This Row],[Município]],'Regiões Administrativas'!$A$1:$I$646,4,0),"")</f>
        <v>351050005000001</v>
      </c>
      <c r="AH464" s="10">
        <f>IFERROR(VLOOKUP(B464,'Regiões Administrativas'!$A$1:$I$646,5,0),"")</f>
        <v>3510500</v>
      </c>
      <c r="AI464" s="10">
        <f>IFERROR(VLOOKUP(B464,'Regiões Administrativas'!$A$1:$I$646,6,0),"")</f>
        <v>-45.410818399999997</v>
      </c>
      <c r="AJ464" s="10">
        <f>IFERROR(VLOOKUP(B464,'Regiões Administrativas'!$A$1:$I$646,8,0),"")</f>
        <v>3.1946180000000002</v>
      </c>
      <c r="AK464" s="10" t="str">
        <f>IFERROR(VLOOKUP(Form_Responses[[#This Row],[Município]],'Regiões Administrativas'!$A$1:$I$646,9,0),"")</f>
        <v>1J6tw+iAPggp</v>
      </c>
    </row>
    <row r="465" spans="1:37" ht="22.5" customHeight="1">
      <c r="A465" s="15">
        <v>46050.522752210643</v>
      </c>
      <c r="B465" s="10" t="s">
        <v>2165</v>
      </c>
      <c r="C465" s="10" t="s">
        <v>811</v>
      </c>
      <c r="D465" s="10" t="s">
        <v>2296</v>
      </c>
      <c r="E465" s="10" t="s">
        <v>2297</v>
      </c>
      <c r="G465" s="10" t="s">
        <v>2298</v>
      </c>
      <c r="H465" s="72" t="s">
        <v>2169</v>
      </c>
      <c r="I465" s="10" t="s">
        <v>89</v>
      </c>
      <c r="J465" s="16">
        <v>46067</v>
      </c>
      <c r="K465" s="16">
        <v>46070</v>
      </c>
      <c r="N465" s="10" t="s">
        <v>44</v>
      </c>
      <c r="O465" s="10" t="s">
        <v>45</v>
      </c>
      <c r="P465" s="10" t="s">
        <v>90</v>
      </c>
      <c r="Q465" s="10" t="s">
        <v>47</v>
      </c>
      <c r="R465" s="10" t="s">
        <v>48</v>
      </c>
      <c r="S465" s="10">
        <v>150000</v>
      </c>
      <c r="T465" s="10">
        <v>130000</v>
      </c>
      <c r="U465" s="10">
        <v>100000</v>
      </c>
      <c r="V465" s="10">
        <v>90000</v>
      </c>
      <c r="W465" s="10" t="s">
        <v>2299</v>
      </c>
      <c r="Y465" s="10" t="s">
        <v>2171</v>
      </c>
      <c r="Z465" s="10" t="s">
        <v>76</v>
      </c>
      <c r="AA465" s="10" t="s">
        <v>67</v>
      </c>
      <c r="AB465" s="10" t="s">
        <v>54</v>
      </c>
      <c r="AC465" s="10" t="s">
        <v>68</v>
      </c>
      <c r="AD465" s="10" t="str">
        <f>IFERROR(VLOOKUP(B465,'Regiões Administrativas'!$A$1:$B$646,2,0),"")</f>
        <v>Campinas</v>
      </c>
      <c r="AE465" s="10">
        <f>IFERROR(VLOOKUP(Form_Responses[[#This Row],[Município]],'Regiões Administrativas'!$A$1:$I$646,3,0),"")</f>
        <v>17300</v>
      </c>
      <c r="AF465" s="10">
        <f>IFERROR(VLOOKUP(Form_Responses[[#This Row],[Município]],'Regiões Administrativas'!$A$1:$I$646,4,0),"")</f>
        <v>355160305000001</v>
      </c>
      <c r="AG465" s="10">
        <f>IFERROR(VLOOKUP(Form_Responses[[#This Row],[Município]],'Regiões Administrativas'!$A$1:$I$646,4,0),"")</f>
        <v>355160305000001</v>
      </c>
      <c r="AH465" s="10">
        <f>IFERROR(VLOOKUP(B465,'Regiões Administrativas'!$A$1:$I$646,5,0),"")</f>
        <v>3551603</v>
      </c>
      <c r="AI465" s="10">
        <f>IFERROR(VLOOKUP(B465,'Regiões Administrativas'!$A$1:$I$646,6,0),"")</f>
        <v>-46.701791399999998</v>
      </c>
      <c r="AJ465" s="10">
        <f>IFERROR(VLOOKUP(B465,'Regiões Administrativas'!$A$1:$I$646,8,0),"")</f>
        <v>941.40979900000002</v>
      </c>
      <c r="AK465" s="10" t="str">
        <f>IFERROR(VLOOKUP(Form_Responses[[#This Row],[Município]],'Regiões Administrativas'!$A$1:$I$646,9,0),"")</f>
        <v>1J6tjj*lLb;f</v>
      </c>
    </row>
    <row r="466" spans="1:37" ht="22.5" customHeight="1">
      <c r="A466" s="15">
        <v>46050.535444513887</v>
      </c>
      <c r="B466" s="10" t="s">
        <v>2165</v>
      </c>
      <c r="C466" s="10" t="s">
        <v>811</v>
      </c>
      <c r="D466" s="10" t="s">
        <v>763</v>
      </c>
      <c r="E466" s="10" t="s">
        <v>2300</v>
      </c>
      <c r="G466" s="10" t="s">
        <v>2301</v>
      </c>
      <c r="H466" s="72" t="s">
        <v>2169</v>
      </c>
      <c r="I466" s="10" t="s">
        <v>109</v>
      </c>
      <c r="J466" s="16">
        <v>46110</v>
      </c>
      <c r="K466" s="16">
        <v>46117</v>
      </c>
      <c r="N466" s="10" t="s">
        <v>98</v>
      </c>
      <c r="O466" s="10" t="s">
        <v>221</v>
      </c>
      <c r="P466" s="10" t="s">
        <v>221</v>
      </c>
      <c r="Q466" s="10" t="s">
        <v>47</v>
      </c>
      <c r="R466" s="10" t="s">
        <v>74</v>
      </c>
      <c r="S466" s="10">
        <v>15000</v>
      </c>
      <c r="T466" s="10">
        <v>13000</v>
      </c>
      <c r="U466" s="10">
        <v>11000</v>
      </c>
      <c r="V466" s="10">
        <v>10000</v>
      </c>
      <c r="W466" s="10" t="s">
        <v>2170</v>
      </c>
      <c r="Y466" s="10" t="s">
        <v>2171</v>
      </c>
      <c r="Z466" s="10" t="s">
        <v>76</v>
      </c>
      <c r="AA466" s="10" t="s">
        <v>67</v>
      </c>
      <c r="AB466" s="10" t="s">
        <v>54</v>
      </c>
      <c r="AC466" s="10" t="s">
        <v>68</v>
      </c>
      <c r="AD466" s="10" t="str">
        <f>IFERROR(VLOOKUP(B466,'Regiões Administrativas'!$A$1:$B$646,2,0),"")</f>
        <v>Campinas</v>
      </c>
      <c r="AE466" s="10">
        <f>IFERROR(VLOOKUP(Form_Responses[[#This Row],[Município]],'Regiões Administrativas'!$A$1:$I$646,3,0),"")</f>
        <v>17300</v>
      </c>
      <c r="AF466" s="10">
        <f>IFERROR(VLOOKUP(Form_Responses[[#This Row],[Município]],'Regiões Administrativas'!$A$1:$I$646,4,0),"")</f>
        <v>355160305000001</v>
      </c>
      <c r="AG466" s="10">
        <f>IFERROR(VLOOKUP(Form_Responses[[#This Row],[Município]],'Regiões Administrativas'!$A$1:$I$646,4,0),"")</f>
        <v>355160305000001</v>
      </c>
      <c r="AH466" s="10">
        <f>IFERROR(VLOOKUP(B466,'Regiões Administrativas'!$A$1:$I$646,5,0),"")</f>
        <v>3551603</v>
      </c>
      <c r="AI466" s="10">
        <f>IFERROR(VLOOKUP(B466,'Regiões Administrativas'!$A$1:$I$646,6,0),"")</f>
        <v>-46.701791399999998</v>
      </c>
      <c r="AJ466" s="10">
        <f>IFERROR(VLOOKUP(B466,'Regiões Administrativas'!$A$1:$I$646,8,0),"")</f>
        <v>941.40979900000002</v>
      </c>
      <c r="AK466" s="10" t="str">
        <f>IFERROR(VLOOKUP(Form_Responses[[#This Row],[Município]],'Regiões Administrativas'!$A$1:$I$646,9,0),"")</f>
        <v>1J6tjj*lLb;f</v>
      </c>
    </row>
    <row r="467" spans="1:37" ht="22.5" customHeight="1">
      <c r="A467" s="15">
        <v>46050.544939803236</v>
      </c>
      <c r="B467" s="10" t="s">
        <v>2165</v>
      </c>
      <c r="C467" s="10" t="s">
        <v>811</v>
      </c>
      <c r="D467" s="10" t="s">
        <v>2302</v>
      </c>
      <c r="E467" s="10" t="s">
        <v>2303</v>
      </c>
      <c r="G467" s="10" t="s">
        <v>2304</v>
      </c>
      <c r="H467" s="72" t="s">
        <v>2169</v>
      </c>
      <c r="I467" s="10" t="s">
        <v>128</v>
      </c>
      <c r="J467" s="16">
        <v>46130</v>
      </c>
      <c r="K467" s="16">
        <v>46136</v>
      </c>
      <c r="N467" s="10" t="s">
        <v>268</v>
      </c>
      <c r="O467" s="10" t="s">
        <v>142</v>
      </c>
      <c r="P467" s="10" t="s">
        <v>63</v>
      </c>
      <c r="Q467" s="10" t="s">
        <v>47</v>
      </c>
      <c r="R467" s="10" t="s">
        <v>74</v>
      </c>
      <c r="S467" s="10">
        <v>15000</v>
      </c>
      <c r="T467" s="10">
        <v>13000</v>
      </c>
      <c r="U467" s="10">
        <v>11000</v>
      </c>
      <c r="V467" s="10">
        <v>10000</v>
      </c>
      <c r="W467" s="10" t="s">
        <v>2170</v>
      </c>
      <c r="Y467" s="10" t="s">
        <v>2171</v>
      </c>
      <c r="Z467" s="10" t="s">
        <v>76</v>
      </c>
      <c r="AA467" s="10" t="s">
        <v>67</v>
      </c>
      <c r="AB467" s="10" t="s">
        <v>54</v>
      </c>
      <c r="AC467" s="10" t="s">
        <v>68</v>
      </c>
      <c r="AD467" s="10" t="str">
        <f>IFERROR(VLOOKUP(B467,'Regiões Administrativas'!$A$1:$B$646,2,0),"")</f>
        <v>Campinas</v>
      </c>
      <c r="AE467" s="10">
        <f>IFERROR(VLOOKUP(Form_Responses[[#This Row],[Município]],'Regiões Administrativas'!$A$1:$I$646,3,0),"")</f>
        <v>17300</v>
      </c>
      <c r="AF467" s="10">
        <f>IFERROR(VLOOKUP(Form_Responses[[#This Row],[Município]],'Regiões Administrativas'!$A$1:$I$646,4,0),"")</f>
        <v>355160305000001</v>
      </c>
      <c r="AG467" s="10">
        <f>IFERROR(VLOOKUP(Form_Responses[[#This Row],[Município]],'Regiões Administrativas'!$A$1:$I$646,4,0),"")</f>
        <v>355160305000001</v>
      </c>
      <c r="AH467" s="10">
        <f>IFERROR(VLOOKUP(B467,'Regiões Administrativas'!$A$1:$I$646,5,0),"")</f>
        <v>3551603</v>
      </c>
      <c r="AI467" s="10">
        <f>IFERROR(VLOOKUP(B467,'Regiões Administrativas'!$A$1:$I$646,6,0),"")</f>
        <v>-46.701791399999998</v>
      </c>
      <c r="AJ467" s="10">
        <f>IFERROR(VLOOKUP(B467,'Regiões Administrativas'!$A$1:$I$646,8,0),"")</f>
        <v>941.40979900000002</v>
      </c>
      <c r="AK467" s="10" t="str">
        <f>IFERROR(VLOOKUP(Form_Responses[[#This Row],[Município]],'Regiões Administrativas'!$A$1:$I$646,9,0),"")</f>
        <v>1J6tjj*lLb;f</v>
      </c>
    </row>
    <row r="468" spans="1:37" ht="22.5" customHeight="1">
      <c r="A468" s="18">
        <v>46050.554998541666</v>
      </c>
      <c r="B468" s="10" t="s">
        <v>2165</v>
      </c>
      <c r="C468" s="10" t="s">
        <v>811</v>
      </c>
      <c r="D468" s="10" t="s">
        <v>2305</v>
      </c>
      <c r="E468" s="10" t="s">
        <v>2303</v>
      </c>
      <c r="G468" s="10" t="s">
        <v>2304</v>
      </c>
      <c r="H468" s="72" t="s">
        <v>2169</v>
      </c>
      <c r="I468" s="10" t="s">
        <v>81</v>
      </c>
      <c r="J468" s="16">
        <v>46269</v>
      </c>
      <c r="K468" s="16">
        <v>46272</v>
      </c>
      <c r="N468" s="10" t="s">
        <v>268</v>
      </c>
      <c r="O468" s="10" t="s">
        <v>142</v>
      </c>
      <c r="P468" s="10" t="s">
        <v>63</v>
      </c>
      <c r="Q468" s="10" t="s">
        <v>47</v>
      </c>
      <c r="R468" s="10" t="s">
        <v>74</v>
      </c>
      <c r="S468" s="10">
        <v>15000</v>
      </c>
      <c r="T468" s="10">
        <v>13000</v>
      </c>
      <c r="U468" s="10">
        <v>11000</v>
      </c>
      <c r="V468" s="10">
        <v>10000</v>
      </c>
      <c r="W468" s="10" t="s">
        <v>2170</v>
      </c>
      <c r="Y468" s="10" t="s">
        <v>2171</v>
      </c>
      <c r="Z468" s="10" t="s">
        <v>76</v>
      </c>
      <c r="AA468" s="10" t="s">
        <v>67</v>
      </c>
      <c r="AB468" s="10" t="s">
        <v>54</v>
      </c>
      <c r="AC468" s="10" t="s">
        <v>68</v>
      </c>
      <c r="AD468" s="10" t="str">
        <f>IFERROR(VLOOKUP(B468,'Regiões Administrativas'!$A$1:$B$646,2,0),"")</f>
        <v>Campinas</v>
      </c>
      <c r="AE468" s="10">
        <f>IFERROR(VLOOKUP(Form_Responses[[#This Row],[Município]],'Regiões Administrativas'!$A$1:$I$646,3,0),"")</f>
        <v>17300</v>
      </c>
      <c r="AF468" s="10">
        <f>IFERROR(VLOOKUP(Form_Responses[[#This Row],[Município]],'Regiões Administrativas'!$A$1:$I$646,4,0),"")</f>
        <v>355160305000001</v>
      </c>
      <c r="AG468" s="10">
        <f>IFERROR(VLOOKUP(Form_Responses[[#This Row],[Município]],'Regiões Administrativas'!$A$1:$I$646,4,0),"")</f>
        <v>355160305000001</v>
      </c>
      <c r="AH468" s="10">
        <f>IFERROR(VLOOKUP(B468,'Regiões Administrativas'!$A$1:$I$646,5,0),"")</f>
        <v>3551603</v>
      </c>
      <c r="AI468" s="10">
        <f>IFERROR(VLOOKUP(B468,'Regiões Administrativas'!$A$1:$I$646,6,0),"")</f>
        <v>-46.701791399999998</v>
      </c>
      <c r="AJ468" s="10">
        <f>IFERROR(VLOOKUP(B468,'Regiões Administrativas'!$A$1:$I$646,8,0),"")</f>
        <v>941.40979900000002</v>
      </c>
      <c r="AK468" s="10" t="str">
        <f>IFERROR(VLOOKUP(Form_Responses[[#This Row],[Município]],'Regiões Administrativas'!$A$1:$I$646,9,0),"")</f>
        <v>1J6tjj*lLb;f</v>
      </c>
    </row>
    <row r="469" spans="1:37" ht="22.5" customHeight="1">
      <c r="A469" s="18">
        <v>46050.67801408565</v>
      </c>
      <c r="B469" s="10" t="s">
        <v>2165</v>
      </c>
      <c r="C469" s="10" t="s">
        <v>811</v>
      </c>
      <c r="D469" s="10" t="s">
        <v>302</v>
      </c>
      <c r="E469" s="10" t="s">
        <v>2306</v>
      </c>
      <c r="G469" s="10" t="s">
        <v>2307</v>
      </c>
      <c r="H469" s="72" t="s">
        <v>2169</v>
      </c>
      <c r="I469" s="10" t="s">
        <v>60</v>
      </c>
      <c r="J469" s="16">
        <v>46207</v>
      </c>
      <c r="K469" s="16">
        <v>46180</v>
      </c>
      <c r="N469" s="10" t="s">
        <v>98</v>
      </c>
      <c r="O469" s="10" t="s">
        <v>221</v>
      </c>
      <c r="P469" s="10" t="s">
        <v>221</v>
      </c>
      <c r="Q469" s="10" t="s">
        <v>47</v>
      </c>
      <c r="R469" s="10" t="s">
        <v>74</v>
      </c>
      <c r="S469" s="10">
        <v>4500</v>
      </c>
      <c r="T469" s="10">
        <v>3500</v>
      </c>
      <c r="U469" s="10">
        <v>3000</v>
      </c>
      <c r="V469" s="10">
        <v>3000</v>
      </c>
      <c r="W469" s="10" t="s">
        <v>2170</v>
      </c>
      <c r="Y469" s="10" t="s">
        <v>2171</v>
      </c>
      <c r="Z469" s="10" t="s">
        <v>76</v>
      </c>
      <c r="AA469" s="10" t="s">
        <v>66</v>
      </c>
      <c r="AB469" s="10" t="s">
        <v>54</v>
      </c>
      <c r="AC469" s="10" t="s">
        <v>68</v>
      </c>
      <c r="AD469" s="10" t="str">
        <f>IFERROR(VLOOKUP(B469,'Regiões Administrativas'!$A$1:$B$646,2,0),"")</f>
        <v>Campinas</v>
      </c>
      <c r="AE469" s="10">
        <f>IFERROR(VLOOKUP(Form_Responses[[#This Row],[Município]],'Regiões Administrativas'!$A$1:$I$646,3,0),"")</f>
        <v>17300</v>
      </c>
      <c r="AF469" s="10">
        <f>IFERROR(VLOOKUP(Form_Responses[[#This Row],[Município]],'Regiões Administrativas'!$A$1:$I$646,4,0),"")</f>
        <v>355160305000001</v>
      </c>
      <c r="AG469" s="10">
        <f>IFERROR(VLOOKUP(Form_Responses[[#This Row],[Município]],'Regiões Administrativas'!$A$1:$I$646,4,0),"")</f>
        <v>355160305000001</v>
      </c>
      <c r="AH469" s="10">
        <f>IFERROR(VLOOKUP(B469,'Regiões Administrativas'!$A$1:$I$646,5,0),"")</f>
        <v>3551603</v>
      </c>
      <c r="AI469" s="10">
        <f>IFERROR(VLOOKUP(B469,'Regiões Administrativas'!$A$1:$I$646,6,0),"")</f>
        <v>-46.701791399999998</v>
      </c>
      <c r="AJ469" s="10">
        <f>IFERROR(VLOOKUP(B469,'Regiões Administrativas'!$A$1:$I$646,8,0),"")</f>
        <v>941.40979900000002</v>
      </c>
      <c r="AK469" s="10" t="str">
        <f>IFERROR(VLOOKUP(Form_Responses[[#This Row],[Município]],'Regiões Administrativas'!$A$1:$I$646,9,0),"")</f>
        <v>1J6tjj*lLb;f</v>
      </c>
    </row>
    <row r="470" spans="1:37" ht="22.5" customHeight="1">
      <c r="A470" s="18">
        <v>46051.416392546293</v>
      </c>
      <c r="B470" s="10" t="s">
        <v>2280</v>
      </c>
      <c r="C470" s="10" t="s">
        <v>2281</v>
      </c>
      <c r="D470" s="10" t="s">
        <v>2308</v>
      </c>
      <c r="E470" s="10" t="s">
        <v>2309</v>
      </c>
      <c r="F470" s="10" t="s">
        <v>1998</v>
      </c>
      <c r="G470" s="10" t="s">
        <v>2310</v>
      </c>
      <c r="H470" s="10" t="s">
        <v>126</v>
      </c>
      <c r="I470" s="10" t="s">
        <v>72</v>
      </c>
      <c r="J470" s="16">
        <v>46214</v>
      </c>
      <c r="K470" s="16">
        <v>46214</v>
      </c>
      <c r="L470" s="17">
        <v>0.5</v>
      </c>
      <c r="M470" s="17">
        <v>0.95833333333575865</v>
      </c>
      <c r="N470" s="10" t="s">
        <v>44</v>
      </c>
      <c r="O470" s="10" t="s">
        <v>45</v>
      </c>
      <c r="P470" s="10" t="s">
        <v>63</v>
      </c>
      <c r="Q470" s="10" t="s">
        <v>47</v>
      </c>
      <c r="R470" s="10" t="s">
        <v>74</v>
      </c>
      <c r="S470" s="10">
        <v>3500</v>
      </c>
      <c r="T470" s="10">
        <v>2900</v>
      </c>
      <c r="U470" s="10">
        <v>2500</v>
      </c>
      <c r="V470" s="10">
        <v>2500</v>
      </c>
      <c r="W470" s="10" t="s">
        <v>990</v>
      </c>
      <c r="X470" s="10" t="s">
        <v>126</v>
      </c>
      <c r="Y470" s="10" t="s">
        <v>2285</v>
      </c>
      <c r="Z470" s="10" t="s">
        <v>361</v>
      </c>
      <c r="AA470" s="10" t="s">
        <v>1610</v>
      </c>
      <c r="AB470" s="10" t="s">
        <v>54</v>
      </c>
      <c r="AC470" s="10" t="s">
        <v>68</v>
      </c>
      <c r="AD470" s="10" t="str">
        <f>IFERROR(VLOOKUP(B470,'Regiões Administrativas'!$A$1:$B$646,2,0),"")</f>
        <v>Campinas</v>
      </c>
      <c r="AE470" s="10">
        <f>IFERROR(VLOOKUP(Form_Responses[[#This Row],[Município]],'Regiões Administrativas'!$A$1:$I$646,3,0),"")</f>
        <v>16563</v>
      </c>
      <c r="AF470" s="10">
        <f>IFERROR(VLOOKUP(Form_Responses[[#This Row],[Município]],'Regiões Administrativas'!$A$1:$I$646,4,0),"")</f>
        <v>353070605000001</v>
      </c>
      <c r="AG470" s="10">
        <f>IFERROR(VLOOKUP(Form_Responses[[#This Row],[Município]],'Regiões Administrativas'!$A$1:$I$646,4,0),"")</f>
        <v>353070605000001</v>
      </c>
      <c r="AH470" s="10">
        <f>IFERROR(VLOOKUP(B470,'Regiões Administrativas'!$A$1:$I$646,5,0),"")</f>
        <v>3530706</v>
      </c>
      <c r="AI470" s="10">
        <f>IFERROR(VLOOKUP(B470,'Regiões Administrativas'!$A$1:$I$646,6,0),"")</f>
        <v>-46.944474100000001</v>
      </c>
      <c r="AJ470" s="10">
        <f>IFERROR(VLOOKUP(B470,'Regiões Administrativas'!$A$1:$I$646,8,0),"")</f>
        <v>607.01452099999995</v>
      </c>
      <c r="AK470" s="10" t="str">
        <f>IFERROR(VLOOKUP(Form_Responses[[#This Row],[Município]],'Regiões Administrativas'!$A$1:$I$646,9,0),"")</f>
        <v>1J6th8yG+gL-</v>
      </c>
    </row>
    <row r="471" spans="1:37" ht="22.5" customHeight="1">
      <c r="A471" s="18">
        <v>46051.444258912037</v>
      </c>
      <c r="B471" s="10" t="s">
        <v>2280</v>
      </c>
      <c r="C471" s="10" t="s">
        <v>2281</v>
      </c>
      <c r="D471" s="10" t="s">
        <v>522</v>
      </c>
      <c r="E471" s="10" t="s">
        <v>2311</v>
      </c>
      <c r="F471" s="10" t="s">
        <v>1998</v>
      </c>
      <c r="G471" s="10" t="s">
        <v>2312</v>
      </c>
      <c r="H471" s="10" t="s">
        <v>126</v>
      </c>
      <c r="I471" s="10" t="s">
        <v>43</v>
      </c>
      <c r="J471" s="16">
        <v>46234</v>
      </c>
      <c r="K471" s="16">
        <v>46236</v>
      </c>
      <c r="L471" s="17">
        <v>0.70833333333575865</v>
      </c>
      <c r="M471" s="17">
        <v>0.95833333333575865</v>
      </c>
      <c r="N471" s="10" t="s">
        <v>44</v>
      </c>
      <c r="O471" s="10" t="s">
        <v>45</v>
      </c>
      <c r="P471" s="10" t="s">
        <v>63</v>
      </c>
      <c r="Q471" s="10" t="s">
        <v>47</v>
      </c>
      <c r="R471" s="10" t="s">
        <v>256</v>
      </c>
      <c r="S471" s="10">
        <v>2000</v>
      </c>
      <c r="T471" s="10">
        <v>1800</v>
      </c>
      <c r="U471" s="10">
        <v>1500</v>
      </c>
      <c r="V471" s="10">
        <v>1350</v>
      </c>
      <c r="W471" s="10" t="s">
        <v>990</v>
      </c>
      <c r="X471" s="10" t="s">
        <v>126</v>
      </c>
      <c r="Y471" s="10" t="s">
        <v>126</v>
      </c>
      <c r="Z471" s="10" t="s">
        <v>361</v>
      </c>
      <c r="AA471" s="10" t="s">
        <v>2313</v>
      </c>
      <c r="AB471" s="10" t="s">
        <v>54</v>
      </c>
      <c r="AC471" s="10" t="s">
        <v>68</v>
      </c>
      <c r="AD471" s="10" t="str">
        <f>IFERROR(VLOOKUP(B471,'Regiões Administrativas'!$A$1:$B$646,2,0),"")</f>
        <v>Campinas</v>
      </c>
      <c r="AE471" s="10">
        <f>IFERROR(VLOOKUP(Form_Responses[[#This Row],[Município]],'Regiões Administrativas'!$A$1:$I$646,3,0),"")</f>
        <v>16563</v>
      </c>
      <c r="AF471" s="10">
        <f>IFERROR(VLOOKUP(Form_Responses[[#This Row],[Município]],'Regiões Administrativas'!$A$1:$I$646,4,0),"")</f>
        <v>353070605000001</v>
      </c>
      <c r="AG471" s="10">
        <f>IFERROR(VLOOKUP(Form_Responses[[#This Row],[Município]],'Regiões Administrativas'!$A$1:$I$646,4,0),"")</f>
        <v>353070605000001</v>
      </c>
      <c r="AH471" s="10">
        <f>IFERROR(VLOOKUP(B471,'Regiões Administrativas'!$A$1:$I$646,5,0),"")</f>
        <v>3530706</v>
      </c>
      <c r="AI471" s="10">
        <f>IFERROR(VLOOKUP(B471,'Regiões Administrativas'!$A$1:$I$646,6,0),"")</f>
        <v>-46.944474100000001</v>
      </c>
      <c r="AJ471" s="10">
        <f>IFERROR(VLOOKUP(B471,'Regiões Administrativas'!$A$1:$I$646,8,0),"")</f>
        <v>607.01452099999995</v>
      </c>
      <c r="AK471" s="10" t="str">
        <f>IFERROR(VLOOKUP(Form_Responses[[#This Row],[Município]],'Regiões Administrativas'!$A$1:$I$646,9,0),"")</f>
        <v>1J6th8yG+gL-</v>
      </c>
    </row>
    <row r="472" spans="1:37" ht="22.5" customHeight="1">
      <c r="A472" s="18">
        <v>46051.447341064813</v>
      </c>
      <c r="B472" s="10" t="s">
        <v>2280</v>
      </c>
      <c r="C472" s="10" t="s">
        <v>2281</v>
      </c>
      <c r="D472" s="10" t="s">
        <v>390</v>
      </c>
      <c r="E472" s="10" t="s">
        <v>2314</v>
      </c>
      <c r="F472" s="10" t="s">
        <v>1998</v>
      </c>
      <c r="G472" s="10" t="s">
        <v>2315</v>
      </c>
      <c r="H472" s="10" t="s">
        <v>126</v>
      </c>
      <c r="I472" s="10" t="s">
        <v>162</v>
      </c>
      <c r="J472" s="16">
        <v>46365</v>
      </c>
      <c r="K472" s="16">
        <v>46369</v>
      </c>
      <c r="L472" s="17">
        <v>0.79166666666424135</v>
      </c>
      <c r="M472" s="17">
        <v>0.95833333333575865</v>
      </c>
      <c r="N472" s="10" t="s">
        <v>44</v>
      </c>
      <c r="O472" s="10" t="s">
        <v>45</v>
      </c>
      <c r="P472" s="10" t="s">
        <v>251</v>
      </c>
      <c r="Q472" s="10" t="s">
        <v>47</v>
      </c>
      <c r="R472" s="10" t="s">
        <v>256</v>
      </c>
      <c r="S472" s="10">
        <v>3500</v>
      </c>
      <c r="T472" s="10">
        <v>2800</v>
      </c>
      <c r="U472" s="10">
        <v>2500</v>
      </c>
      <c r="V472" s="10">
        <v>2500</v>
      </c>
      <c r="W472" s="10" t="s">
        <v>990</v>
      </c>
      <c r="X472" s="10" t="s">
        <v>126</v>
      </c>
      <c r="Y472" s="10" t="s">
        <v>2285</v>
      </c>
      <c r="Z472" s="10" t="s">
        <v>361</v>
      </c>
      <c r="AA472" s="10" t="s">
        <v>1610</v>
      </c>
      <c r="AB472" s="10" t="s">
        <v>66</v>
      </c>
      <c r="AC472" s="10" t="s">
        <v>68</v>
      </c>
      <c r="AD472" s="10" t="str">
        <f>IFERROR(VLOOKUP(B472,'Regiões Administrativas'!$A$1:$B$646,2,0),"")</f>
        <v>Campinas</v>
      </c>
      <c r="AE472" s="10">
        <f>IFERROR(VLOOKUP(Form_Responses[[#This Row],[Município]],'Regiões Administrativas'!$A$1:$I$646,3,0),"")</f>
        <v>16563</v>
      </c>
      <c r="AF472" s="10">
        <f>IFERROR(VLOOKUP(Form_Responses[[#This Row],[Município]],'Regiões Administrativas'!$A$1:$I$646,4,0),"")</f>
        <v>353070605000001</v>
      </c>
      <c r="AG472" s="10">
        <f>IFERROR(VLOOKUP(Form_Responses[[#This Row],[Município]],'Regiões Administrativas'!$A$1:$I$646,4,0),"")</f>
        <v>353070605000001</v>
      </c>
      <c r="AH472" s="10">
        <f>IFERROR(VLOOKUP(B472,'Regiões Administrativas'!$A$1:$I$646,5,0),"")</f>
        <v>3530706</v>
      </c>
      <c r="AI472" s="10">
        <f>IFERROR(VLOOKUP(B472,'Regiões Administrativas'!$A$1:$I$646,6,0),"")</f>
        <v>-46.944474100000001</v>
      </c>
      <c r="AJ472" s="10">
        <f>IFERROR(VLOOKUP(B472,'Regiões Administrativas'!$A$1:$I$646,8,0),"")</f>
        <v>607.01452099999995</v>
      </c>
      <c r="AK472" s="10" t="str">
        <f>IFERROR(VLOOKUP(Form_Responses[[#This Row],[Município]],'Regiões Administrativas'!$A$1:$I$646,9,0),"")</f>
        <v>1J6th8yG+gL-</v>
      </c>
    </row>
    <row r="473" spans="1:37" ht="22.5" customHeight="1">
      <c r="A473" s="15">
        <v>46051.493568344908</v>
      </c>
      <c r="B473" s="10" t="s">
        <v>1534</v>
      </c>
      <c r="C473" s="10" t="s">
        <v>1210</v>
      </c>
      <c r="D473" s="10" t="s">
        <v>2316</v>
      </c>
      <c r="E473" s="10" t="s">
        <v>2317</v>
      </c>
      <c r="G473" s="10" t="s">
        <v>2318</v>
      </c>
      <c r="H473" s="72" t="s">
        <v>2319</v>
      </c>
      <c r="I473" s="10" t="s">
        <v>89</v>
      </c>
      <c r="J473" s="16">
        <v>46060</v>
      </c>
      <c r="K473" s="16">
        <v>46061</v>
      </c>
      <c r="L473" s="17">
        <v>0.95833333333575865</v>
      </c>
      <c r="M473" s="17">
        <v>0.20833333333575865</v>
      </c>
      <c r="N473" s="10" t="s">
        <v>44</v>
      </c>
      <c r="O473" s="10" t="s">
        <v>45</v>
      </c>
      <c r="P473" s="10" t="s">
        <v>90</v>
      </c>
      <c r="Q473" s="10" t="s">
        <v>47</v>
      </c>
      <c r="R473" s="10" t="s">
        <v>48</v>
      </c>
      <c r="S473" s="10">
        <v>500</v>
      </c>
      <c r="W473" s="10" t="s">
        <v>2320</v>
      </c>
      <c r="X473" s="72" t="s">
        <v>2319</v>
      </c>
      <c r="Y473" s="10" t="s">
        <v>2321</v>
      </c>
      <c r="Z473" s="10" t="s">
        <v>76</v>
      </c>
      <c r="AA473" s="10" t="s">
        <v>77</v>
      </c>
      <c r="AB473" s="10" t="s">
        <v>66</v>
      </c>
      <c r="AC473" s="10" t="s">
        <v>55</v>
      </c>
      <c r="AD473" s="10" t="str">
        <f>IFERROR(VLOOKUP(B473,'Regiões Administrativas'!$A$1:$B$646,2,0),"")</f>
        <v>São José dos Campos</v>
      </c>
      <c r="AE473" s="10">
        <f>IFERROR(VLOOKUP(Form_Responses[[#This Row],[Município]],'Regiões Administrativas'!$A$1:$I$646,3,0),"")</f>
        <v>15721</v>
      </c>
      <c r="AF473" s="10">
        <f>IFERROR(VLOOKUP(Form_Responses[[#This Row],[Município]],'Regiões Administrativas'!$A$1:$I$646,4,0),"")</f>
        <v>350970005000001</v>
      </c>
      <c r="AG473" s="10">
        <f>IFERROR(VLOOKUP(Form_Responses[[#This Row],[Município]],'Regiões Administrativas'!$A$1:$I$646,4,0),"")</f>
        <v>350970005000001</v>
      </c>
      <c r="AH473" s="10">
        <f>IFERROR(VLOOKUP(B473,'Regiões Administrativas'!$A$1:$I$646,5,0),"")</f>
        <v>3509700</v>
      </c>
      <c r="AI473" s="10">
        <f>IFERROR(VLOOKUP(B473,'Regiões Administrativas'!$A$1:$I$646,6,0),"")</f>
        <v>-45.589201699999997</v>
      </c>
      <c r="AJ473" s="10">
        <f>IFERROR(VLOOKUP(B473,'Regiões Administrativas'!$A$1:$I$646,8,0),"")</f>
        <v>1639.1545000000001</v>
      </c>
      <c r="AK473" s="10" t="str">
        <f>IFERROR(VLOOKUP(Form_Responses[[#This Row],[Município]],'Regiões Administrativas'!$A$1:$I$646,9,0),"")</f>
        <v>1J6trlyb{Ztf</v>
      </c>
    </row>
    <row r="474" spans="1:37" ht="22.5" customHeight="1">
      <c r="A474" s="15">
        <v>46051.555900868058</v>
      </c>
      <c r="B474" s="10" t="s">
        <v>1534</v>
      </c>
      <c r="C474" s="10" t="s">
        <v>1210</v>
      </c>
      <c r="D474" s="10" t="s">
        <v>2322</v>
      </c>
      <c r="E474" s="10" t="s">
        <v>2323</v>
      </c>
      <c r="G474" s="10" t="s">
        <v>2324</v>
      </c>
      <c r="H474" s="72" t="s">
        <v>2325</v>
      </c>
      <c r="I474" s="10" t="s">
        <v>89</v>
      </c>
      <c r="J474" s="16">
        <v>46061</v>
      </c>
      <c r="K474" s="16">
        <v>46061</v>
      </c>
      <c r="L474" s="17">
        <v>0.16666666666424135</v>
      </c>
      <c r="M474" s="17">
        <v>0.35416666666424135</v>
      </c>
      <c r="N474" s="10" t="s">
        <v>61</v>
      </c>
      <c r="O474" s="10" t="s">
        <v>62</v>
      </c>
      <c r="P474" s="10" t="s">
        <v>63</v>
      </c>
      <c r="Q474" s="10" t="s">
        <v>47</v>
      </c>
      <c r="R474" s="10" t="s">
        <v>48</v>
      </c>
      <c r="S474" s="10">
        <v>1000</v>
      </c>
      <c r="W474" s="10" t="s">
        <v>2326</v>
      </c>
      <c r="X474" s="72" t="s">
        <v>2327</v>
      </c>
      <c r="Y474" s="10" t="s">
        <v>2328</v>
      </c>
      <c r="Z474" s="10" t="s">
        <v>66</v>
      </c>
      <c r="AA474" s="10" t="s">
        <v>66</v>
      </c>
      <c r="AB474" s="10" t="s">
        <v>66</v>
      </c>
      <c r="AC474" s="10" t="s">
        <v>83</v>
      </c>
      <c r="AD474" s="10" t="str">
        <f>IFERROR(VLOOKUP(B474,'Regiões Administrativas'!$A$1:$B$646,2,0),"")</f>
        <v>São José dos Campos</v>
      </c>
      <c r="AE474" s="10">
        <f>IFERROR(VLOOKUP(Form_Responses[[#This Row],[Município]],'Regiões Administrativas'!$A$1:$I$646,3,0),"")</f>
        <v>15721</v>
      </c>
      <c r="AF474" s="10">
        <f>IFERROR(VLOOKUP(Form_Responses[[#This Row],[Município]],'Regiões Administrativas'!$A$1:$I$646,4,0),"")</f>
        <v>350970005000001</v>
      </c>
      <c r="AG474" s="10">
        <f>IFERROR(VLOOKUP(Form_Responses[[#This Row],[Município]],'Regiões Administrativas'!$A$1:$I$646,4,0),"")</f>
        <v>350970005000001</v>
      </c>
      <c r="AH474" s="10">
        <f>IFERROR(VLOOKUP(B474,'Regiões Administrativas'!$A$1:$I$646,5,0),"")</f>
        <v>3509700</v>
      </c>
      <c r="AI474" s="10">
        <f>IFERROR(VLOOKUP(B474,'Regiões Administrativas'!$A$1:$I$646,6,0),"")</f>
        <v>-45.589201699999997</v>
      </c>
      <c r="AJ474" s="10">
        <f>IFERROR(VLOOKUP(B474,'Regiões Administrativas'!$A$1:$I$646,8,0),"")</f>
        <v>1639.1545000000001</v>
      </c>
      <c r="AK474" s="10" t="str">
        <f>IFERROR(VLOOKUP(Form_Responses[[#This Row],[Município]],'Regiões Administrativas'!$A$1:$I$646,9,0),"")</f>
        <v>1J6trlyb{Ztf</v>
      </c>
    </row>
    <row r="475" spans="1:37" ht="22.5" customHeight="1">
      <c r="A475" s="15">
        <v>46051.570333171301</v>
      </c>
      <c r="B475" s="10" t="s">
        <v>1534</v>
      </c>
      <c r="C475" s="10" t="s">
        <v>1210</v>
      </c>
      <c r="D475" s="10" t="s">
        <v>2329</v>
      </c>
      <c r="E475" s="10" t="s">
        <v>2330</v>
      </c>
      <c r="G475" s="10" t="s">
        <v>2331</v>
      </c>
      <c r="H475" s="72" t="s">
        <v>2332</v>
      </c>
      <c r="I475" s="10" t="s">
        <v>89</v>
      </c>
      <c r="J475" s="16">
        <v>46066</v>
      </c>
      <c r="K475" s="16">
        <v>46066</v>
      </c>
      <c r="L475" s="17">
        <v>0.79166666666424135</v>
      </c>
      <c r="N475" s="10" t="s">
        <v>73</v>
      </c>
      <c r="O475" s="10" t="s">
        <v>45</v>
      </c>
      <c r="P475" s="10" t="s">
        <v>90</v>
      </c>
      <c r="Q475" s="10" t="s">
        <v>47</v>
      </c>
      <c r="R475" s="10" t="s">
        <v>74</v>
      </c>
      <c r="S475" s="10">
        <v>1000</v>
      </c>
      <c r="W475" s="10" t="s">
        <v>2333</v>
      </c>
      <c r="Y475" s="10" t="s">
        <v>2334</v>
      </c>
      <c r="Z475" s="10" t="s">
        <v>76</v>
      </c>
      <c r="AA475" s="10" t="s">
        <v>113</v>
      </c>
      <c r="AB475" s="10" t="s">
        <v>66</v>
      </c>
      <c r="AC475" s="10" t="s">
        <v>68</v>
      </c>
      <c r="AD475" s="10" t="str">
        <f>IFERROR(VLOOKUP(B475,'Regiões Administrativas'!$A$1:$B$646,2,0),"")</f>
        <v>São José dos Campos</v>
      </c>
      <c r="AE475" s="10">
        <f>IFERROR(VLOOKUP(Form_Responses[[#This Row],[Município]],'Regiões Administrativas'!$A$1:$I$646,3,0),"")</f>
        <v>15721</v>
      </c>
      <c r="AF475" s="10">
        <f>IFERROR(VLOOKUP(Form_Responses[[#This Row],[Município]],'Regiões Administrativas'!$A$1:$I$646,4,0),"")</f>
        <v>350970005000001</v>
      </c>
      <c r="AG475" s="10">
        <f>IFERROR(VLOOKUP(Form_Responses[[#This Row],[Município]],'Regiões Administrativas'!$A$1:$I$646,4,0),"")</f>
        <v>350970005000001</v>
      </c>
      <c r="AH475" s="10">
        <f>IFERROR(VLOOKUP(B475,'Regiões Administrativas'!$A$1:$I$646,5,0),"")</f>
        <v>3509700</v>
      </c>
      <c r="AI475" s="10">
        <f>IFERROR(VLOOKUP(B475,'Regiões Administrativas'!$A$1:$I$646,6,0),"")</f>
        <v>-45.589201699999997</v>
      </c>
      <c r="AJ475" s="10">
        <f>IFERROR(VLOOKUP(B475,'Regiões Administrativas'!$A$1:$I$646,8,0),"")</f>
        <v>1639.1545000000001</v>
      </c>
      <c r="AK475" s="10" t="str">
        <f>IFERROR(VLOOKUP(Form_Responses[[#This Row],[Município]],'Regiões Administrativas'!$A$1:$I$646,9,0),"")</f>
        <v>1J6trlyb{Ztf</v>
      </c>
    </row>
    <row r="476" spans="1:37" ht="22.5" customHeight="1">
      <c r="A476" s="15">
        <v>46051.580031655089</v>
      </c>
      <c r="B476" s="10" t="s">
        <v>1534</v>
      </c>
      <c r="C476" s="10" t="s">
        <v>1210</v>
      </c>
      <c r="D476" s="10" t="s">
        <v>2335</v>
      </c>
      <c r="E476" s="10" t="s">
        <v>2336</v>
      </c>
      <c r="G476" s="10" t="s">
        <v>2337</v>
      </c>
      <c r="I476" s="10" t="s">
        <v>89</v>
      </c>
      <c r="J476" s="16">
        <v>46080</v>
      </c>
      <c r="K476" s="16">
        <v>46124</v>
      </c>
      <c r="N476" s="10" t="s">
        <v>73</v>
      </c>
      <c r="O476" s="10" t="s">
        <v>45</v>
      </c>
      <c r="P476" s="10" t="s">
        <v>480</v>
      </c>
      <c r="Q476" s="10" t="s">
        <v>47</v>
      </c>
      <c r="R476" s="10" t="s">
        <v>48</v>
      </c>
      <c r="S476" s="19">
        <v>155000</v>
      </c>
      <c r="T476" s="19">
        <v>130000</v>
      </c>
      <c r="W476" s="10" t="s">
        <v>2338</v>
      </c>
      <c r="Y476" s="10" t="s">
        <v>2339</v>
      </c>
      <c r="Z476" s="10" t="s">
        <v>66</v>
      </c>
      <c r="AA476" s="10" t="s">
        <v>66</v>
      </c>
      <c r="AB476" s="10" t="s">
        <v>66</v>
      </c>
      <c r="AC476" s="10" t="s">
        <v>68</v>
      </c>
      <c r="AD476" s="10" t="str">
        <f>IFERROR(VLOOKUP(B476,'Regiões Administrativas'!$A$1:$B$646,2,0),"")</f>
        <v>São José dos Campos</v>
      </c>
      <c r="AE476" s="10">
        <f>IFERROR(VLOOKUP(Form_Responses[[#This Row],[Município]],'Regiões Administrativas'!$A$1:$I$646,3,0),"")</f>
        <v>15721</v>
      </c>
      <c r="AF476" s="10">
        <f>IFERROR(VLOOKUP(Form_Responses[[#This Row],[Município]],'Regiões Administrativas'!$A$1:$I$646,4,0),"")</f>
        <v>350970005000001</v>
      </c>
      <c r="AG476" s="10">
        <f>IFERROR(VLOOKUP(Form_Responses[[#This Row],[Município]],'Regiões Administrativas'!$A$1:$I$646,4,0),"")</f>
        <v>350970005000001</v>
      </c>
      <c r="AH476" s="10">
        <f>IFERROR(VLOOKUP(B476,'Regiões Administrativas'!$A$1:$I$646,5,0),"")</f>
        <v>3509700</v>
      </c>
      <c r="AI476" s="10">
        <f>IFERROR(VLOOKUP(B476,'Regiões Administrativas'!$A$1:$I$646,6,0),"")</f>
        <v>-45.589201699999997</v>
      </c>
      <c r="AJ476" s="10">
        <f>IFERROR(VLOOKUP(B476,'Regiões Administrativas'!$A$1:$I$646,8,0),"")</f>
        <v>1639.1545000000001</v>
      </c>
      <c r="AK476" s="10" t="str">
        <f>IFERROR(VLOOKUP(Form_Responses[[#This Row],[Município]],'Regiões Administrativas'!$A$1:$I$646,9,0),"")</f>
        <v>1J6trlyb{Ztf</v>
      </c>
    </row>
    <row r="477" spans="1:37" ht="22.5" customHeight="1">
      <c r="A477" s="15">
        <v>46051.598733344908</v>
      </c>
      <c r="B477" s="10" t="s">
        <v>1534</v>
      </c>
      <c r="C477" s="10" t="s">
        <v>1210</v>
      </c>
      <c r="D477" s="10" t="s">
        <v>2340</v>
      </c>
      <c r="E477" s="10" t="s">
        <v>2341</v>
      </c>
      <c r="G477" s="10" t="s">
        <v>2342</v>
      </c>
      <c r="H477" s="72" t="s">
        <v>2343</v>
      </c>
      <c r="I477" s="10" t="s">
        <v>109</v>
      </c>
      <c r="J477" s="16">
        <v>46089</v>
      </c>
      <c r="K477" s="16">
        <v>46089</v>
      </c>
      <c r="N477" s="10" t="s">
        <v>61</v>
      </c>
      <c r="O477" s="10" t="s">
        <v>62</v>
      </c>
      <c r="P477" s="10" t="s">
        <v>63</v>
      </c>
      <c r="Q477" s="10" t="s">
        <v>47</v>
      </c>
      <c r="R477" s="10" t="s">
        <v>74</v>
      </c>
      <c r="S477" s="10">
        <v>1000</v>
      </c>
      <c r="W477" s="10" t="s">
        <v>2344</v>
      </c>
      <c r="X477" s="10" t="s">
        <v>2345</v>
      </c>
      <c r="Y477" s="10" t="s">
        <v>2346</v>
      </c>
      <c r="Z477" s="10" t="s">
        <v>76</v>
      </c>
      <c r="AA477" s="10" t="s">
        <v>66</v>
      </c>
      <c r="AB477" s="10" t="s">
        <v>66</v>
      </c>
      <c r="AC477" s="10" t="s">
        <v>733</v>
      </c>
      <c r="AD477" s="10" t="str">
        <f>IFERROR(VLOOKUP(B477,'Regiões Administrativas'!$A$1:$B$646,2,0),"")</f>
        <v>São José dos Campos</v>
      </c>
      <c r="AE477" s="10">
        <f>IFERROR(VLOOKUP(Form_Responses[[#This Row],[Município]],'Regiões Administrativas'!$A$1:$I$646,3,0),"")</f>
        <v>15721</v>
      </c>
      <c r="AF477" s="10">
        <f>IFERROR(VLOOKUP(Form_Responses[[#This Row],[Município]],'Regiões Administrativas'!$A$1:$I$646,4,0),"")</f>
        <v>350970005000001</v>
      </c>
      <c r="AG477" s="10">
        <f>IFERROR(VLOOKUP(Form_Responses[[#This Row],[Município]],'Regiões Administrativas'!$A$1:$I$646,4,0),"")</f>
        <v>350970005000001</v>
      </c>
      <c r="AH477" s="10">
        <f>IFERROR(VLOOKUP(B477,'Regiões Administrativas'!$A$1:$I$646,5,0),"")</f>
        <v>3509700</v>
      </c>
      <c r="AI477" s="10">
        <f>IFERROR(VLOOKUP(B477,'Regiões Administrativas'!$A$1:$I$646,6,0),"")</f>
        <v>-45.589201699999997</v>
      </c>
      <c r="AJ477" s="10">
        <f>IFERROR(VLOOKUP(B477,'Regiões Administrativas'!$A$1:$I$646,8,0),"")</f>
        <v>1639.1545000000001</v>
      </c>
      <c r="AK477" s="10" t="str">
        <f>IFERROR(VLOOKUP(Form_Responses[[#This Row],[Município]],'Regiões Administrativas'!$A$1:$I$646,9,0),"")</f>
        <v>1J6trlyb{Ztf</v>
      </c>
    </row>
    <row r="478" spans="1:37" ht="22.5" customHeight="1">
      <c r="A478" s="15">
        <v>46051.613538749996</v>
      </c>
      <c r="B478" s="10" t="s">
        <v>1534</v>
      </c>
      <c r="C478" s="10" t="s">
        <v>1210</v>
      </c>
      <c r="D478" s="10" t="s">
        <v>2347</v>
      </c>
      <c r="E478" s="10" t="s">
        <v>2348</v>
      </c>
      <c r="G478" s="10" t="s">
        <v>2349</v>
      </c>
      <c r="H478" s="72" t="s">
        <v>2350</v>
      </c>
      <c r="I478" s="10" t="s">
        <v>109</v>
      </c>
      <c r="J478" s="16">
        <v>46096</v>
      </c>
      <c r="K478" s="16">
        <v>46096</v>
      </c>
      <c r="L478" s="17">
        <v>0.25</v>
      </c>
      <c r="N478" s="10" t="s">
        <v>61</v>
      </c>
      <c r="O478" s="10" t="s">
        <v>62</v>
      </c>
      <c r="P478" s="10" t="s">
        <v>63</v>
      </c>
      <c r="Q478" s="10" t="s">
        <v>47</v>
      </c>
      <c r="R478" s="10" t="s">
        <v>230</v>
      </c>
      <c r="S478" s="10">
        <v>3000</v>
      </c>
      <c r="W478" s="10" t="s">
        <v>2351</v>
      </c>
      <c r="X478" s="72" t="s">
        <v>2352</v>
      </c>
      <c r="Y478" s="10" t="s">
        <v>615</v>
      </c>
      <c r="Z478" s="10" t="s">
        <v>66</v>
      </c>
      <c r="AA478" s="10" t="s">
        <v>66</v>
      </c>
      <c r="AB478" s="10" t="s">
        <v>66</v>
      </c>
      <c r="AC478" s="10" t="s">
        <v>68</v>
      </c>
      <c r="AD478" s="10" t="str">
        <f>IFERROR(VLOOKUP(B478,'Regiões Administrativas'!$A$1:$B$646,2,0),"")</f>
        <v>São José dos Campos</v>
      </c>
      <c r="AE478" s="10">
        <f>IFERROR(VLOOKUP(Form_Responses[[#This Row],[Município]],'Regiões Administrativas'!$A$1:$I$646,3,0),"")</f>
        <v>15721</v>
      </c>
      <c r="AF478" s="10">
        <f>IFERROR(VLOOKUP(Form_Responses[[#This Row],[Município]],'Regiões Administrativas'!$A$1:$I$646,4,0),"")</f>
        <v>350970005000001</v>
      </c>
      <c r="AG478" s="10">
        <f>IFERROR(VLOOKUP(Form_Responses[[#This Row],[Município]],'Regiões Administrativas'!$A$1:$I$646,4,0),"")</f>
        <v>350970005000001</v>
      </c>
      <c r="AH478" s="10">
        <f>IFERROR(VLOOKUP(B478,'Regiões Administrativas'!$A$1:$I$646,5,0),"")</f>
        <v>3509700</v>
      </c>
      <c r="AI478" s="10">
        <f>IFERROR(VLOOKUP(B478,'Regiões Administrativas'!$A$1:$I$646,6,0),"")</f>
        <v>-45.589201699999997</v>
      </c>
      <c r="AJ478" s="10">
        <f>IFERROR(VLOOKUP(B478,'Regiões Administrativas'!$A$1:$I$646,8,0),"")</f>
        <v>1639.1545000000001</v>
      </c>
      <c r="AK478" s="10" t="str">
        <f>IFERROR(VLOOKUP(Form_Responses[[#This Row],[Município]],'Regiões Administrativas'!$A$1:$I$646,9,0),"")</f>
        <v>1J6trlyb{Ztf</v>
      </c>
    </row>
    <row r="479" spans="1:37" ht="22.5" customHeight="1">
      <c r="A479" s="15">
        <v>46051.648092187505</v>
      </c>
      <c r="B479" s="10" t="s">
        <v>1534</v>
      </c>
      <c r="C479" s="10" t="s">
        <v>1210</v>
      </c>
      <c r="D479" s="10" t="s">
        <v>2353</v>
      </c>
      <c r="E479" s="10" t="s">
        <v>2354</v>
      </c>
      <c r="G479" s="10" t="s">
        <v>2337</v>
      </c>
      <c r="H479" s="72" t="s">
        <v>2355</v>
      </c>
      <c r="I479" s="10" t="s">
        <v>128</v>
      </c>
      <c r="J479" s="16">
        <v>46122</v>
      </c>
      <c r="K479" s="16">
        <v>46123</v>
      </c>
      <c r="N479" s="10" t="s">
        <v>61</v>
      </c>
      <c r="O479" s="10" t="s">
        <v>62</v>
      </c>
      <c r="P479" s="10" t="s">
        <v>63</v>
      </c>
      <c r="Q479" s="10" t="s">
        <v>47</v>
      </c>
      <c r="R479" s="10" t="s">
        <v>230</v>
      </c>
      <c r="S479" s="10">
        <v>3000</v>
      </c>
      <c r="W479" s="10" t="s">
        <v>2356</v>
      </c>
      <c r="X479" s="72" t="s">
        <v>2357</v>
      </c>
      <c r="Y479" s="10" t="s">
        <v>2358</v>
      </c>
      <c r="Z479" s="10" t="s">
        <v>66</v>
      </c>
      <c r="AA479" s="10" t="s">
        <v>66</v>
      </c>
      <c r="AB479" s="10" t="s">
        <v>66</v>
      </c>
      <c r="AC479" s="10" t="s">
        <v>55</v>
      </c>
      <c r="AD479" s="10" t="str">
        <f>IFERROR(VLOOKUP(B479,'Regiões Administrativas'!$A$1:$B$646,2,0),"")</f>
        <v>São José dos Campos</v>
      </c>
      <c r="AE479" s="10">
        <f>IFERROR(VLOOKUP(Form_Responses[[#This Row],[Município]],'Regiões Administrativas'!$A$1:$I$646,3,0),"")</f>
        <v>15721</v>
      </c>
      <c r="AF479" s="10">
        <f>IFERROR(VLOOKUP(Form_Responses[[#This Row],[Município]],'Regiões Administrativas'!$A$1:$I$646,4,0),"")</f>
        <v>350970005000001</v>
      </c>
      <c r="AG479" s="10">
        <f>IFERROR(VLOOKUP(Form_Responses[[#This Row],[Município]],'Regiões Administrativas'!$A$1:$I$646,4,0),"")</f>
        <v>350970005000001</v>
      </c>
      <c r="AH479" s="10">
        <f>IFERROR(VLOOKUP(B479,'Regiões Administrativas'!$A$1:$I$646,5,0),"")</f>
        <v>3509700</v>
      </c>
      <c r="AI479" s="10">
        <f>IFERROR(VLOOKUP(B479,'Regiões Administrativas'!$A$1:$I$646,6,0),"")</f>
        <v>-45.589201699999997</v>
      </c>
      <c r="AJ479" s="10">
        <f>IFERROR(VLOOKUP(B479,'Regiões Administrativas'!$A$1:$I$646,8,0),"")</f>
        <v>1639.1545000000001</v>
      </c>
      <c r="AK479" s="10" t="str">
        <f>IFERROR(VLOOKUP(Form_Responses[[#This Row],[Município]],'Regiões Administrativas'!$A$1:$I$646,9,0),"")</f>
        <v>1J6trlyb{Ztf</v>
      </c>
    </row>
    <row r="480" spans="1:37" ht="22.5" customHeight="1">
      <c r="A480" s="15">
        <v>46055.550244178245</v>
      </c>
      <c r="B480" s="10" t="s">
        <v>2165</v>
      </c>
      <c r="C480" s="10" t="s">
        <v>811</v>
      </c>
      <c r="D480" s="10" t="s">
        <v>2359</v>
      </c>
      <c r="E480" s="10" t="s">
        <v>2360</v>
      </c>
      <c r="G480" s="10" t="s">
        <v>2361</v>
      </c>
      <c r="H480" s="72" t="s">
        <v>2169</v>
      </c>
      <c r="I480" s="10" t="s">
        <v>220</v>
      </c>
      <c r="J480" s="16">
        <v>46158</v>
      </c>
      <c r="K480" s="16">
        <v>46159</v>
      </c>
      <c r="N480" s="10" t="s">
        <v>268</v>
      </c>
      <c r="O480" s="10" t="s">
        <v>234</v>
      </c>
      <c r="P480" s="10" t="s">
        <v>235</v>
      </c>
      <c r="Q480" s="10" t="s">
        <v>47</v>
      </c>
      <c r="R480" s="10" t="s">
        <v>74</v>
      </c>
      <c r="S480" s="10">
        <v>3000</v>
      </c>
      <c r="T480" s="10">
        <v>2500</v>
      </c>
      <c r="W480" s="10" t="s">
        <v>2170</v>
      </c>
      <c r="Y480" s="10" t="s">
        <v>2171</v>
      </c>
      <c r="Z480" s="10" t="s">
        <v>76</v>
      </c>
      <c r="AA480" s="10" t="s">
        <v>67</v>
      </c>
      <c r="AB480" s="10" t="s">
        <v>54</v>
      </c>
      <c r="AC480" s="10" t="s">
        <v>68</v>
      </c>
      <c r="AD480" s="10" t="str">
        <f>IFERROR(VLOOKUP(B480,'Regiões Administrativas'!$A$1:$B$646,2,0),"")</f>
        <v>Campinas</v>
      </c>
      <c r="AE480" s="10">
        <f>IFERROR(VLOOKUP(Form_Responses[[#This Row],[Município]],'Regiões Administrativas'!$A$1:$I$646,3,0),"")</f>
        <v>17300</v>
      </c>
      <c r="AF480" s="10">
        <f>IFERROR(VLOOKUP(Form_Responses[[#This Row],[Município]],'Regiões Administrativas'!$A$1:$I$646,4,0),"")</f>
        <v>355160305000001</v>
      </c>
      <c r="AG480" s="10">
        <f>IFERROR(VLOOKUP(Form_Responses[[#This Row],[Município]],'Regiões Administrativas'!$A$1:$I$646,4,0),"")</f>
        <v>355160305000001</v>
      </c>
      <c r="AH480" s="10">
        <f>IFERROR(VLOOKUP(B480,'Regiões Administrativas'!$A$1:$I$646,5,0),"")</f>
        <v>3551603</v>
      </c>
      <c r="AI480" s="10">
        <f>IFERROR(VLOOKUP(B480,'Regiões Administrativas'!$A$1:$I$646,6,0),"")</f>
        <v>-46.701791399999998</v>
      </c>
      <c r="AJ480" s="10">
        <f>IFERROR(VLOOKUP(B480,'Regiões Administrativas'!$A$1:$I$646,8,0),"")</f>
        <v>941.40979900000002</v>
      </c>
      <c r="AK480" s="10" t="str">
        <f>IFERROR(VLOOKUP(Form_Responses[[#This Row],[Município]],'Regiões Administrativas'!$A$1:$I$646,9,0),"")</f>
        <v>1J6tjj*lLb;f</v>
      </c>
    </row>
    <row r="481" spans="1:37" ht="22.5" customHeight="1">
      <c r="A481" s="15">
        <v>46055.563311134261</v>
      </c>
      <c r="B481" s="10" t="s">
        <v>2165</v>
      </c>
      <c r="C481" s="10" t="s">
        <v>811</v>
      </c>
      <c r="D481" s="10" t="s">
        <v>2362</v>
      </c>
      <c r="E481" s="10" t="s">
        <v>2363</v>
      </c>
      <c r="G481" s="10" t="s">
        <v>2364</v>
      </c>
      <c r="H481" s="72" t="s">
        <v>2365</v>
      </c>
      <c r="I481" s="10" t="s">
        <v>60</v>
      </c>
      <c r="J481" s="16">
        <v>46199</v>
      </c>
      <c r="K481" s="16">
        <v>46201</v>
      </c>
      <c r="N481" s="10" t="s">
        <v>61</v>
      </c>
      <c r="O481" s="10" t="s">
        <v>62</v>
      </c>
      <c r="P481" s="10" t="s">
        <v>63</v>
      </c>
      <c r="Q481" s="10" t="s">
        <v>47</v>
      </c>
      <c r="R481" s="10" t="s">
        <v>230</v>
      </c>
      <c r="S481" s="10">
        <v>8000</v>
      </c>
      <c r="W481" s="10" t="s">
        <v>2366</v>
      </c>
      <c r="Y481" s="10" t="s">
        <v>2171</v>
      </c>
      <c r="Z481" s="10" t="s">
        <v>66</v>
      </c>
      <c r="AA481" s="10" t="s">
        <v>66</v>
      </c>
      <c r="AB481" s="10" t="s">
        <v>66</v>
      </c>
      <c r="AC481" s="10" t="s">
        <v>68</v>
      </c>
      <c r="AD481" s="10" t="str">
        <f>IFERROR(VLOOKUP(B481,'Regiões Administrativas'!$A$1:$B$646,2,0),"")</f>
        <v>Campinas</v>
      </c>
      <c r="AE481" s="10">
        <f>IFERROR(VLOOKUP(Form_Responses[[#This Row],[Município]],'Regiões Administrativas'!$A$1:$I$646,3,0),"")</f>
        <v>17300</v>
      </c>
      <c r="AF481" s="10">
        <f>IFERROR(VLOOKUP(Form_Responses[[#This Row],[Município]],'Regiões Administrativas'!$A$1:$I$646,4,0),"")</f>
        <v>355160305000001</v>
      </c>
      <c r="AG481" s="10">
        <f>IFERROR(VLOOKUP(Form_Responses[[#This Row],[Município]],'Regiões Administrativas'!$A$1:$I$646,4,0),"")</f>
        <v>355160305000001</v>
      </c>
      <c r="AH481" s="10">
        <f>IFERROR(VLOOKUP(B481,'Regiões Administrativas'!$A$1:$I$646,5,0),"")</f>
        <v>3551603</v>
      </c>
      <c r="AI481" s="10">
        <f>IFERROR(VLOOKUP(B481,'Regiões Administrativas'!$A$1:$I$646,6,0),"")</f>
        <v>-46.701791399999998</v>
      </c>
      <c r="AJ481" s="10">
        <f>IFERROR(VLOOKUP(B481,'Regiões Administrativas'!$A$1:$I$646,8,0),"")</f>
        <v>941.40979900000002</v>
      </c>
      <c r="AK481" s="10" t="str">
        <f>IFERROR(VLOOKUP(Form_Responses[[#This Row],[Município]],'Regiões Administrativas'!$A$1:$I$646,9,0),"")</f>
        <v>1J6tjj*lLb;f</v>
      </c>
    </row>
    <row r="482" spans="1:37" ht="22.5" customHeight="1">
      <c r="A482" s="15">
        <v>46056.392835486113</v>
      </c>
      <c r="B482" s="10" t="s">
        <v>2367</v>
      </c>
      <c r="C482" s="10" t="s">
        <v>336</v>
      </c>
      <c r="D482" s="10" t="s">
        <v>2368</v>
      </c>
      <c r="E482" s="10" t="s">
        <v>2369</v>
      </c>
      <c r="F482" s="10" t="s">
        <v>2370</v>
      </c>
      <c r="G482" s="10" t="s">
        <v>2371</v>
      </c>
      <c r="H482" s="10" t="s">
        <v>118</v>
      </c>
      <c r="I482" s="10" t="s">
        <v>128</v>
      </c>
      <c r="J482" s="16">
        <v>46138</v>
      </c>
      <c r="K482" s="16">
        <v>46138</v>
      </c>
      <c r="L482" s="17">
        <v>0.33333333333575865</v>
      </c>
      <c r="M482" s="17">
        <v>0.75</v>
      </c>
      <c r="N482" s="10" t="s">
        <v>268</v>
      </c>
      <c r="O482" s="10" t="s">
        <v>45</v>
      </c>
      <c r="P482" s="10" t="s">
        <v>99</v>
      </c>
      <c r="Q482" s="10" t="s">
        <v>47</v>
      </c>
      <c r="R482" s="10" t="s">
        <v>74</v>
      </c>
      <c r="S482" s="10">
        <v>5000</v>
      </c>
      <c r="T482" s="10">
        <v>3500</v>
      </c>
      <c r="U482" s="10">
        <v>3000</v>
      </c>
      <c r="V482" s="10">
        <v>0</v>
      </c>
      <c r="W482" s="10" t="s">
        <v>2372</v>
      </c>
      <c r="X482" s="10" t="s">
        <v>2373</v>
      </c>
      <c r="Y482" s="10" t="s">
        <v>2374</v>
      </c>
      <c r="Z482" s="10" t="s">
        <v>76</v>
      </c>
      <c r="AA482" s="10" t="s">
        <v>113</v>
      </c>
      <c r="AB482" s="10" t="s">
        <v>66</v>
      </c>
      <c r="AC482" s="10" t="s">
        <v>68</v>
      </c>
      <c r="AD482" s="10" t="str">
        <f>IFERROR(VLOOKUP(B482,'Regiões Administrativas'!$A$1:$B$646,2,0),"")</f>
        <v>Ribeirão Preto</v>
      </c>
      <c r="AE482" s="10">
        <f>IFERROR(VLOOKUP(Form_Responses[[#This Row],[Município]],'Regiões Administrativas'!$A$1:$I$646,3,0),"")</f>
        <v>15825</v>
      </c>
      <c r="AF482" s="10">
        <f>IFERROR(VLOOKUP(Form_Responses[[#This Row],[Município]],'Regiões Administrativas'!$A$1:$I$646,4,0),"")</f>
        <v>351310805000001</v>
      </c>
      <c r="AG482" s="10">
        <f>IFERROR(VLOOKUP(Form_Responses[[#This Row],[Município]],'Regiões Administrativas'!$A$1:$I$646,4,0),"")</f>
        <v>351310805000001</v>
      </c>
      <c r="AH482" s="10">
        <f>IFERROR(VLOOKUP(B482,'Regiões Administrativas'!$A$1:$I$646,5,0),"")</f>
        <v>3513108</v>
      </c>
      <c r="AI482" s="10">
        <f>IFERROR(VLOOKUP(B482,'Regiões Administrativas'!$A$1:$I$646,6,0),"")</f>
        <v>-47.730042300000001</v>
      </c>
      <c r="AJ482" s="10">
        <f>IFERROR(VLOOKUP(B482,'Regiões Administrativas'!$A$1:$I$646,8,0),"")</f>
        <v>794.65631099999996</v>
      </c>
      <c r="AK482" s="10" t="str">
        <f>IFERROR(VLOOKUP(Form_Responses[[#This Row],[Município]],'Regiões Administrativas'!$A$1:$I$646,9,0),"")</f>
        <v>1J6t^Q@+T&lt;m-</v>
      </c>
    </row>
    <row r="483" spans="1:37" ht="22.5" customHeight="1">
      <c r="A483" s="15">
        <v>46056.397366157413</v>
      </c>
      <c r="B483" s="10" t="s">
        <v>2367</v>
      </c>
      <c r="C483" s="10" t="s">
        <v>336</v>
      </c>
      <c r="D483" s="10" t="s">
        <v>2375</v>
      </c>
      <c r="E483" s="10" t="s">
        <v>2376</v>
      </c>
      <c r="F483" s="10" t="s">
        <v>1998</v>
      </c>
      <c r="G483" s="10" t="s">
        <v>2377</v>
      </c>
      <c r="H483" s="10" t="s">
        <v>118</v>
      </c>
      <c r="I483" s="10" t="s">
        <v>43</v>
      </c>
      <c r="J483" s="16">
        <v>46246</v>
      </c>
      <c r="K483" s="16">
        <v>46250</v>
      </c>
      <c r="L483" s="17">
        <v>0.75</v>
      </c>
      <c r="M483" s="17">
        <v>4.1666666664241347E-2</v>
      </c>
      <c r="N483" s="10" t="s">
        <v>44</v>
      </c>
      <c r="O483" s="10" t="s">
        <v>190</v>
      </c>
      <c r="P483" s="10" t="s">
        <v>99</v>
      </c>
      <c r="Q483" s="10" t="s">
        <v>47</v>
      </c>
      <c r="R483" s="10" t="s">
        <v>74</v>
      </c>
      <c r="S483" s="10">
        <v>7000</v>
      </c>
      <c r="T483" s="10">
        <v>5000</v>
      </c>
      <c r="U483" s="10">
        <v>4500</v>
      </c>
      <c r="V483" s="10">
        <v>4800</v>
      </c>
      <c r="W483" s="10" t="s">
        <v>2378</v>
      </c>
      <c r="X483" s="10" t="s">
        <v>2379</v>
      </c>
      <c r="Y483" s="10" t="s">
        <v>2374</v>
      </c>
      <c r="Z483" s="10" t="s">
        <v>76</v>
      </c>
      <c r="AA483" s="10" t="s">
        <v>113</v>
      </c>
      <c r="AB483" s="10" t="s">
        <v>66</v>
      </c>
      <c r="AC483" s="10" t="s">
        <v>68</v>
      </c>
      <c r="AD483" s="10" t="str">
        <f>IFERROR(VLOOKUP(B483,'Regiões Administrativas'!$A$1:$B$646,2,0),"")</f>
        <v>Ribeirão Preto</v>
      </c>
      <c r="AE483" s="10">
        <f>IFERROR(VLOOKUP(Form_Responses[[#This Row],[Município]],'Regiões Administrativas'!$A$1:$I$646,3,0),"")</f>
        <v>15825</v>
      </c>
      <c r="AF483" s="10">
        <f>IFERROR(VLOOKUP(Form_Responses[[#This Row],[Município]],'Regiões Administrativas'!$A$1:$I$646,4,0),"")</f>
        <v>351310805000001</v>
      </c>
      <c r="AG483" s="10">
        <f>IFERROR(VLOOKUP(Form_Responses[[#This Row],[Município]],'Regiões Administrativas'!$A$1:$I$646,4,0),"")</f>
        <v>351310805000001</v>
      </c>
      <c r="AH483" s="10">
        <f>IFERROR(VLOOKUP(B483,'Regiões Administrativas'!$A$1:$I$646,5,0),"")</f>
        <v>3513108</v>
      </c>
      <c r="AI483" s="10">
        <f>IFERROR(VLOOKUP(B483,'Regiões Administrativas'!$A$1:$I$646,6,0),"")</f>
        <v>-47.730042300000001</v>
      </c>
      <c r="AJ483" s="10">
        <f>IFERROR(VLOOKUP(B483,'Regiões Administrativas'!$A$1:$I$646,8,0),"")</f>
        <v>794.65631099999996</v>
      </c>
      <c r="AK483" s="10" t="str">
        <f>IFERROR(VLOOKUP(Form_Responses[[#This Row],[Município]],'Regiões Administrativas'!$A$1:$I$646,9,0),"")</f>
        <v>1J6t^Q@+T&lt;m-</v>
      </c>
    </row>
    <row r="484" spans="1:37" ht="22.5" customHeight="1">
      <c r="A484" s="15">
        <v>46056.40026253472</v>
      </c>
      <c r="B484" s="10" t="s">
        <v>2367</v>
      </c>
      <c r="C484" s="10" t="s">
        <v>336</v>
      </c>
      <c r="D484" s="10" t="s">
        <v>2380</v>
      </c>
      <c r="E484" s="10" t="s">
        <v>2381</v>
      </c>
      <c r="F484" s="10" t="s">
        <v>2370</v>
      </c>
      <c r="G484" s="10" t="s">
        <v>2382</v>
      </c>
      <c r="H484" s="10" t="s">
        <v>118</v>
      </c>
      <c r="I484" s="10" t="s">
        <v>162</v>
      </c>
      <c r="J484" s="16">
        <v>46357</v>
      </c>
      <c r="K484" s="16">
        <v>46393</v>
      </c>
      <c r="L484" s="17">
        <v>0.83333333333575865</v>
      </c>
      <c r="M484" s="17">
        <v>0.95833333333575865</v>
      </c>
      <c r="N484" s="10" t="s">
        <v>44</v>
      </c>
      <c r="O484" s="10" t="s">
        <v>45</v>
      </c>
      <c r="P484" s="10" t="s">
        <v>251</v>
      </c>
      <c r="Q484" s="10" t="s">
        <v>47</v>
      </c>
      <c r="R484" s="10" t="s">
        <v>74</v>
      </c>
      <c r="S484" s="10">
        <v>5000</v>
      </c>
      <c r="T484" s="10">
        <v>5000</v>
      </c>
      <c r="U484" s="10">
        <v>4000</v>
      </c>
      <c r="V484" s="10">
        <v>4000</v>
      </c>
      <c r="W484" s="10" t="s">
        <v>2378</v>
      </c>
      <c r="X484" s="10" t="s">
        <v>2383</v>
      </c>
      <c r="Y484" s="10" t="s">
        <v>2374</v>
      </c>
      <c r="Z484" s="10" t="s">
        <v>76</v>
      </c>
      <c r="AA484" s="10" t="s">
        <v>225</v>
      </c>
      <c r="AB484" s="10" t="s">
        <v>66</v>
      </c>
      <c r="AC484" s="10" t="s">
        <v>68</v>
      </c>
      <c r="AD484" s="10" t="str">
        <f>IFERROR(VLOOKUP(B484,'Regiões Administrativas'!$A$1:$B$646,2,0),"")</f>
        <v>Ribeirão Preto</v>
      </c>
      <c r="AE484" s="10">
        <f>IFERROR(VLOOKUP(Form_Responses[[#This Row],[Município]],'Regiões Administrativas'!$A$1:$I$646,3,0),"")</f>
        <v>15825</v>
      </c>
      <c r="AF484" s="10">
        <f>IFERROR(VLOOKUP(Form_Responses[[#This Row],[Município]],'Regiões Administrativas'!$A$1:$I$646,4,0),"")</f>
        <v>351310805000001</v>
      </c>
      <c r="AG484" s="10">
        <f>IFERROR(VLOOKUP(Form_Responses[[#This Row],[Município]],'Regiões Administrativas'!$A$1:$I$646,4,0),"")</f>
        <v>351310805000001</v>
      </c>
      <c r="AH484" s="10">
        <f>IFERROR(VLOOKUP(B484,'Regiões Administrativas'!$A$1:$I$646,5,0),"")</f>
        <v>3513108</v>
      </c>
      <c r="AI484" s="10">
        <f>IFERROR(VLOOKUP(B484,'Regiões Administrativas'!$A$1:$I$646,6,0),"")</f>
        <v>-47.730042300000001</v>
      </c>
      <c r="AJ484" s="10">
        <f>IFERROR(VLOOKUP(B484,'Regiões Administrativas'!$A$1:$I$646,8,0),"")</f>
        <v>794.65631099999996</v>
      </c>
      <c r="AK484" s="10" t="str">
        <f>IFERROR(VLOOKUP(Form_Responses[[#This Row],[Município]],'Regiões Administrativas'!$A$1:$I$646,9,0),"")</f>
        <v>1J6t^Q@+T&lt;m-</v>
      </c>
    </row>
    <row r="485" spans="1:37" ht="22.5" customHeight="1">
      <c r="A485" s="15">
        <v>46056.403438043984</v>
      </c>
      <c r="B485" s="10" t="s">
        <v>2367</v>
      </c>
      <c r="C485" s="10" t="s">
        <v>336</v>
      </c>
      <c r="D485" s="10" t="s">
        <v>2384</v>
      </c>
      <c r="E485" s="10" t="s">
        <v>2385</v>
      </c>
      <c r="F485" s="10" t="s">
        <v>2370</v>
      </c>
      <c r="G485" s="10" t="s">
        <v>2386</v>
      </c>
      <c r="H485" s="10" t="s">
        <v>118</v>
      </c>
      <c r="I485" s="10" t="s">
        <v>72</v>
      </c>
      <c r="J485" s="16">
        <v>46222</v>
      </c>
      <c r="K485" s="16">
        <v>46222</v>
      </c>
      <c r="L485" s="17">
        <v>0.33333333333575865</v>
      </c>
      <c r="M485" s="17">
        <v>0.75</v>
      </c>
      <c r="N485" s="10" t="s">
        <v>73</v>
      </c>
      <c r="O485" s="10" t="s">
        <v>221</v>
      </c>
      <c r="P485" s="10" t="s">
        <v>221</v>
      </c>
      <c r="Q485" s="10" t="s">
        <v>47</v>
      </c>
      <c r="R485" s="10" t="s">
        <v>74</v>
      </c>
      <c r="S485" s="10">
        <v>1500</v>
      </c>
      <c r="T485" s="10">
        <v>800</v>
      </c>
      <c r="U485" s="10">
        <v>600</v>
      </c>
      <c r="V485" s="10">
        <v>700</v>
      </c>
      <c r="W485" s="10" t="s">
        <v>2378</v>
      </c>
      <c r="X485" s="10" t="s">
        <v>2383</v>
      </c>
      <c r="Y485" s="10" t="s">
        <v>2374</v>
      </c>
      <c r="Z485" s="10" t="s">
        <v>76</v>
      </c>
      <c r="AA485" s="10" t="s">
        <v>66</v>
      </c>
      <c r="AB485" s="10" t="s">
        <v>66</v>
      </c>
      <c r="AC485" s="10" t="s">
        <v>68</v>
      </c>
      <c r="AD485" s="10" t="str">
        <f>IFERROR(VLOOKUP(B485,'Regiões Administrativas'!$A$1:$B$646,2,0),"")</f>
        <v>Ribeirão Preto</v>
      </c>
      <c r="AE485" s="10">
        <f>IFERROR(VLOOKUP(Form_Responses[[#This Row],[Município]],'Regiões Administrativas'!$A$1:$I$646,3,0),"")</f>
        <v>15825</v>
      </c>
      <c r="AF485" s="10">
        <f>IFERROR(VLOOKUP(Form_Responses[[#This Row],[Município]],'Regiões Administrativas'!$A$1:$I$646,4,0),"")</f>
        <v>351310805000001</v>
      </c>
      <c r="AG485" s="10">
        <f>IFERROR(VLOOKUP(Form_Responses[[#This Row],[Município]],'Regiões Administrativas'!$A$1:$I$646,4,0),"")</f>
        <v>351310805000001</v>
      </c>
      <c r="AH485" s="10">
        <f>IFERROR(VLOOKUP(B485,'Regiões Administrativas'!$A$1:$I$646,5,0),"")</f>
        <v>3513108</v>
      </c>
      <c r="AI485" s="10">
        <f>IFERROR(VLOOKUP(B485,'Regiões Administrativas'!$A$1:$I$646,6,0),"")</f>
        <v>-47.730042300000001</v>
      </c>
      <c r="AJ485" s="10">
        <f>IFERROR(VLOOKUP(B485,'Regiões Administrativas'!$A$1:$I$646,8,0),"")</f>
        <v>794.65631099999996</v>
      </c>
      <c r="AK485" s="10" t="str">
        <f>IFERROR(VLOOKUP(Form_Responses[[#This Row],[Município]],'Regiões Administrativas'!$A$1:$I$646,9,0),"")</f>
        <v>1J6t^Q@+T&lt;m-</v>
      </c>
    </row>
    <row r="486" spans="1:37" ht="22.5" customHeight="1">
      <c r="A486" s="15">
        <v>46056.406018888891</v>
      </c>
      <c r="B486" s="10" t="s">
        <v>644</v>
      </c>
      <c r="C486" s="10" t="s">
        <v>383</v>
      </c>
      <c r="D486" s="10" t="s">
        <v>2387</v>
      </c>
      <c r="E486" s="10" t="s">
        <v>2388</v>
      </c>
      <c r="G486" s="10" t="s">
        <v>2389</v>
      </c>
      <c r="I486" s="10" t="s">
        <v>72</v>
      </c>
      <c r="J486" s="16">
        <v>46212</v>
      </c>
      <c r="K486" s="16">
        <v>46222</v>
      </c>
      <c r="L486" s="17">
        <v>0.33333333333575865</v>
      </c>
      <c r="M486" s="17">
        <v>0.70833333333575865</v>
      </c>
      <c r="N486" s="10" t="s">
        <v>61</v>
      </c>
      <c r="O486" s="10" t="s">
        <v>642</v>
      </c>
      <c r="P486" s="10" t="s">
        <v>63</v>
      </c>
      <c r="Q486" s="10" t="s">
        <v>47</v>
      </c>
      <c r="R486" s="10" t="s">
        <v>230</v>
      </c>
      <c r="S486" s="10">
        <v>25000</v>
      </c>
      <c r="T486" s="10">
        <v>22000</v>
      </c>
      <c r="W486" s="10" t="s">
        <v>2390</v>
      </c>
      <c r="X486" s="10" t="s">
        <v>2391</v>
      </c>
      <c r="Y486" s="10" t="s">
        <v>2392</v>
      </c>
      <c r="Z486" s="10" t="s">
        <v>76</v>
      </c>
      <c r="AA486" s="10" t="s">
        <v>2393</v>
      </c>
      <c r="AB486" s="10" t="s">
        <v>66</v>
      </c>
      <c r="AC486" s="10" t="s">
        <v>68</v>
      </c>
      <c r="AD486" s="10" t="str">
        <f>IFERROR(VLOOKUP(B486,'Regiões Administrativas'!$A$1:$B$646,2,0),"")</f>
        <v>Campinas</v>
      </c>
      <c r="AE486" s="10">
        <f>IFERROR(VLOOKUP(Form_Responses[[#This Row],[Município]],'Regiões Administrativas'!$A$1:$I$646,3,0),"")</f>
        <v>16138</v>
      </c>
      <c r="AF486" s="10">
        <f>IFERROR(VLOOKUP(Form_Responses[[#This Row],[Município]],'Regiões Administrativas'!$A$1:$I$646,4,0),"")</f>
        <v>352340405000001</v>
      </c>
      <c r="AG486" s="10">
        <f>IFERROR(VLOOKUP(Form_Responses[[#This Row],[Município]],'Regiões Administrativas'!$A$1:$I$646,4,0),"")</f>
        <v>352340405000001</v>
      </c>
      <c r="AH486" s="10">
        <f>IFERROR(VLOOKUP(B486,'Regiões Administrativas'!$A$1:$I$646,5,0),"")</f>
        <v>3523404</v>
      </c>
      <c r="AI486" s="10">
        <f>IFERROR(VLOOKUP(B486,'Regiões Administrativas'!$A$1:$I$646,6,0),"")</f>
        <v>-46.8375579</v>
      </c>
      <c r="AJ486" s="10">
        <f>IFERROR(VLOOKUP(B486,'Regiões Administrativas'!$A$1:$I$646,8,0),"")</f>
        <v>766.77427399999999</v>
      </c>
      <c r="AK486" s="10" t="str">
        <f>IFERROR(VLOOKUP(Form_Responses[[#This Row],[Município]],'Regiões Administrativas'!$A$1:$I$646,9,0),"")</f>
        <v>1J6tn\{r;71f</v>
      </c>
    </row>
    <row r="487" spans="1:37" ht="22.5" customHeight="1">
      <c r="A487" s="15">
        <v>46056.406580868061</v>
      </c>
      <c r="B487" s="10" t="s">
        <v>2367</v>
      </c>
      <c r="C487" s="10" t="s">
        <v>336</v>
      </c>
      <c r="D487" s="10" t="s">
        <v>2394</v>
      </c>
      <c r="E487" s="10" t="s">
        <v>2395</v>
      </c>
      <c r="F487" s="10" t="s">
        <v>2370</v>
      </c>
      <c r="G487" s="10" t="s">
        <v>2396</v>
      </c>
      <c r="H487" s="10" t="s">
        <v>118</v>
      </c>
      <c r="I487" s="10" t="s">
        <v>128</v>
      </c>
      <c r="J487" s="16">
        <v>46137</v>
      </c>
      <c r="K487" s="16">
        <v>46138</v>
      </c>
      <c r="L487" s="17">
        <v>0.33333333333575865</v>
      </c>
      <c r="M487" s="17">
        <v>0.875</v>
      </c>
      <c r="N487" s="10" t="s">
        <v>73</v>
      </c>
      <c r="O487" s="10" t="s">
        <v>45</v>
      </c>
      <c r="P487" s="10" t="s">
        <v>99</v>
      </c>
      <c r="Q487" s="10" t="s">
        <v>47</v>
      </c>
      <c r="R487" s="10" t="s">
        <v>74</v>
      </c>
      <c r="S487" s="10">
        <v>4000</v>
      </c>
      <c r="T487" s="10">
        <v>3500</v>
      </c>
      <c r="U487" s="10">
        <v>3000</v>
      </c>
      <c r="V487" s="10">
        <v>2000</v>
      </c>
      <c r="W487" s="10" t="s">
        <v>2397</v>
      </c>
      <c r="X487" s="10" t="s">
        <v>2383</v>
      </c>
      <c r="Y487" s="10" t="s">
        <v>2374</v>
      </c>
      <c r="Z487" s="10" t="s">
        <v>76</v>
      </c>
      <c r="AA487" s="10" t="s">
        <v>225</v>
      </c>
      <c r="AB487" s="10" t="s">
        <v>66</v>
      </c>
      <c r="AC487" s="10" t="s">
        <v>68</v>
      </c>
      <c r="AD487" s="10" t="str">
        <f>IFERROR(VLOOKUP(B487,'Regiões Administrativas'!$A$1:$B$646,2,0),"")</f>
        <v>Ribeirão Preto</v>
      </c>
      <c r="AE487" s="10">
        <f>IFERROR(VLOOKUP(Form_Responses[[#This Row],[Município]],'Regiões Administrativas'!$A$1:$I$646,3,0),"")</f>
        <v>15825</v>
      </c>
      <c r="AF487" s="10">
        <f>IFERROR(VLOOKUP(Form_Responses[[#This Row],[Município]],'Regiões Administrativas'!$A$1:$I$646,4,0),"")</f>
        <v>351310805000001</v>
      </c>
      <c r="AG487" s="10">
        <f>IFERROR(VLOOKUP(Form_Responses[[#This Row],[Município]],'Regiões Administrativas'!$A$1:$I$646,4,0),"")</f>
        <v>351310805000001</v>
      </c>
      <c r="AH487" s="10">
        <f>IFERROR(VLOOKUP(B487,'Regiões Administrativas'!$A$1:$I$646,5,0),"")</f>
        <v>3513108</v>
      </c>
      <c r="AI487" s="10">
        <f>IFERROR(VLOOKUP(B487,'Regiões Administrativas'!$A$1:$I$646,6,0),"")</f>
        <v>-47.730042300000001</v>
      </c>
      <c r="AJ487" s="10">
        <f>IFERROR(VLOOKUP(B487,'Regiões Administrativas'!$A$1:$I$646,8,0),"")</f>
        <v>794.65631099999996</v>
      </c>
      <c r="AK487" s="10" t="str">
        <f>IFERROR(VLOOKUP(Form_Responses[[#This Row],[Município]],'Regiões Administrativas'!$A$1:$I$646,9,0),"")</f>
        <v>1J6t^Q@+T&lt;m-</v>
      </c>
    </row>
    <row r="488" spans="1:37" ht="22.5" customHeight="1">
      <c r="A488" s="15">
        <v>46056.496330706017</v>
      </c>
      <c r="B488" s="10" t="s">
        <v>662</v>
      </c>
      <c r="C488" s="10" t="s">
        <v>185</v>
      </c>
      <c r="D488" s="10" t="s">
        <v>2398</v>
      </c>
      <c r="E488" s="10" t="s">
        <v>2399</v>
      </c>
      <c r="F488" s="10" t="s">
        <v>2400</v>
      </c>
      <c r="G488" s="10" t="s">
        <v>2401</v>
      </c>
      <c r="H488" s="72" t="s">
        <v>2402</v>
      </c>
      <c r="I488" s="10" t="s">
        <v>109</v>
      </c>
      <c r="J488" s="16">
        <v>46089</v>
      </c>
      <c r="K488" s="16">
        <v>46089</v>
      </c>
      <c r="L488" s="17">
        <v>0.28472222221898846</v>
      </c>
      <c r="M488" s="17">
        <v>0.4375</v>
      </c>
      <c r="N488" s="10" t="s">
        <v>61</v>
      </c>
      <c r="O488" s="10" t="s">
        <v>62</v>
      </c>
      <c r="P488" s="10" t="s">
        <v>63</v>
      </c>
      <c r="Q488" s="10" t="s">
        <v>47</v>
      </c>
      <c r="R488" s="10" t="s">
        <v>48</v>
      </c>
      <c r="S488" s="10">
        <v>3000</v>
      </c>
      <c r="T488" s="10">
        <v>2700</v>
      </c>
      <c r="U488" s="10">
        <v>2400</v>
      </c>
      <c r="V488" s="10">
        <v>2000</v>
      </c>
      <c r="W488" s="10" t="s">
        <v>2403</v>
      </c>
      <c r="X488" s="72" t="s">
        <v>2404</v>
      </c>
      <c r="Y488" s="10" t="s">
        <v>2405</v>
      </c>
      <c r="Z488" s="10" t="s">
        <v>66</v>
      </c>
      <c r="AA488" s="10" t="s">
        <v>1581</v>
      </c>
      <c r="AB488" s="10" t="s">
        <v>306</v>
      </c>
      <c r="AC488" s="10" t="s">
        <v>94</v>
      </c>
      <c r="AD488" s="10" t="str">
        <f>IFERROR(VLOOKUP(B488,'Regiões Administrativas'!$A$1:$B$646,2,0),"")</f>
        <v>Santos</v>
      </c>
      <c r="AE488" s="10">
        <f>IFERROR(VLOOKUP(Form_Responses[[#This Row],[Município]],'Regiões Administrativas'!$A$1:$I$646,3,0),"")</f>
        <v>16898</v>
      </c>
      <c r="AF488" s="10">
        <f>IFERROR(VLOOKUP(Form_Responses[[#This Row],[Município]],'Regiões Administrativas'!$A$1:$I$646,4,0),"")</f>
        <v>354100005000001</v>
      </c>
      <c r="AG488" s="10">
        <f>IFERROR(VLOOKUP(Form_Responses[[#This Row],[Município]],'Regiões Administrativas'!$A$1:$I$646,4,0),"")</f>
        <v>354100005000001</v>
      </c>
      <c r="AH488" s="10">
        <f>IFERROR(VLOOKUP(B488,'Regiões Administrativas'!$A$1:$I$646,5,0),"")</f>
        <v>3541000</v>
      </c>
      <c r="AI488" s="10">
        <f>IFERROR(VLOOKUP(B488,'Regiões Administrativas'!$A$1:$I$646,6,0),"")</f>
        <v>-46.412049600000003</v>
      </c>
      <c r="AJ488" s="10">
        <f>IFERROR(VLOOKUP(B488,'Regiões Administrativas'!$A$1:$I$646,8,0),"")</f>
        <v>8.6821260000000002</v>
      </c>
      <c r="AK488" s="10" t="str">
        <f>IFERROR(VLOOKUP(Form_Responses[[#This Row],[Município]],'Regiões Administrativas'!$A$1:$I$646,9,0),"")</f>
        <v>1J6toXTzH9Kf</v>
      </c>
    </row>
    <row r="489" spans="1:37" ht="22.5" customHeight="1">
      <c r="A489" s="15">
        <v>46056.515884942128</v>
      </c>
      <c r="B489" s="10" t="s">
        <v>2231</v>
      </c>
      <c r="C489" s="10" t="s">
        <v>1109</v>
      </c>
      <c r="D489" s="10" t="s">
        <v>2406</v>
      </c>
      <c r="E489" s="10" t="s">
        <v>2407</v>
      </c>
      <c r="G489" s="10" t="s">
        <v>2408</v>
      </c>
      <c r="I489" s="10" t="s">
        <v>89</v>
      </c>
      <c r="J489" s="16">
        <v>46061</v>
      </c>
      <c r="K489" s="16">
        <v>46061</v>
      </c>
      <c r="L489" s="17">
        <v>0.41666666666424135</v>
      </c>
      <c r="M489" s="17">
        <v>0.75</v>
      </c>
      <c r="N489" s="10" t="s">
        <v>61</v>
      </c>
      <c r="O489" s="10" t="s">
        <v>62</v>
      </c>
      <c r="P489" s="10" t="s">
        <v>90</v>
      </c>
      <c r="Q489" s="10" t="s">
        <v>47</v>
      </c>
      <c r="R489" s="10" t="s">
        <v>74</v>
      </c>
      <c r="S489" s="10">
        <v>2500</v>
      </c>
      <c r="T489" s="10">
        <v>2000</v>
      </c>
      <c r="U489" s="10">
        <v>2000</v>
      </c>
      <c r="V489" s="10">
        <v>2000</v>
      </c>
      <c r="W489" s="10" t="s">
        <v>2409</v>
      </c>
      <c r="Y489" s="10" t="s">
        <v>2410</v>
      </c>
      <c r="Z489" s="10" t="s">
        <v>76</v>
      </c>
      <c r="AA489" s="10" t="s">
        <v>113</v>
      </c>
      <c r="AB489" s="10" t="s">
        <v>66</v>
      </c>
      <c r="AC489" s="10" t="s">
        <v>68</v>
      </c>
      <c r="AD489" s="10" t="str">
        <f>IFERROR(VLOOKUP(B489,'Regiões Administrativas'!$A$1:$B$646,2,0),"")</f>
        <v>Campinas</v>
      </c>
      <c r="AE489" s="10">
        <f>IFERROR(VLOOKUP(Form_Responses[[#This Row],[Município]],'Regiões Administrativas'!$A$1:$I$646,3,0),"")</f>
        <v>17377</v>
      </c>
      <c r="AF489" s="10">
        <f>IFERROR(VLOOKUP(Form_Responses[[#This Row],[Município]],'Regiões Administrativas'!$A$1:$I$646,4,0),"")</f>
        <v>355470605000001</v>
      </c>
      <c r="AG489" s="10">
        <f>IFERROR(VLOOKUP(Form_Responses[[#This Row],[Município]],'Regiões Administrativas'!$A$1:$I$646,4,0),"")</f>
        <v>355470605000001</v>
      </c>
      <c r="AH489" s="10">
        <f>IFERROR(VLOOKUP(B489,'Regiões Administrativas'!$A$1:$I$646,5,0),"")</f>
        <v>3554706</v>
      </c>
      <c r="AI489" s="10">
        <f>IFERROR(VLOOKUP(B489,'Regiões Administrativas'!$A$1:$I$646,6,0),"")</f>
        <v>-48.172157599999998</v>
      </c>
      <c r="AJ489" s="10">
        <f>IFERROR(VLOOKUP(B489,'Regiões Administrativas'!$A$1:$I$646,8,0),"")</f>
        <v>794.43520799999999</v>
      </c>
      <c r="AK489" s="10" t="str">
        <f>IFERROR(VLOOKUP(Form_Responses[[#This Row],[Município]],'Regiões Administrativas'!$A$1:$I$646,9,0),"")</f>
        <v>1J6Rudr;Ml;-</v>
      </c>
    </row>
    <row r="490" spans="1:37" ht="22.5" customHeight="1">
      <c r="A490" s="15">
        <v>46056.572646099536</v>
      </c>
      <c r="B490" s="10" t="s">
        <v>2411</v>
      </c>
      <c r="C490" s="10" t="s">
        <v>753</v>
      </c>
      <c r="D490" s="10" t="s">
        <v>2412</v>
      </c>
      <c r="E490" s="10" t="s">
        <v>2413</v>
      </c>
      <c r="G490" s="10" t="s">
        <v>2414</v>
      </c>
      <c r="H490" s="72" t="s">
        <v>2415</v>
      </c>
      <c r="I490" s="10" t="s">
        <v>89</v>
      </c>
      <c r="J490" s="16">
        <v>46067</v>
      </c>
      <c r="K490" s="16">
        <v>46070</v>
      </c>
      <c r="L490" s="17">
        <v>0.8125</v>
      </c>
      <c r="M490" s="17">
        <v>0</v>
      </c>
      <c r="N490" s="10" t="s">
        <v>44</v>
      </c>
      <c r="O490" s="10" t="s">
        <v>45</v>
      </c>
      <c r="P490" s="10" t="s">
        <v>90</v>
      </c>
      <c r="Q490" s="10" t="s">
        <v>47</v>
      </c>
      <c r="R490" s="10" t="s">
        <v>74</v>
      </c>
      <c r="S490" s="19">
        <v>20000</v>
      </c>
      <c r="T490" s="19">
        <v>18000</v>
      </c>
      <c r="U490" s="19">
        <v>17300</v>
      </c>
      <c r="V490" s="19">
        <v>16000</v>
      </c>
      <c r="W490" s="10" t="s">
        <v>990</v>
      </c>
      <c r="Y490" s="10" t="s">
        <v>2416</v>
      </c>
      <c r="Z490" s="10" t="s">
        <v>224</v>
      </c>
      <c r="AA490" s="10" t="s">
        <v>113</v>
      </c>
      <c r="AB490" s="10" t="s">
        <v>66</v>
      </c>
      <c r="AC490" s="10" t="s">
        <v>68</v>
      </c>
      <c r="AD490" s="10" t="str">
        <f>IFERROR(VLOOKUP(B490,'Regiões Administrativas'!$A$1:$B$646,2,0),"")</f>
        <v>São José do Rio Preto</v>
      </c>
      <c r="AE490" s="10">
        <f>IFERROR(VLOOKUP(Form_Responses[[#This Row],[Município]],'Regiões Administrativas'!$A$1:$I$646,3,0),"")</f>
        <v>17101</v>
      </c>
      <c r="AF490" s="10">
        <f>IFERROR(VLOOKUP(Form_Responses[[#This Row],[Município]],'Regiões Administrativas'!$A$1:$I$646,4,0),"")</f>
        <v>354750205000001</v>
      </c>
      <c r="AG490" s="10">
        <f>IFERROR(VLOOKUP(Form_Responses[[#This Row],[Município]],'Regiões Administrativas'!$A$1:$I$646,4,0),"")</f>
        <v>354750205000001</v>
      </c>
      <c r="AH490" s="10">
        <f>IFERROR(VLOOKUP(B490,'Regiões Administrativas'!$A$1:$I$646,5,0),"")</f>
        <v>3547502</v>
      </c>
      <c r="AI490" s="10">
        <f>IFERROR(VLOOKUP(B490,'Regiões Administrativas'!$A$1:$I$646,6,0),"")</f>
        <v>-47.478980900000003</v>
      </c>
      <c r="AJ490" s="10">
        <f>IFERROR(VLOOKUP(B490,'Regiões Administrativas'!$A$1:$I$646,8,0),"")</f>
        <v>763.07680100000005</v>
      </c>
      <c r="AK490" s="10" t="str">
        <f>IFERROR(VLOOKUP(Form_Responses[[#This Row],[Município]],'Regiões Administrativas'!$A$1:$I$646,9,0),"")</f>
        <v>1J6tg96_6u:-</v>
      </c>
    </row>
    <row r="491" spans="1:37" ht="22.5" customHeight="1">
      <c r="A491" s="15">
        <v>46056.593535370368</v>
      </c>
      <c r="B491" s="10" t="s">
        <v>2411</v>
      </c>
      <c r="C491" s="10" t="s">
        <v>753</v>
      </c>
      <c r="D491" s="10" t="s">
        <v>2417</v>
      </c>
      <c r="E491" s="10" t="s">
        <v>2418</v>
      </c>
      <c r="G491" s="10" t="s">
        <v>2419</v>
      </c>
      <c r="H491" s="72" t="s">
        <v>2415</v>
      </c>
      <c r="I491" s="10" t="s">
        <v>128</v>
      </c>
      <c r="J491" s="16">
        <v>46130</v>
      </c>
      <c r="K491" s="16">
        <v>46131</v>
      </c>
      <c r="L491" s="17">
        <v>0.375</v>
      </c>
      <c r="M491" s="17">
        <v>0.66666666666424135</v>
      </c>
      <c r="N491" s="10" t="s">
        <v>268</v>
      </c>
      <c r="O491" s="10" t="s">
        <v>45</v>
      </c>
      <c r="P491" s="10" t="s">
        <v>63</v>
      </c>
      <c r="Q491" s="10" t="s">
        <v>47</v>
      </c>
      <c r="R491" s="10" t="s">
        <v>74</v>
      </c>
      <c r="S491" s="19">
        <v>6000</v>
      </c>
      <c r="T491" s="19">
        <v>5000</v>
      </c>
      <c r="U491" s="19">
        <v>4800</v>
      </c>
      <c r="V491" s="19">
        <v>4800</v>
      </c>
      <c r="W491" s="10" t="s">
        <v>2420</v>
      </c>
      <c r="Y491" s="10" t="s">
        <v>2421</v>
      </c>
      <c r="Z491" s="10" t="s">
        <v>66</v>
      </c>
      <c r="AA491" s="10" t="s">
        <v>93</v>
      </c>
      <c r="AB491" s="10" t="s">
        <v>344</v>
      </c>
      <c r="AC491" s="10" t="s">
        <v>68</v>
      </c>
      <c r="AD491" s="10" t="str">
        <f>IFERROR(VLOOKUP(B491,'Regiões Administrativas'!$A$1:$B$646,2,0),"")</f>
        <v>São José do Rio Preto</v>
      </c>
      <c r="AE491" s="10">
        <f>IFERROR(VLOOKUP(Form_Responses[[#This Row],[Município]],'Regiões Administrativas'!$A$1:$I$646,3,0),"")</f>
        <v>17101</v>
      </c>
      <c r="AF491" s="10">
        <f>IFERROR(VLOOKUP(Form_Responses[[#This Row],[Município]],'Regiões Administrativas'!$A$1:$I$646,4,0),"")</f>
        <v>354750205000001</v>
      </c>
      <c r="AG491" s="10">
        <f>IFERROR(VLOOKUP(Form_Responses[[#This Row],[Município]],'Regiões Administrativas'!$A$1:$I$646,4,0),"")</f>
        <v>354750205000001</v>
      </c>
      <c r="AH491" s="10">
        <f>IFERROR(VLOOKUP(B491,'Regiões Administrativas'!$A$1:$I$646,5,0),"")</f>
        <v>3547502</v>
      </c>
      <c r="AI491" s="10">
        <f>IFERROR(VLOOKUP(B491,'Regiões Administrativas'!$A$1:$I$646,6,0),"")</f>
        <v>-47.478980900000003</v>
      </c>
      <c r="AJ491" s="10">
        <f>IFERROR(VLOOKUP(B491,'Regiões Administrativas'!$A$1:$I$646,8,0),"")</f>
        <v>763.07680100000005</v>
      </c>
      <c r="AK491" s="10" t="str">
        <f>IFERROR(VLOOKUP(Form_Responses[[#This Row],[Município]],'Regiões Administrativas'!$A$1:$I$646,9,0),"")</f>
        <v>1J6tg96_6u:-</v>
      </c>
    </row>
    <row r="492" spans="1:37" ht="22.5" customHeight="1">
      <c r="A492" s="15">
        <v>46056.709437789352</v>
      </c>
      <c r="B492" s="10" t="s">
        <v>662</v>
      </c>
      <c r="C492" s="10" t="s">
        <v>216</v>
      </c>
      <c r="D492" s="10" t="s">
        <v>2422</v>
      </c>
      <c r="E492" s="10" t="s">
        <v>2423</v>
      </c>
      <c r="F492" s="10" t="s">
        <v>2424</v>
      </c>
      <c r="G492" s="10" t="s">
        <v>2425</v>
      </c>
      <c r="H492" s="72" t="s">
        <v>672</v>
      </c>
      <c r="I492" s="10" t="s">
        <v>89</v>
      </c>
      <c r="J492" s="16">
        <v>46060</v>
      </c>
      <c r="K492" s="16">
        <v>46061</v>
      </c>
      <c r="L492" s="17">
        <v>0.33333333333575865</v>
      </c>
      <c r="M492" s="17">
        <v>0.75</v>
      </c>
      <c r="N492" s="10" t="s">
        <v>268</v>
      </c>
      <c r="O492" s="10" t="s">
        <v>45</v>
      </c>
      <c r="P492" s="10" t="s">
        <v>63</v>
      </c>
      <c r="Q492" s="10" t="s">
        <v>47</v>
      </c>
      <c r="R492" s="10" t="s">
        <v>256</v>
      </c>
      <c r="S492" s="10">
        <v>3000</v>
      </c>
      <c r="T492" s="10">
        <v>3000</v>
      </c>
      <c r="U492" s="10">
        <v>3000</v>
      </c>
      <c r="V492" s="10">
        <v>3000</v>
      </c>
      <c r="W492" s="10" t="s">
        <v>2426</v>
      </c>
      <c r="Y492" s="10" t="s">
        <v>668</v>
      </c>
      <c r="Z492" s="10" t="s">
        <v>76</v>
      </c>
      <c r="AA492" s="10" t="s">
        <v>93</v>
      </c>
      <c r="AB492" s="10" t="s">
        <v>66</v>
      </c>
      <c r="AC492" s="10" t="s">
        <v>68</v>
      </c>
      <c r="AD492" s="10" t="str">
        <f>IFERROR(VLOOKUP(B492,'Regiões Administrativas'!$A$1:$B$646,2,0),"")</f>
        <v>Santos</v>
      </c>
      <c r="AE492" s="10">
        <f>IFERROR(VLOOKUP(Form_Responses[[#This Row],[Município]],'Regiões Administrativas'!$A$1:$I$646,3,0),"")</f>
        <v>16898</v>
      </c>
      <c r="AF492" s="10">
        <f>IFERROR(VLOOKUP(Form_Responses[[#This Row],[Município]],'Regiões Administrativas'!$A$1:$I$646,4,0),"")</f>
        <v>354100005000001</v>
      </c>
      <c r="AG492" s="10">
        <f>IFERROR(VLOOKUP(Form_Responses[[#This Row],[Município]],'Regiões Administrativas'!$A$1:$I$646,4,0),"")</f>
        <v>354100005000001</v>
      </c>
      <c r="AH492" s="10">
        <f>IFERROR(VLOOKUP(B492,'Regiões Administrativas'!$A$1:$I$646,5,0),"")</f>
        <v>3541000</v>
      </c>
      <c r="AI492" s="10">
        <f>IFERROR(VLOOKUP(B492,'Regiões Administrativas'!$A$1:$I$646,6,0),"")</f>
        <v>-46.412049600000003</v>
      </c>
      <c r="AJ492" s="10">
        <f>IFERROR(VLOOKUP(B492,'Regiões Administrativas'!$A$1:$I$646,8,0),"")</f>
        <v>8.6821260000000002</v>
      </c>
      <c r="AK492" s="10" t="str">
        <f>IFERROR(VLOOKUP(Form_Responses[[#This Row],[Município]],'Regiões Administrativas'!$A$1:$I$646,9,0),"")</f>
        <v>1J6toXTzH9Kf</v>
      </c>
    </row>
    <row r="493" spans="1:37" ht="22.5" customHeight="1">
      <c r="A493" s="15">
        <v>46057.396820821756</v>
      </c>
      <c r="B493" s="10" t="s">
        <v>2411</v>
      </c>
      <c r="C493" s="10" t="s">
        <v>753</v>
      </c>
      <c r="D493" s="10" t="s">
        <v>2427</v>
      </c>
      <c r="E493" s="10" t="s">
        <v>2428</v>
      </c>
      <c r="G493" s="10" t="s">
        <v>2429</v>
      </c>
      <c r="H493" s="72" t="s">
        <v>2415</v>
      </c>
      <c r="I493" s="10" t="s">
        <v>128</v>
      </c>
      <c r="J493" s="16">
        <v>46136</v>
      </c>
      <c r="K493" s="16">
        <v>46173</v>
      </c>
      <c r="L493" s="17">
        <v>0.79166666666424135</v>
      </c>
      <c r="M493" s="17">
        <v>0.95833333333575865</v>
      </c>
      <c r="N493" s="10" t="s">
        <v>44</v>
      </c>
      <c r="O493" s="10" t="s">
        <v>221</v>
      </c>
      <c r="P493" s="10" t="s">
        <v>221</v>
      </c>
      <c r="Q493" s="10" t="s">
        <v>47</v>
      </c>
      <c r="R493" s="10" t="s">
        <v>256</v>
      </c>
      <c r="S493" s="10">
        <v>10600</v>
      </c>
      <c r="T493" s="10">
        <v>10000</v>
      </c>
      <c r="U493" s="10">
        <v>9500</v>
      </c>
      <c r="V493" s="10">
        <v>9500</v>
      </c>
      <c r="W493" s="10" t="s">
        <v>2430</v>
      </c>
      <c r="Y493" s="10" t="s">
        <v>2421</v>
      </c>
      <c r="Z493" s="10" t="s">
        <v>76</v>
      </c>
      <c r="AA493" s="10" t="s">
        <v>67</v>
      </c>
      <c r="AB493" s="10" t="s">
        <v>66</v>
      </c>
      <c r="AC493" s="10" t="s">
        <v>68</v>
      </c>
      <c r="AD493" s="10" t="str">
        <f>IFERROR(VLOOKUP(B493,'Regiões Administrativas'!$A$1:$B$646,2,0),"")</f>
        <v>São José do Rio Preto</v>
      </c>
      <c r="AE493" s="10">
        <f>IFERROR(VLOOKUP(Form_Responses[[#This Row],[Município]],'Regiões Administrativas'!$A$1:$I$646,3,0),"")</f>
        <v>17101</v>
      </c>
      <c r="AF493" s="10">
        <f>IFERROR(VLOOKUP(Form_Responses[[#This Row],[Município]],'Regiões Administrativas'!$A$1:$I$646,4,0),"")</f>
        <v>354750205000001</v>
      </c>
      <c r="AG493" s="10">
        <f>IFERROR(VLOOKUP(Form_Responses[[#This Row],[Município]],'Regiões Administrativas'!$A$1:$I$646,4,0),"")</f>
        <v>354750205000001</v>
      </c>
      <c r="AH493" s="10">
        <f>IFERROR(VLOOKUP(B493,'Regiões Administrativas'!$A$1:$I$646,5,0),"")</f>
        <v>3547502</v>
      </c>
      <c r="AI493" s="10">
        <f>IFERROR(VLOOKUP(B493,'Regiões Administrativas'!$A$1:$I$646,6,0),"")</f>
        <v>-47.478980900000003</v>
      </c>
      <c r="AJ493" s="10">
        <f>IFERROR(VLOOKUP(B493,'Regiões Administrativas'!$A$1:$I$646,8,0),"")</f>
        <v>763.07680100000005</v>
      </c>
      <c r="AK493" s="10" t="str">
        <f>IFERROR(VLOOKUP(Form_Responses[[#This Row],[Município]],'Regiões Administrativas'!$A$1:$I$646,9,0),"")</f>
        <v>1J6tg96_6u:-</v>
      </c>
    </row>
    <row r="494" spans="1:37" ht="22.5" customHeight="1">
      <c r="A494" s="15">
        <v>46057.411175543981</v>
      </c>
      <c r="B494" s="10" t="s">
        <v>2411</v>
      </c>
      <c r="C494" s="10" t="s">
        <v>753</v>
      </c>
      <c r="D494" s="10" t="s">
        <v>2431</v>
      </c>
      <c r="E494" s="10" t="s">
        <v>2432</v>
      </c>
      <c r="G494" s="10" t="s">
        <v>2433</v>
      </c>
      <c r="H494" s="72" t="s">
        <v>2415</v>
      </c>
      <c r="I494" s="10" t="s">
        <v>220</v>
      </c>
      <c r="J494" s="16">
        <v>46157</v>
      </c>
      <c r="K494" s="16">
        <v>46159</v>
      </c>
      <c r="N494" s="10" t="s">
        <v>268</v>
      </c>
      <c r="O494" s="10" t="s">
        <v>310</v>
      </c>
      <c r="P494" s="10" t="s">
        <v>63</v>
      </c>
      <c r="Q494" s="10" t="s">
        <v>47</v>
      </c>
      <c r="R494" s="10" t="s">
        <v>74</v>
      </c>
      <c r="S494" s="19">
        <v>3200</v>
      </c>
      <c r="T494" s="19">
        <v>3000</v>
      </c>
      <c r="U494" s="19">
        <v>3000</v>
      </c>
      <c r="V494" s="19">
        <v>2900</v>
      </c>
      <c r="W494" s="10" t="s">
        <v>2434</v>
      </c>
      <c r="Y494" s="10" t="s">
        <v>2421</v>
      </c>
      <c r="Z494" s="10" t="s">
        <v>76</v>
      </c>
      <c r="AA494" s="10" t="s">
        <v>67</v>
      </c>
      <c r="AB494" s="10" t="s">
        <v>66</v>
      </c>
      <c r="AC494" s="10" t="s">
        <v>68</v>
      </c>
      <c r="AD494" s="10" t="str">
        <f>IFERROR(VLOOKUP(B494,'Regiões Administrativas'!$A$1:$B$646,2,0),"")</f>
        <v>São José do Rio Preto</v>
      </c>
      <c r="AE494" s="10">
        <f>IFERROR(VLOOKUP(Form_Responses[[#This Row],[Município]],'Regiões Administrativas'!$A$1:$I$646,3,0),"")</f>
        <v>17101</v>
      </c>
      <c r="AF494" s="10">
        <f>IFERROR(VLOOKUP(Form_Responses[[#This Row],[Município]],'Regiões Administrativas'!$A$1:$I$646,4,0),"")</f>
        <v>354750205000001</v>
      </c>
      <c r="AG494" s="10">
        <f>IFERROR(VLOOKUP(Form_Responses[[#This Row],[Município]],'Regiões Administrativas'!$A$1:$I$646,4,0),"")</f>
        <v>354750205000001</v>
      </c>
      <c r="AH494" s="10">
        <f>IFERROR(VLOOKUP(B494,'Regiões Administrativas'!$A$1:$I$646,5,0),"")</f>
        <v>3547502</v>
      </c>
      <c r="AI494" s="10">
        <f>IFERROR(VLOOKUP(B494,'Regiões Administrativas'!$A$1:$I$646,6,0),"")</f>
        <v>-47.478980900000003</v>
      </c>
      <c r="AJ494" s="10">
        <f>IFERROR(VLOOKUP(B494,'Regiões Administrativas'!$A$1:$I$646,8,0),"")</f>
        <v>763.07680100000005</v>
      </c>
      <c r="AK494" s="10" t="str">
        <f>IFERROR(VLOOKUP(Form_Responses[[#This Row],[Município]],'Regiões Administrativas'!$A$1:$I$646,9,0),"")</f>
        <v>1J6tg96_6u:-</v>
      </c>
    </row>
    <row r="495" spans="1:37" ht="22.5" customHeight="1">
      <c r="A495" s="15">
        <v>46057.425601550931</v>
      </c>
      <c r="B495" s="10" t="s">
        <v>2435</v>
      </c>
      <c r="C495" s="10" t="s">
        <v>175</v>
      </c>
      <c r="D495" s="10" t="s">
        <v>2436</v>
      </c>
      <c r="E495" s="10" t="s">
        <v>2437</v>
      </c>
      <c r="G495" s="10" t="s">
        <v>2438</v>
      </c>
      <c r="H495" s="72" t="s">
        <v>2439</v>
      </c>
      <c r="I495" s="10" t="s">
        <v>89</v>
      </c>
      <c r="J495" s="16">
        <v>46066</v>
      </c>
      <c r="K495" s="16">
        <v>46067</v>
      </c>
      <c r="L495" s="17">
        <v>0.75</v>
      </c>
      <c r="M495" s="17">
        <v>0</v>
      </c>
      <c r="N495" s="10" t="s">
        <v>268</v>
      </c>
      <c r="O495" s="10" t="s">
        <v>190</v>
      </c>
      <c r="P495" s="10" t="s">
        <v>90</v>
      </c>
      <c r="Q495" s="10" t="s">
        <v>47</v>
      </c>
      <c r="R495" s="10" t="s">
        <v>74</v>
      </c>
      <c r="S495" s="10">
        <v>500</v>
      </c>
      <c r="T495" s="10">
        <v>300</v>
      </c>
      <c r="W495" s="10" t="s">
        <v>990</v>
      </c>
      <c r="Y495" s="10" t="s">
        <v>2440</v>
      </c>
      <c r="Z495" s="10" t="s">
        <v>224</v>
      </c>
      <c r="AA495" s="10" t="s">
        <v>1670</v>
      </c>
      <c r="AB495" s="10" t="s">
        <v>66</v>
      </c>
      <c r="AC495" s="10" t="s">
        <v>68</v>
      </c>
      <c r="AD495" s="10" t="str">
        <f>IFERROR(VLOOKUP(B495,'Regiões Administrativas'!$A$1:$B$646,2,0),"")</f>
        <v>Itapeva</v>
      </c>
      <c r="AE495" s="10">
        <f>IFERROR(VLOOKUP(Form_Responses[[#This Row],[Município]],'Regiões Administrativas'!$A$1:$I$646,3,0),"")</f>
        <v>16958</v>
      </c>
      <c r="AF495" s="10">
        <f>IFERROR(VLOOKUP(Form_Responses[[#This Row],[Município]],'Regiões Administrativas'!$A$1:$I$646,4,0),"")</f>
        <v>354325305000001</v>
      </c>
      <c r="AG495" s="10">
        <f>IFERROR(VLOOKUP(Form_Responses[[#This Row],[Município]],'Regiões Administrativas'!$A$1:$I$646,4,0),"")</f>
        <v>354325305000001</v>
      </c>
      <c r="AH495" s="10">
        <f>IFERROR(VLOOKUP(B495,'Regiões Administrativas'!$A$1:$I$646,5,0),"")</f>
        <v>3543253</v>
      </c>
      <c r="AI495" s="10">
        <f>IFERROR(VLOOKUP(B495,'Regiões Administrativas'!$A$1:$I$646,6,0),"")</f>
        <v>-48.367071199999998</v>
      </c>
      <c r="AJ495" s="10">
        <f>IFERROR(VLOOKUP(B495,'Regiões Administrativas'!$A$1:$I$646,8,0),"")</f>
        <v>680.982846</v>
      </c>
      <c r="AK495" s="10" t="str">
        <f>IFERROR(VLOOKUP(Form_Responses[[#This Row],[Município]],'Regiões Administrativas'!$A$1:$I$646,9,0),"")</f>
        <v>1J6S7;zc\GJ&gt;</v>
      </c>
    </row>
    <row r="496" spans="1:37" ht="22.5" customHeight="1">
      <c r="A496" s="15">
        <v>46057.56384456018</v>
      </c>
      <c r="B496" s="10" t="s">
        <v>2411</v>
      </c>
      <c r="C496" s="10" t="s">
        <v>753</v>
      </c>
      <c r="D496" s="10" t="s">
        <v>2441</v>
      </c>
      <c r="E496" s="10" t="s">
        <v>2442</v>
      </c>
      <c r="G496" s="10" t="s">
        <v>2443</v>
      </c>
      <c r="H496" s="72" t="s">
        <v>2444</v>
      </c>
      <c r="I496" s="10" t="s">
        <v>220</v>
      </c>
      <c r="J496" s="16">
        <v>46159</v>
      </c>
      <c r="K496" s="16">
        <v>46159</v>
      </c>
      <c r="N496" s="10" t="s">
        <v>110</v>
      </c>
      <c r="O496" s="10" t="s">
        <v>99</v>
      </c>
      <c r="P496" s="10" t="s">
        <v>63</v>
      </c>
      <c r="Q496" s="10" t="s">
        <v>47</v>
      </c>
      <c r="R496" s="10" t="s">
        <v>256</v>
      </c>
      <c r="S496" s="19">
        <v>10600</v>
      </c>
      <c r="T496" s="19">
        <v>10000</v>
      </c>
      <c r="U496" s="19">
        <v>10000</v>
      </c>
      <c r="V496" s="19">
        <v>10000</v>
      </c>
      <c r="W496" s="10" t="s">
        <v>990</v>
      </c>
      <c r="Y496" s="10" t="s">
        <v>2421</v>
      </c>
      <c r="Z496" s="10" t="s">
        <v>66</v>
      </c>
      <c r="AA496" s="10" t="s">
        <v>67</v>
      </c>
      <c r="AB496" s="10" t="s">
        <v>66</v>
      </c>
      <c r="AC496" s="10" t="s">
        <v>68</v>
      </c>
      <c r="AD496" s="10" t="str">
        <f>IFERROR(VLOOKUP(B496,'Regiões Administrativas'!$A$1:$B$646,2,0),"")</f>
        <v>São José do Rio Preto</v>
      </c>
      <c r="AE496" s="10">
        <f>IFERROR(VLOOKUP(Form_Responses[[#This Row],[Município]],'Regiões Administrativas'!$A$1:$I$646,3,0),"")</f>
        <v>17101</v>
      </c>
      <c r="AF496" s="10">
        <f>IFERROR(VLOOKUP(Form_Responses[[#This Row],[Município]],'Regiões Administrativas'!$A$1:$I$646,4,0),"")</f>
        <v>354750205000001</v>
      </c>
      <c r="AG496" s="10">
        <f>IFERROR(VLOOKUP(Form_Responses[[#This Row],[Município]],'Regiões Administrativas'!$A$1:$I$646,4,0),"")</f>
        <v>354750205000001</v>
      </c>
      <c r="AH496" s="10">
        <f>IFERROR(VLOOKUP(B496,'Regiões Administrativas'!$A$1:$I$646,5,0),"")</f>
        <v>3547502</v>
      </c>
      <c r="AI496" s="10">
        <f>IFERROR(VLOOKUP(B496,'Regiões Administrativas'!$A$1:$I$646,6,0),"")</f>
        <v>-47.478980900000003</v>
      </c>
      <c r="AJ496" s="10">
        <f>IFERROR(VLOOKUP(B496,'Regiões Administrativas'!$A$1:$I$646,8,0),"")</f>
        <v>763.07680100000005</v>
      </c>
      <c r="AK496" s="10" t="str">
        <f>IFERROR(VLOOKUP(Form_Responses[[#This Row],[Município]],'Regiões Administrativas'!$A$1:$I$646,9,0),"")</f>
        <v>1J6tg96_6u:-</v>
      </c>
    </row>
    <row r="497" spans="1:37" ht="22.5" customHeight="1">
      <c r="A497" s="15">
        <v>46057.602615416668</v>
      </c>
      <c r="B497" s="10" t="s">
        <v>2411</v>
      </c>
      <c r="C497" s="10" t="s">
        <v>753</v>
      </c>
      <c r="D497" s="10" t="s">
        <v>2445</v>
      </c>
      <c r="E497" s="10" t="s">
        <v>2446</v>
      </c>
      <c r="G497" s="10" t="s">
        <v>2447</v>
      </c>
      <c r="I497" s="10" t="s">
        <v>220</v>
      </c>
      <c r="J497" s="16">
        <v>46164</v>
      </c>
      <c r="K497" s="16">
        <v>46164</v>
      </c>
      <c r="N497" s="10" t="s">
        <v>110</v>
      </c>
      <c r="O497" s="10" t="s">
        <v>221</v>
      </c>
      <c r="P497" s="10" t="s">
        <v>221</v>
      </c>
      <c r="Q497" s="10" t="s">
        <v>47</v>
      </c>
      <c r="R497" s="10" t="s">
        <v>74</v>
      </c>
      <c r="S497" s="19">
        <v>9000</v>
      </c>
      <c r="T497" s="19">
        <v>8500</v>
      </c>
      <c r="U497" s="19">
        <v>8200</v>
      </c>
      <c r="V497" s="19">
        <v>8000</v>
      </c>
      <c r="W497" s="10" t="s">
        <v>2448</v>
      </c>
      <c r="Y497" s="10" t="s">
        <v>2421</v>
      </c>
      <c r="Z497" s="10" t="s">
        <v>66</v>
      </c>
      <c r="AA497" s="10" t="s">
        <v>67</v>
      </c>
      <c r="AB497" s="10" t="s">
        <v>66</v>
      </c>
      <c r="AC497" s="10" t="s">
        <v>68</v>
      </c>
      <c r="AD497" s="10" t="str">
        <f>IFERROR(VLOOKUP(B497,'Regiões Administrativas'!$A$1:$B$646,2,0),"")</f>
        <v>São José do Rio Preto</v>
      </c>
      <c r="AE497" s="10">
        <f>IFERROR(VLOOKUP(Form_Responses[[#This Row],[Município]],'Regiões Administrativas'!$A$1:$I$646,3,0),"")</f>
        <v>17101</v>
      </c>
      <c r="AF497" s="10">
        <f>IFERROR(VLOOKUP(Form_Responses[[#This Row],[Município]],'Regiões Administrativas'!$A$1:$I$646,4,0),"")</f>
        <v>354750205000001</v>
      </c>
      <c r="AG497" s="10">
        <f>IFERROR(VLOOKUP(Form_Responses[[#This Row],[Município]],'Regiões Administrativas'!$A$1:$I$646,4,0),"")</f>
        <v>354750205000001</v>
      </c>
      <c r="AH497" s="10">
        <f>IFERROR(VLOOKUP(B497,'Regiões Administrativas'!$A$1:$I$646,5,0),"")</f>
        <v>3547502</v>
      </c>
      <c r="AI497" s="10">
        <f>IFERROR(VLOOKUP(B497,'Regiões Administrativas'!$A$1:$I$646,6,0),"")</f>
        <v>-47.478980900000003</v>
      </c>
      <c r="AJ497" s="10">
        <f>IFERROR(VLOOKUP(B497,'Regiões Administrativas'!$A$1:$I$646,8,0),"")</f>
        <v>763.07680100000005</v>
      </c>
      <c r="AK497" s="10" t="str">
        <f>IFERROR(VLOOKUP(Form_Responses[[#This Row],[Município]],'Regiões Administrativas'!$A$1:$I$646,9,0),"")</f>
        <v>1J6tg96_6u:-</v>
      </c>
    </row>
    <row r="498" spans="1:37" ht="22.5" customHeight="1">
      <c r="A498" s="15">
        <v>46057.61867329861</v>
      </c>
      <c r="B498" s="10" t="s">
        <v>2411</v>
      </c>
      <c r="C498" s="10" t="s">
        <v>753</v>
      </c>
      <c r="D498" s="10" t="s">
        <v>2449</v>
      </c>
      <c r="E498" s="10" t="s">
        <v>2450</v>
      </c>
      <c r="G498" s="10" t="s">
        <v>2451</v>
      </c>
      <c r="H498" s="72" t="s">
        <v>2415</v>
      </c>
      <c r="I498" s="10" t="s">
        <v>220</v>
      </c>
      <c r="J498" s="16">
        <v>46165</v>
      </c>
      <c r="K498" s="16">
        <v>46165</v>
      </c>
      <c r="N498" s="10" t="s">
        <v>110</v>
      </c>
      <c r="O498" s="10" t="s">
        <v>99</v>
      </c>
      <c r="P498" s="10" t="s">
        <v>63</v>
      </c>
      <c r="Q498" s="10" t="s">
        <v>47</v>
      </c>
      <c r="R498" s="10" t="s">
        <v>256</v>
      </c>
      <c r="S498" s="19">
        <v>10600</v>
      </c>
      <c r="T498" s="19">
        <v>10000</v>
      </c>
      <c r="U498" s="19">
        <v>10000</v>
      </c>
      <c r="V498" s="19">
        <v>10000</v>
      </c>
      <c r="W498" s="10" t="s">
        <v>990</v>
      </c>
      <c r="Y498" s="10" t="s">
        <v>2421</v>
      </c>
      <c r="Z498" s="10" t="s">
        <v>66</v>
      </c>
      <c r="AA498" s="10" t="s">
        <v>67</v>
      </c>
      <c r="AB498" s="10" t="s">
        <v>66</v>
      </c>
      <c r="AC498" s="10" t="s">
        <v>68</v>
      </c>
      <c r="AD498" s="10" t="str">
        <f>IFERROR(VLOOKUP(B498,'Regiões Administrativas'!$A$1:$B$646,2,0),"")</f>
        <v>São José do Rio Preto</v>
      </c>
      <c r="AE498" s="10">
        <f>IFERROR(VLOOKUP(Form_Responses[[#This Row],[Município]],'Regiões Administrativas'!$A$1:$I$646,3,0),"")</f>
        <v>17101</v>
      </c>
      <c r="AF498" s="10">
        <f>IFERROR(VLOOKUP(Form_Responses[[#This Row],[Município]],'Regiões Administrativas'!$A$1:$I$646,4,0),"")</f>
        <v>354750205000001</v>
      </c>
      <c r="AG498" s="10">
        <f>IFERROR(VLOOKUP(Form_Responses[[#This Row],[Município]],'Regiões Administrativas'!$A$1:$I$646,4,0),"")</f>
        <v>354750205000001</v>
      </c>
      <c r="AH498" s="10">
        <f>IFERROR(VLOOKUP(B498,'Regiões Administrativas'!$A$1:$I$646,5,0),"")</f>
        <v>3547502</v>
      </c>
      <c r="AI498" s="10">
        <f>IFERROR(VLOOKUP(B498,'Regiões Administrativas'!$A$1:$I$646,6,0),"")</f>
        <v>-47.478980900000003</v>
      </c>
      <c r="AJ498" s="10">
        <f>IFERROR(VLOOKUP(B498,'Regiões Administrativas'!$A$1:$I$646,8,0),"")</f>
        <v>763.07680100000005</v>
      </c>
      <c r="AK498" s="10" t="str">
        <f>IFERROR(VLOOKUP(Form_Responses[[#This Row],[Município]],'Regiões Administrativas'!$A$1:$I$646,9,0),"")</f>
        <v>1J6tg96_6u:-</v>
      </c>
    </row>
    <row r="499" spans="1:37" ht="22.5" customHeight="1">
      <c r="A499" s="18">
        <v>46057.625798761575</v>
      </c>
      <c r="B499" s="10" t="s">
        <v>2411</v>
      </c>
      <c r="C499" s="10" t="s">
        <v>753</v>
      </c>
      <c r="D499" s="10" t="s">
        <v>2452</v>
      </c>
      <c r="E499" s="10" t="s">
        <v>2453</v>
      </c>
      <c r="G499" s="10" t="s">
        <v>2454</v>
      </c>
      <c r="I499" s="10" t="s">
        <v>72</v>
      </c>
      <c r="J499" s="16">
        <v>46211</v>
      </c>
      <c r="K499" s="16">
        <v>46215</v>
      </c>
      <c r="N499" s="10" t="s">
        <v>44</v>
      </c>
      <c r="O499" s="10" t="s">
        <v>190</v>
      </c>
      <c r="P499" s="10" t="s">
        <v>63</v>
      </c>
      <c r="Q499" s="10" t="s">
        <v>365</v>
      </c>
      <c r="R499" s="10" t="s">
        <v>74</v>
      </c>
      <c r="S499" s="19">
        <v>30000</v>
      </c>
      <c r="T499" s="19">
        <v>28000</v>
      </c>
      <c r="U499" s="19">
        <v>28000</v>
      </c>
      <c r="V499" s="19">
        <v>28000</v>
      </c>
      <c r="W499" s="10" t="s">
        <v>181</v>
      </c>
      <c r="Y499" s="10" t="s">
        <v>2421</v>
      </c>
      <c r="Z499" s="10" t="s">
        <v>66</v>
      </c>
      <c r="AA499" s="10" t="s">
        <v>93</v>
      </c>
      <c r="AB499" s="10" t="s">
        <v>66</v>
      </c>
      <c r="AC499" s="10" t="s">
        <v>68</v>
      </c>
      <c r="AD499" s="10" t="str">
        <f>IFERROR(VLOOKUP(B499,'Regiões Administrativas'!$A$1:$B$646,2,0),"")</f>
        <v>São José do Rio Preto</v>
      </c>
      <c r="AE499" s="10">
        <f>IFERROR(VLOOKUP(Form_Responses[[#This Row],[Município]],'Regiões Administrativas'!$A$1:$I$646,3,0),"")</f>
        <v>17101</v>
      </c>
      <c r="AF499" s="10">
        <f>IFERROR(VLOOKUP(Form_Responses[[#This Row],[Município]],'Regiões Administrativas'!$A$1:$I$646,4,0),"")</f>
        <v>354750205000001</v>
      </c>
      <c r="AG499" s="10">
        <f>IFERROR(VLOOKUP(Form_Responses[[#This Row],[Município]],'Regiões Administrativas'!$A$1:$I$646,4,0),"")</f>
        <v>354750205000001</v>
      </c>
      <c r="AH499" s="10">
        <f>IFERROR(VLOOKUP(B499,'Regiões Administrativas'!$A$1:$I$646,5,0),"")</f>
        <v>3547502</v>
      </c>
      <c r="AI499" s="10">
        <f>IFERROR(VLOOKUP(B499,'Regiões Administrativas'!$A$1:$I$646,6,0),"")</f>
        <v>-47.478980900000003</v>
      </c>
      <c r="AJ499" s="10">
        <f>IFERROR(VLOOKUP(B499,'Regiões Administrativas'!$A$1:$I$646,8,0),"")</f>
        <v>763.07680100000005</v>
      </c>
      <c r="AK499" s="10" t="str">
        <f>IFERROR(VLOOKUP(Form_Responses[[#This Row],[Município]],'Regiões Administrativas'!$A$1:$I$646,9,0),"")</f>
        <v>1J6tg96_6u:-</v>
      </c>
    </row>
    <row r="500" spans="1:37" ht="22.5" customHeight="1">
      <c r="A500" s="18">
        <v>46057.647894097223</v>
      </c>
      <c r="B500" s="10" t="s">
        <v>2411</v>
      </c>
      <c r="C500" s="10" t="s">
        <v>753</v>
      </c>
      <c r="D500" s="10" t="s">
        <v>2455</v>
      </c>
      <c r="E500" s="10" t="s">
        <v>2456</v>
      </c>
      <c r="G500" s="10" t="s">
        <v>2451</v>
      </c>
      <c r="H500" s="72" t="s">
        <v>2415</v>
      </c>
      <c r="I500" s="10" t="s">
        <v>81</v>
      </c>
      <c r="J500" s="16">
        <v>46281</v>
      </c>
      <c r="K500" s="16">
        <v>46291</v>
      </c>
      <c r="N500" s="10" t="s">
        <v>73</v>
      </c>
      <c r="O500" s="10" t="s">
        <v>45</v>
      </c>
      <c r="P500" s="10" t="s">
        <v>63</v>
      </c>
      <c r="Q500" s="10" t="s">
        <v>47</v>
      </c>
      <c r="R500" s="10" t="s">
        <v>74</v>
      </c>
      <c r="S500" s="19">
        <v>10600</v>
      </c>
      <c r="T500" s="19">
        <v>10600</v>
      </c>
      <c r="U500" s="19">
        <v>10000</v>
      </c>
      <c r="V500" s="19">
        <v>10000</v>
      </c>
      <c r="W500" s="10" t="s">
        <v>990</v>
      </c>
      <c r="Y500" s="10" t="s">
        <v>2421</v>
      </c>
      <c r="Z500" s="10" t="s">
        <v>66</v>
      </c>
      <c r="AA500" s="10" t="s">
        <v>67</v>
      </c>
      <c r="AB500" s="10" t="s">
        <v>66</v>
      </c>
      <c r="AC500" s="10" t="s">
        <v>68</v>
      </c>
      <c r="AD500" s="10" t="str">
        <f>IFERROR(VLOOKUP(B500,'Regiões Administrativas'!$A$1:$B$646,2,0),"")</f>
        <v>São José do Rio Preto</v>
      </c>
      <c r="AE500" s="10">
        <f>IFERROR(VLOOKUP(Form_Responses[[#This Row],[Município]],'Regiões Administrativas'!$A$1:$I$646,3,0),"")</f>
        <v>17101</v>
      </c>
      <c r="AF500" s="10">
        <f>IFERROR(VLOOKUP(Form_Responses[[#This Row],[Município]],'Regiões Administrativas'!$A$1:$I$646,4,0),"")</f>
        <v>354750205000001</v>
      </c>
      <c r="AG500" s="10">
        <f>IFERROR(VLOOKUP(Form_Responses[[#This Row],[Município]],'Regiões Administrativas'!$A$1:$I$646,4,0),"")</f>
        <v>354750205000001</v>
      </c>
      <c r="AH500" s="10">
        <f>IFERROR(VLOOKUP(B500,'Regiões Administrativas'!$A$1:$I$646,5,0),"")</f>
        <v>3547502</v>
      </c>
      <c r="AI500" s="10">
        <f>IFERROR(VLOOKUP(B500,'Regiões Administrativas'!$A$1:$I$646,6,0),"")</f>
        <v>-47.478980900000003</v>
      </c>
      <c r="AJ500" s="10">
        <f>IFERROR(VLOOKUP(B500,'Regiões Administrativas'!$A$1:$I$646,8,0),"")</f>
        <v>763.07680100000005</v>
      </c>
      <c r="AK500" s="10" t="str">
        <f>IFERROR(VLOOKUP(Form_Responses[[#This Row],[Município]],'Regiões Administrativas'!$A$1:$I$646,9,0),"")</f>
        <v>1J6tg96_6u:-</v>
      </c>
    </row>
    <row r="501" spans="1:37" ht="22.5" customHeight="1">
      <c r="A501" s="18">
        <v>46057.652589386576</v>
      </c>
      <c r="B501" s="10" t="s">
        <v>2411</v>
      </c>
      <c r="C501" s="10" t="s">
        <v>753</v>
      </c>
      <c r="D501" s="10" t="s">
        <v>2457</v>
      </c>
      <c r="E501" s="10" t="s">
        <v>2458</v>
      </c>
      <c r="G501" s="10" t="s">
        <v>2459</v>
      </c>
      <c r="H501" s="72" t="s">
        <v>2415</v>
      </c>
      <c r="I501" s="10" t="s">
        <v>81</v>
      </c>
      <c r="J501" s="16">
        <v>46284</v>
      </c>
      <c r="K501" s="16">
        <v>46285</v>
      </c>
      <c r="N501" s="10" t="s">
        <v>73</v>
      </c>
      <c r="O501" s="10" t="s">
        <v>45</v>
      </c>
      <c r="P501" s="10" t="s">
        <v>63</v>
      </c>
      <c r="Q501" s="10" t="s">
        <v>47</v>
      </c>
      <c r="R501" s="10" t="s">
        <v>74</v>
      </c>
      <c r="S501" s="19">
        <v>10000</v>
      </c>
      <c r="T501" s="19">
        <v>8000</v>
      </c>
      <c r="U501" s="19">
        <v>8000</v>
      </c>
      <c r="V501" s="19">
        <v>8000</v>
      </c>
      <c r="W501" s="10" t="s">
        <v>990</v>
      </c>
      <c r="Y501" s="10" t="s">
        <v>2421</v>
      </c>
      <c r="Z501" s="10" t="s">
        <v>66</v>
      </c>
      <c r="AA501" s="10" t="s">
        <v>67</v>
      </c>
      <c r="AB501" s="10" t="s">
        <v>66</v>
      </c>
      <c r="AC501" s="10" t="s">
        <v>68</v>
      </c>
      <c r="AD501" s="10" t="str">
        <f>IFERROR(VLOOKUP(B501,'Regiões Administrativas'!$A$1:$B$646,2,0),"")</f>
        <v>São José do Rio Preto</v>
      </c>
      <c r="AE501" s="10">
        <f>IFERROR(VLOOKUP(Form_Responses[[#This Row],[Município]],'Regiões Administrativas'!$A$1:$I$646,3,0),"")</f>
        <v>17101</v>
      </c>
      <c r="AF501" s="10">
        <f>IFERROR(VLOOKUP(Form_Responses[[#This Row],[Município]],'Regiões Administrativas'!$A$1:$I$646,4,0),"")</f>
        <v>354750205000001</v>
      </c>
      <c r="AG501" s="10">
        <f>IFERROR(VLOOKUP(Form_Responses[[#This Row],[Município]],'Regiões Administrativas'!$A$1:$I$646,4,0),"")</f>
        <v>354750205000001</v>
      </c>
      <c r="AH501" s="10">
        <f>IFERROR(VLOOKUP(B501,'Regiões Administrativas'!$A$1:$I$646,5,0),"")</f>
        <v>3547502</v>
      </c>
      <c r="AI501" s="10">
        <f>IFERROR(VLOOKUP(B501,'Regiões Administrativas'!$A$1:$I$646,6,0),"")</f>
        <v>-47.478980900000003</v>
      </c>
      <c r="AJ501" s="10">
        <f>IFERROR(VLOOKUP(B501,'Regiões Administrativas'!$A$1:$I$646,8,0),"")</f>
        <v>763.07680100000005</v>
      </c>
      <c r="AK501" s="10" t="str">
        <f>IFERROR(VLOOKUP(Form_Responses[[#This Row],[Município]],'Regiões Administrativas'!$A$1:$I$646,9,0),"")</f>
        <v>1J6tg96_6u:-</v>
      </c>
    </row>
    <row r="502" spans="1:37" ht="22.5" customHeight="1">
      <c r="A502" s="18">
        <v>46057.658032164356</v>
      </c>
      <c r="B502" s="10" t="s">
        <v>2411</v>
      </c>
      <c r="C502" s="10" t="s">
        <v>753</v>
      </c>
      <c r="D502" s="10" t="s">
        <v>2460</v>
      </c>
      <c r="E502" s="10" t="s">
        <v>2461</v>
      </c>
      <c r="G502" s="10" t="s">
        <v>2451</v>
      </c>
      <c r="H502" s="72" t="s">
        <v>2415</v>
      </c>
      <c r="I502" s="10" t="s">
        <v>81</v>
      </c>
      <c r="J502" s="16">
        <v>46284</v>
      </c>
      <c r="K502" s="16">
        <v>46285</v>
      </c>
      <c r="N502" s="10" t="s">
        <v>73</v>
      </c>
      <c r="O502" s="10" t="s">
        <v>45</v>
      </c>
      <c r="P502" s="10" t="s">
        <v>63</v>
      </c>
      <c r="Q502" s="10" t="s">
        <v>47</v>
      </c>
      <c r="R502" s="10" t="s">
        <v>74</v>
      </c>
      <c r="S502" s="19">
        <v>10000</v>
      </c>
      <c r="T502" s="19">
        <v>9600</v>
      </c>
      <c r="U502" s="19">
        <v>9500</v>
      </c>
      <c r="V502" s="19">
        <v>9000</v>
      </c>
      <c r="W502" s="10" t="s">
        <v>990</v>
      </c>
      <c r="Y502" s="10" t="s">
        <v>2421</v>
      </c>
      <c r="Z502" s="10" t="s">
        <v>66</v>
      </c>
      <c r="AA502" s="10" t="s">
        <v>67</v>
      </c>
      <c r="AB502" s="10" t="s">
        <v>66</v>
      </c>
      <c r="AC502" s="10" t="s">
        <v>68</v>
      </c>
      <c r="AD502" s="10" t="str">
        <f>IFERROR(VLOOKUP(B502,'Regiões Administrativas'!$A$1:$B$646,2,0),"")</f>
        <v>São José do Rio Preto</v>
      </c>
      <c r="AE502" s="10">
        <f>IFERROR(VLOOKUP(Form_Responses[[#This Row],[Município]],'Regiões Administrativas'!$A$1:$I$646,3,0),"")</f>
        <v>17101</v>
      </c>
      <c r="AF502" s="10">
        <f>IFERROR(VLOOKUP(Form_Responses[[#This Row],[Município]],'Regiões Administrativas'!$A$1:$I$646,4,0),"")</f>
        <v>354750205000001</v>
      </c>
      <c r="AG502" s="10">
        <f>IFERROR(VLOOKUP(Form_Responses[[#This Row],[Município]],'Regiões Administrativas'!$A$1:$I$646,4,0),"")</f>
        <v>354750205000001</v>
      </c>
      <c r="AH502" s="10">
        <f>IFERROR(VLOOKUP(B502,'Regiões Administrativas'!$A$1:$I$646,5,0),"")</f>
        <v>3547502</v>
      </c>
      <c r="AI502" s="10">
        <f>IFERROR(VLOOKUP(B502,'Regiões Administrativas'!$A$1:$I$646,6,0),"")</f>
        <v>-47.478980900000003</v>
      </c>
      <c r="AJ502" s="10">
        <f>IFERROR(VLOOKUP(B502,'Regiões Administrativas'!$A$1:$I$646,8,0),"")</f>
        <v>763.07680100000005</v>
      </c>
      <c r="AK502" s="10" t="str">
        <f>IFERROR(VLOOKUP(Form_Responses[[#This Row],[Município]],'Regiões Administrativas'!$A$1:$I$646,9,0),"")</f>
        <v>1J6tg96_6u:-</v>
      </c>
    </row>
    <row r="503" spans="1:37" ht="22.5" customHeight="1">
      <c r="A503" s="18">
        <v>46057.661991006942</v>
      </c>
      <c r="B503" s="10" t="s">
        <v>2411</v>
      </c>
      <c r="C503" s="10" t="s">
        <v>753</v>
      </c>
      <c r="D503" s="10" t="s">
        <v>2462</v>
      </c>
      <c r="E503" s="10" t="s">
        <v>2463</v>
      </c>
      <c r="G503" s="10" t="s">
        <v>2464</v>
      </c>
      <c r="H503" s="72" t="s">
        <v>2415</v>
      </c>
      <c r="I503" s="10" t="s">
        <v>81</v>
      </c>
      <c r="J503" s="16">
        <v>46289</v>
      </c>
      <c r="K503" s="16">
        <v>46291</v>
      </c>
      <c r="N503" s="10" t="s">
        <v>73</v>
      </c>
      <c r="O503" s="10" t="s">
        <v>45</v>
      </c>
      <c r="P503" s="10" t="s">
        <v>63</v>
      </c>
      <c r="Q503" s="10" t="s">
        <v>47</v>
      </c>
      <c r="R503" s="10" t="s">
        <v>256</v>
      </c>
      <c r="S503" s="19">
        <v>2300</v>
      </c>
      <c r="T503" s="19">
        <v>2000</v>
      </c>
      <c r="U503" s="19">
        <v>2000</v>
      </c>
      <c r="V503" s="19">
        <v>2000</v>
      </c>
      <c r="W503" s="10" t="s">
        <v>181</v>
      </c>
      <c r="Y503" s="10" t="s">
        <v>2421</v>
      </c>
      <c r="Z503" s="10" t="s">
        <v>66</v>
      </c>
      <c r="AA503" s="10" t="s">
        <v>67</v>
      </c>
      <c r="AB503" s="10" t="s">
        <v>66</v>
      </c>
      <c r="AC503" s="10" t="s">
        <v>68</v>
      </c>
      <c r="AD503" s="10" t="str">
        <f>IFERROR(VLOOKUP(B503,'Regiões Administrativas'!$A$1:$B$646,2,0),"")</f>
        <v>São José do Rio Preto</v>
      </c>
      <c r="AE503" s="10">
        <f>IFERROR(VLOOKUP(Form_Responses[[#This Row],[Município]],'Regiões Administrativas'!$A$1:$I$646,3,0),"")</f>
        <v>17101</v>
      </c>
      <c r="AF503" s="10">
        <f>IFERROR(VLOOKUP(Form_Responses[[#This Row],[Município]],'Regiões Administrativas'!$A$1:$I$646,4,0),"")</f>
        <v>354750205000001</v>
      </c>
      <c r="AG503" s="10">
        <f>IFERROR(VLOOKUP(Form_Responses[[#This Row],[Município]],'Regiões Administrativas'!$A$1:$I$646,4,0),"")</f>
        <v>354750205000001</v>
      </c>
      <c r="AH503" s="10">
        <f>IFERROR(VLOOKUP(B503,'Regiões Administrativas'!$A$1:$I$646,5,0),"")</f>
        <v>3547502</v>
      </c>
      <c r="AI503" s="10">
        <f>IFERROR(VLOOKUP(B503,'Regiões Administrativas'!$A$1:$I$646,6,0),"")</f>
        <v>-47.478980900000003</v>
      </c>
      <c r="AJ503" s="10">
        <f>IFERROR(VLOOKUP(B503,'Regiões Administrativas'!$A$1:$I$646,8,0),"")</f>
        <v>763.07680100000005</v>
      </c>
      <c r="AK503" s="10" t="str">
        <f>IFERROR(VLOOKUP(Form_Responses[[#This Row],[Município]],'Regiões Administrativas'!$A$1:$I$646,9,0),"")</f>
        <v>1J6tg96_6u:-</v>
      </c>
    </row>
    <row r="504" spans="1:37" ht="22.5" customHeight="1">
      <c r="A504" s="18">
        <v>46057.665398067125</v>
      </c>
      <c r="B504" s="10" t="s">
        <v>2411</v>
      </c>
      <c r="C504" s="10" t="s">
        <v>753</v>
      </c>
      <c r="D504" s="10" t="s">
        <v>2465</v>
      </c>
      <c r="E504" s="10" t="s">
        <v>2466</v>
      </c>
      <c r="G504" s="10" t="s">
        <v>2467</v>
      </c>
      <c r="I504" s="10" t="s">
        <v>162</v>
      </c>
      <c r="J504" s="16">
        <v>46369</v>
      </c>
      <c r="K504" s="16">
        <v>46379</v>
      </c>
      <c r="N504" s="10" t="s">
        <v>44</v>
      </c>
      <c r="O504" s="10" t="s">
        <v>45</v>
      </c>
      <c r="P504" s="10" t="s">
        <v>251</v>
      </c>
      <c r="Q504" s="10" t="s">
        <v>47</v>
      </c>
      <c r="R504" s="10" t="s">
        <v>1002</v>
      </c>
      <c r="S504" s="19">
        <v>5000</v>
      </c>
      <c r="T504" s="19">
        <v>5000</v>
      </c>
      <c r="U504" s="19">
        <v>4500</v>
      </c>
      <c r="V504" s="19">
        <v>4500</v>
      </c>
      <c r="W504" s="10" t="s">
        <v>990</v>
      </c>
      <c r="Y504" s="10" t="s">
        <v>2421</v>
      </c>
      <c r="Z504" s="10" t="s">
        <v>66</v>
      </c>
      <c r="AA504" s="10" t="s">
        <v>67</v>
      </c>
      <c r="AB504" s="10" t="s">
        <v>66</v>
      </c>
      <c r="AC504" s="10" t="s">
        <v>68</v>
      </c>
      <c r="AD504" s="10" t="str">
        <f>IFERROR(VLOOKUP(B504,'Regiões Administrativas'!$A$1:$B$646,2,0),"")</f>
        <v>São José do Rio Preto</v>
      </c>
      <c r="AE504" s="10">
        <f>IFERROR(VLOOKUP(Form_Responses[[#This Row],[Município]],'Regiões Administrativas'!$A$1:$I$646,3,0),"")</f>
        <v>17101</v>
      </c>
      <c r="AF504" s="10">
        <f>IFERROR(VLOOKUP(Form_Responses[[#This Row],[Município]],'Regiões Administrativas'!$A$1:$I$646,4,0),"")</f>
        <v>354750205000001</v>
      </c>
      <c r="AG504" s="10">
        <f>IFERROR(VLOOKUP(Form_Responses[[#This Row],[Município]],'Regiões Administrativas'!$A$1:$I$646,4,0),"")</f>
        <v>354750205000001</v>
      </c>
      <c r="AH504" s="10">
        <f>IFERROR(VLOOKUP(B504,'Regiões Administrativas'!$A$1:$I$646,5,0),"")</f>
        <v>3547502</v>
      </c>
      <c r="AI504" s="10">
        <f>IFERROR(VLOOKUP(B504,'Regiões Administrativas'!$A$1:$I$646,6,0),"")</f>
        <v>-47.478980900000003</v>
      </c>
      <c r="AJ504" s="10">
        <f>IFERROR(VLOOKUP(B504,'Regiões Administrativas'!$A$1:$I$646,8,0),"")</f>
        <v>763.07680100000005</v>
      </c>
      <c r="AK504" s="10" t="str">
        <f>IFERROR(VLOOKUP(Form_Responses[[#This Row],[Município]],'Regiões Administrativas'!$A$1:$I$646,9,0),"")</f>
        <v>1J6tg96_6u:-</v>
      </c>
    </row>
    <row r="505" spans="1:37" ht="22.5" customHeight="1">
      <c r="A505" s="18">
        <v>46058.496499548608</v>
      </c>
      <c r="B505" s="10" t="s">
        <v>2468</v>
      </c>
      <c r="C505" s="10" t="s">
        <v>1236</v>
      </c>
      <c r="D505" s="10" t="s">
        <v>2469</v>
      </c>
      <c r="E505" s="10" t="s">
        <v>2470</v>
      </c>
      <c r="G505" s="10" t="s">
        <v>2471</v>
      </c>
      <c r="H505" s="72" t="s">
        <v>2472</v>
      </c>
      <c r="I505" s="10" t="s">
        <v>72</v>
      </c>
      <c r="J505" s="16">
        <v>46227</v>
      </c>
      <c r="K505" s="16">
        <v>46229</v>
      </c>
      <c r="L505" s="17">
        <v>0.54166666666424135</v>
      </c>
      <c r="M505" s="17">
        <v>0.875</v>
      </c>
      <c r="N505" s="10" t="s">
        <v>73</v>
      </c>
      <c r="O505" s="10" t="s">
        <v>45</v>
      </c>
      <c r="P505" s="10" t="s">
        <v>63</v>
      </c>
      <c r="Q505" s="10" t="s">
        <v>47</v>
      </c>
      <c r="R505" s="10" t="s">
        <v>74</v>
      </c>
      <c r="S505" s="19">
        <v>30000</v>
      </c>
      <c r="T505" s="19">
        <v>24000</v>
      </c>
      <c r="U505" s="19">
        <v>30000</v>
      </c>
      <c r="W505" s="10" t="s">
        <v>2473</v>
      </c>
      <c r="Y505" s="10" t="s">
        <v>2474</v>
      </c>
      <c r="Z505" s="10" t="s">
        <v>1116</v>
      </c>
      <c r="AA505" s="10" t="s">
        <v>1541</v>
      </c>
      <c r="AB505" s="10" t="s">
        <v>66</v>
      </c>
      <c r="AC505" s="10" t="s">
        <v>68</v>
      </c>
      <c r="AD505" s="10" t="str">
        <f>IFERROR(VLOOKUP(B505,'Regiões Administrativas'!$A$1:$B$646,2,0),"")</f>
        <v>RMSP</v>
      </c>
      <c r="AE505" s="10">
        <f>IFERROR(VLOOKUP(Form_Responses[[#This Row],[Município]],'Regiões Administrativas'!$A$1:$I$646,3,0),"")</f>
        <v>15917</v>
      </c>
      <c r="AF505" s="10">
        <f>IFERROR(VLOOKUP(Form_Responses[[#This Row],[Município]],'Regiões Administrativas'!$A$1:$I$646,4,0),"")</f>
        <v>351640805000001</v>
      </c>
      <c r="AG505" s="10">
        <f>IFERROR(VLOOKUP(Form_Responses[[#This Row],[Município]],'Regiões Administrativas'!$A$1:$I$646,4,0),"")</f>
        <v>351640805000001</v>
      </c>
      <c r="AH505" s="10">
        <f>IFERROR(VLOOKUP(B505,'Regiões Administrativas'!$A$1:$I$646,5,0),"")</f>
        <v>3516408</v>
      </c>
      <c r="AI505" s="10">
        <f>IFERROR(VLOOKUP(B505,'Regiões Administrativas'!$A$1:$I$646,6,0),"")</f>
        <v>-46.727874700000001</v>
      </c>
      <c r="AJ505" s="10">
        <f>IFERROR(VLOOKUP(B505,'Regiões Administrativas'!$A$1:$I$646,8,0),"")</f>
        <v>747.305654</v>
      </c>
      <c r="AK505" s="10" t="str">
        <f>IFERROR(VLOOKUP(Form_Responses[[#This Row],[Município]],'Regiões Administrativas'!$A$1:$I$646,9,0),"")</f>
        <v>1J6tnLt.yS8f</v>
      </c>
    </row>
    <row r="506" spans="1:37" ht="22.5" customHeight="1">
      <c r="A506" s="18">
        <v>46059.398144780091</v>
      </c>
      <c r="B506" s="10" t="s">
        <v>2468</v>
      </c>
      <c r="C506" s="10" t="s">
        <v>1236</v>
      </c>
      <c r="D506" s="10" t="s">
        <v>2475</v>
      </c>
      <c r="E506" s="10" t="s">
        <v>2476</v>
      </c>
      <c r="G506" s="10" t="s">
        <v>2477</v>
      </c>
      <c r="I506" s="10" t="s">
        <v>197</v>
      </c>
      <c r="J506" s="16">
        <v>46356</v>
      </c>
      <c r="K506" s="16">
        <v>46356</v>
      </c>
      <c r="L506" s="17">
        <v>0.41666666666424135</v>
      </c>
      <c r="M506" s="17">
        <v>0.83333333333575865</v>
      </c>
      <c r="N506" s="10" t="s">
        <v>110</v>
      </c>
      <c r="O506" s="10" t="s">
        <v>99</v>
      </c>
      <c r="P506" s="10" t="s">
        <v>99</v>
      </c>
      <c r="Q506" s="10" t="s">
        <v>47</v>
      </c>
      <c r="R506" s="10" t="s">
        <v>74</v>
      </c>
      <c r="S506" s="19">
        <v>20000</v>
      </c>
      <c r="T506" s="19">
        <v>15000</v>
      </c>
      <c r="U506" s="10">
        <v>0</v>
      </c>
      <c r="V506" s="19">
        <v>35000</v>
      </c>
      <c r="W506" s="10" t="s">
        <v>181</v>
      </c>
      <c r="Y506" s="72" t="s">
        <v>2478</v>
      </c>
      <c r="Z506" s="10" t="s">
        <v>1116</v>
      </c>
      <c r="AA506" s="10" t="s">
        <v>455</v>
      </c>
      <c r="AB506" s="10" t="s">
        <v>66</v>
      </c>
      <c r="AC506" s="10" t="s">
        <v>68</v>
      </c>
      <c r="AD506" s="10" t="str">
        <f>IFERROR(VLOOKUP(B506,'Regiões Administrativas'!$A$1:$B$646,2,0),"")</f>
        <v>RMSP</v>
      </c>
      <c r="AE506" s="10">
        <f>IFERROR(VLOOKUP(Form_Responses[[#This Row],[Município]],'Regiões Administrativas'!$A$1:$I$646,3,0),"")</f>
        <v>15917</v>
      </c>
      <c r="AF506" s="10">
        <f>IFERROR(VLOOKUP(Form_Responses[[#This Row],[Município]],'Regiões Administrativas'!$A$1:$I$646,4,0),"")</f>
        <v>351640805000001</v>
      </c>
      <c r="AG506" s="10">
        <f>IFERROR(VLOOKUP(Form_Responses[[#This Row],[Município]],'Regiões Administrativas'!$A$1:$I$646,4,0),"")</f>
        <v>351640805000001</v>
      </c>
      <c r="AH506" s="10">
        <f>IFERROR(VLOOKUP(B506,'Regiões Administrativas'!$A$1:$I$646,5,0),"")</f>
        <v>3516408</v>
      </c>
      <c r="AI506" s="10">
        <f>IFERROR(VLOOKUP(B506,'Regiões Administrativas'!$A$1:$I$646,6,0),"")</f>
        <v>-46.727874700000001</v>
      </c>
      <c r="AJ506" s="10">
        <f>IFERROR(VLOOKUP(B506,'Regiões Administrativas'!$A$1:$I$646,8,0),"")</f>
        <v>747.305654</v>
      </c>
      <c r="AK506" s="10" t="str">
        <f>IFERROR(VLOOKUP(Form_Responses[[#This Row],[Município]],'Regiões Administrativas'!$A$1:$I$646,9,0),"")</f>
        <v>1J6tnLt.yS8f</v>
      </c>
    </row>
    <row r="507" spans="1:37" ht="22.5" customHeight="1">
      <c r="A507" s="15">
        <v>46062.370515682866</v>
      </c>
      <c r="B507" s="10" t="s">
        <v>2479</v>
      </c>
      <c r="C507" s="10" t="s">
        <v>1933</v>
      </c>
      <c r="D507" s="10" t="s">
        <v>2480</v>
      </c>
      <c r="E507" s="10" t="s">
        <v>2481</v>
      </c>
      <c r="G507" s="10" t="s">
        <v>2482</v>
      </c>
      <c r="H507" s="72" t="s">
        <v>2483</v>
      </c>
      <c r="I507" s="10" t="s">
        <v>89</v>
      </c>
      <c r="J507" s="16">
        <v>46066</v>
      </c>
      <c r="K507" s="16">
        <v>46066</v>
      </c>
      <c r="L507" s="17">
        <v>0.75</v>
      </c>
      <c r="M507" s="17">
        <v>0.91666666666424135</v>
      </c>
      <c r="N507" s="10" t="s">
        <v>44</v>
      </c>
      <c r="O507" s="10" t="s">
        <v>142</v>
      </c>
      <c r="P507" s="10" t="s">
        <v>90</v>
      </c>
      <c r="Q507" s="10" t="s">
        <v>47</v>
      </c>
      <c r="R507" s="10" t="s">
        <v>74</v>
      </c>
      <c r="S507" s="10">
        <v>3000</v>
      </c>
      <c r="W507" s="10" t="s">
        <v>2484</v>
      </c>
      <c r="Y507" s="10" t="s">
        <v>2485</v>
      </c>
      <c r="Z507" s="10" t="s">
        <v>76</v>
      </c>
      <c r="AA507" s="10" t="s">
        <v>67</v>
      </c>
      <c r="AB507" s="10" t="s">
        <v>66</v>
      </c>
      <c r="AC507" s="10" t="s">
        <v>68</v>
      </c>
      <c r="AD507" s="10" t="str">
        <f>IFERROR(VLOOKUP(B507,'Regiões Administrativas'!$A$1:$B$646,2,0),"")</f>
        <v>Araçatuba</v>
      </c>
      <c r="AE507" s="10">
        <f>IFERROR(VLOOKUP(Form_Responses[[#This Row],[Município]],'Regiões Administrativas'!$A$1:$I$646,3,0),"")</f>
        <v>15410</v>
      </c>
      <c r="AF507" s="10">
        <f>IFERROR(VLOOKUP(Form_Responses[[#This Row],[Município]],'Regiões Administrativas'!$A$1:$I$646,4,0),"")</f>
        <v>350280405000001</v>
      </c>
      <c r="AG507" s="10">
        <f>IFERROR(VLOOKUP(Form_Responses[[#This Row],[Município]],'Regiões Administrativas'!$A$1:$I$646,4,0),"")</f>
        <v>350280405000001</v>
      </c>
      <c r="AH507" s="10">
        <f>IFERROR(VLOOKUP(B507,'Regiões Administrativas'!$A$1:$I$646,5,0),"")</f>
        <v>3502804</v>
      </c>
      <c r="AI507" s="10">
        <f>IFERROR(VLOOKUP(B507,'Regiões Administrativas'!$A$1:$I$646,6,0),"")</f>
        <v>-50.439226099999999</v>
      </c>
      <c r="AJ507" s="10">
        <f>IFERROR(VLOOKUP(B507,'Regiões Administrativas'!$A$1:$I$646,8,0),"")</f>
        <v>403.10182200000003</v>
      </c>
      <c r="AK507" s="10" t="str">
        <f>IFERROR(VLOOKUP(Form_Responses[[#This Row],[Município]],'Regiões Administrativas'!$A$1:$I$646,9,0),"")</f>
        <v>1J6Rb\{zgeD&gt;</v>
      </c>
    </row>
    <row r="508" spans="1:37" ht="22.5" customHeight="1">
      <c r="A508" s="15">
        <v>46062.373664259256</v>
      </c>
      <c r="B508" s="10" t="s">
        <v>2479</v>
      </c>
      <c r="C508" s="10" t="s">
        <v>1933</v>
      </c>
      <c r="D508" s="10" t="s">
        <v>2480</v>
      </c>
      <c r="E508" s="10" t="s">
        <v>2486</v>
      </c>
      <c r="G508" s="10" t="s">
        <v>2487</v>
      </c>
      <c r="H508" s="72" t="s">
        <v>2483</v>
      </c>
      <c r="I508" s="10" t="s">
        <v>89</v>
      </c>
      <c r="J508" s="16">
        <v>46066</v>
      </c>
      <c r="K508" s="16">
        <v>46066</v>
      </c>
      <c r="L508" s="17">
        <v>0.75</v>
      </c>
      <c r="M508" s="17">
        <v>0.91666666666424135</v>
      </c>
      <c r="N508" s="10" t="s">
        <v>44</v>
      </c>
      <c r="O508" s="10" t="s">
        <v>142</v>
      </c>
      <c r="P508" s="10" t="s">
        <v>90</v>
      </c>
      <c r="Q508" s="10" t="s">
        <v>47</v>
      </c>
      <c r="R508" s="10" t="s">
        <v>74</v>
      </c>
      <c r="S508" s="10">
        <v>3000</v>
      </c>
      <c r="W508" s="10" t="s">
        <v>2484</v>
      </c>
      <c r="Y508" s="10" t="s">
        <v>2488</v>
      </c>
      <c r="Z508" s="10" t="s">
        <v>76</v>
      </c>
      <c r="AA508" s="10" t="s">
        <v>67</v>
      </c>
      <c r="AB508" s="10" t="s">
        <v>66</v>
      </c>
      <c r="AC508" s="10" t="s">
        <v>68</v>
      </c>
      <c r="AD508" s="10" t="str">
        <f>IFERROR(VLOOKUP(B508,'Regiões Administrativas'!$A$1:$B$646,2,0),"")</f>
        <v>Araçatuba</v>
      </c>
      <c r="AE508" s="10">
        <f>IFERROR(VLOOKUP(Form_Responses[[#This Row],[Município]],'Regiões Administrativas'!$A$1:$I$646,3,0),"")</f>
        <v>15410</v>
      </c>
      <c r="AF508" s="10">
        <f>IFERROR(VLOOKUP(Form_Responses[[#This Row],[Município]],'Regiões Administrativas'!$A$1:$I$646,4,0),"")</f>
        <v>350280405000001</v>
      </c>
      <c r="AG508" s="10">
        <f>IFERROR(VLOOKUP(Form_Responses[[#This Row],[Município]],'Regiões Administrativas'!$A$1:$I$646,4,0),"")</f>
        <v>350280405000001</v>
      </c>
      <c r="AH508" s="10">
        <f>IFERROR(VLOOKUP(B508,'Regiões Administrativas'!$A$1:$I$646,5,0),"")</f>
        <v>3502804</v>
      </c>
      <c r="AI508" s="10">
        <f>IFERROR(VLOOKUP(B508,'Regiões Administrativas'!$A$1:$I$646,6,0),"")</f>
        <v>-50.439226099999999</v>
      </c>
      <c r="AJ508" s="10">
        <f>IFERROR(VLOOKUP(B508,'Regiões Administrativas'!$A$1:$I$646,8,0),"")</f>
        <v>403.10182200000003</v>
      </c>
      <c r="AK508" s="10" t="str">
        <f>IFERROR(VLOOKUP(Form_Responses[[#This Row],[Município]],'Regiões Administrativas'!$A$1:$I$646,9,0),"")</f>
        <v>1J6Rb\{zgeD&gt;</v>
      </c>
    </row>
    <row r="509" spans="1:37" ht="22.5" customHeight="1">
      <c r="A509" s="18">
        <v>46062.524494699072</v>
      </c>
      <c r="B509" s="10" t="s">
        <v>1989</v>
      </c>
      <c r="C509" s="10" t="s">
        <v>426</v>
      </c>
      <c r="D509" s="10" t="s">
        <v>2489</v>
      </c>
      <c r="E509" s="10" t="s">
        <v>2490</v>
      </c>
      <c r="G509" s="10" t="s">
        <v>2491</v>
      </c>
      <c r="I509" s="10" t="s">
        <v>72</v>
      </c>
      <c r="J509" s="16">
        <v>46228</v>
      </c>
      <c r="K509" s="16">
        <v>46229</v>
      </c>
      <c r="L509" s="17">
        <v>0.83333333333575865</v>
      </c>
      <c r="M509" s="17">
        <v>8.3333333335758653E-2</v>
      </c>
      <c r="N509" s="10" t="s">
        <v>44</v>
      </c>
      <c r="O509" s="10" t="s">
        <v>45</v>
      </c>
      <c r="P509" s="10" t="s">
        <v>135</v>
      </c>
      <c r="Q509" s="10" t="s">
        <v>47</v>
      </c>
      <c r="R509" s="10" t="s">
        <v>256</v>
      </c>
      <c r="S509" s="10">
        <v>1000</v>
      </c>
      <c r="T509" s="10">
        <v>800</v>
      </c>
      <c r="U509" s="10">
        <v>600</v>
      </c>
      <c r="W509" s="10" t="s">
        <v>1993</v>
      </c>
      <c r="Y509" s="10" t="s">
        <v>1994</v>
      </c>
      <c r="Z509" s="10" t="s">
        <v>76</v>
      </c>
      <c r="AA509" s="10" t="s">
        <v>225</v>
      </c>
      <c r="AB509" s="10" t="s">
        <v>66</v>
      </c>
      <c r="AC509" s="10" t="s">
        <v>68</v>
      </c>
      <c r="AD509" s="10" t="str">
        <f>IFERROR(VLOOKUP(B509,'Regiões Administrativas'!$A$1:$B$646,2,0),"")</f>
        <v>Araçatuba</v>
      </c>
      <c r="AE509" s="10">
        <f>IFERROR(VLOOKUP(Form_Responses[[#This Row],[Município]],'Regiões Administrativas'!$A$1:$I$646,3,0),"")</f>
        <v>15760</v>
      </c>
      <c r="AF509" s="10">
        <f>IFERROR(VLOOKUP(Form_Responses[[#This Row],[Município]],'Regiões Administrativas'!$A$1:$I$646,4,0),"")</f>
        <v>351100305000001</v>
      </c>
      <c r="AG509" s="10">
        <f>IFERROR(VLOOKUP(Form_Responses[[#This Row],[Município]],'Regiões Administrativas'!$A$1:$I$646,4,0),"")</f>
        <v>351100305000001</v>
      </c>
      <c r="AH509" s="10">
        <f>IFERROR(VLOOKUP(B509,'Regiões Administrativas'!$A$1:$I$646,5,0),"")</f>
        <v>3511003</v>
      </c>
      <c r="AI509" s="10">
        <f>IFERROR(VLOOKUP(B509,'Regiões Administrativas'!$A$1:$I$646,6,0),"")</f>
        <v>-51.489407100000001</v>
      </c>
      <c r="AJ509" s="10">
        <f>IFERROR(VLOOKUP(B509,'Regiões Administrativas'!$A$1:$I$646,8,0),"")</f>
        <v>378.459881</v>
      </c>
      <c r="AK509" s="10" t="str">
        <f>IFERROR(VLOOKUP(Form_Responses[[#This Row],[Município]],'Regiões Administrativas'!$A$1:$I$646,9,0),"")</f>
        <v>1J6R{jP^_)=p</v>
      </c>
    </row>
    <row r="510" spans="1:37" ht="22.5" customHeight="1">
      <c r="A510" s="15">
        <v>46062.528447291668</v>
      </c>
      <c r="B510" s="10" t="s">
        <v>1989</v>
      </c>
      <c r="C510" s="10" t="s">
        <v>426</v>
      </c>
      <c r="D510" s="10" t="s">
        <v>2492</v>
      </c>
      <c r="E510" s="10" t="s">
        <v>2493</v>
      </c>
      <c r="G510" s="10" t="s">
        <v>2491</v>
      </c>
      <c r="I510" s="10" t="s">
        <v>109</v>
      </c>
      <c r="J510" s="16">
        <v>46095</v>
      </c>
      <c r="K510" s="16">
        <v>46095</v>
      </c>
      <c r="L510" s="17">
        <v>0.33333333333575865</v>
      </c>
      <c r="M510" s="17">
        <v>0.66666666666424135</v>
      </c>
      <c r="N510" s="10" t="s">
        <v>61</v>
      </c>
      <c r="O510" s="10" t="s">
        <v>436</v>
      </c>
      <c r="P510" s="10" t="s">
        <v>63</v>
      </c>
      <c r="Q510" s="10" t="s">
        <v>47</v>
      </c>
      <c r="R510" s="10" t="s">
        <v>1002</v>
      </c>
      <c r="S510" s="10">
        <v>300</v>
      </c>
      <c r="W510" s="10" t="s">
        <v>1993</v>
      </c>
      <c r="Y510" s="10" t="s">
        <v>1994</v>
      </c>
      <c r="Z510" s="10" t="s">
        <v>66</v>
      </c>
      <c r="AA510" s="10" t="s">
        <v>66</v>
      </c>
      <c r="AB510" s="10" t="s">
        <v>66</v>
      </c>
      <c r="AC510" s="10" t="s">
        <v>68</v>
      </c>
      <c r="AD510" s="10" t="str">
        <f>IFERROR(VLOOKUP(B510,'Regiões Administrativas'!$A$1:$B$646,2,0),"")</f>
        <v>Araçatuba</v>
      </c>
      <c r="AE510" s="10">
        <f>IFERROR(VLOOKUP(Form_Responses[[#This Row],[Município]],'Regiões Administrativas'!$A$1:$I$646,3,0),"")</f>
        <v>15760</v>
      </c>
      <c r="AF510" s="10">
        <f>IFERROR(VLOOKUP(Form_Responses[[#This Row],[Município]],'Regiões Administrativas'!$A$1:$I$646,4,0),"")</f>
        <v>351100305000001</v>
      </c>
      <c r="AG510" s="10">
        <f>IFERROR(VLOOKUP(Form_Responses[[#This Row],[Município]],'Regiões Administrativas'!$A$1:$I$646,4,0),"")</f>
        <v>351100305000001</v>
      </c>
      <c r="AH510" s="10">
        <f>IFERROR(VLOOKUP(B510,'Regiões Administrativas'!$A$1:$I$646,5,0),"")</f>
        <v>3511003</v>
      </c>
      <c r="AI510" s="10">
        <f>IFERROR(VLOOKUP(B510,'Regiões Administrativas'!$A$1:$I$646,6,0),"")</f>
        <v>-51.489407100000001</v>
      </c>
      <c r="AJ510" s="10">
        <f>IFERROR(VLOOKUP(B510,'Regiões Administrativas'!$A$1:$I$646,8,0),"")</f>
        <v>378.459881</v>
      </c>
      <c r="AK510" s="10" t="str">
        <f>IFERROR(VLOOKUP(Form_Responses[[#This Row],[Município]],'Regiões Administrativas'!$A$1:$I$646,9,0),"")</f>
        <v>1J6R{jP^_)=p</v>
      </c>
    </row>
    <row r="511" spans="1:37" ht="22.5" customHeight="1">
      <c r="A511" s="15">
        <v>46064.383690706018</v>
      </c>
      <c r="B511" s="10" t="s">
        <v>1534</v>
      </c>
      <c r="C511" s="10" t="s">
        <v>1210</v>
      </c>
      <c r="D511" s="10" t="s">
        <v>2494</v>
      </c>
      <c r="E511" s="10" t="s">
        <v>2495</v>
      </c>
      <c r="G511" s="10" t="s">
        <v>2496</v>
      </c>
      <c r="H511" s="72" t="s">
        <v>2497</v>
      </c>
      <c r="I511" s="10" t="s">
        <v>128</v>
      </c>
      <c r="J511" s="16">
        <v>46130</v>
      </c>
      <c r="K511" s="16">
        <v>46130</v>
      </c>
      <c r="N511" s="10" t="s">
        <v>61</v>
      </c>
      <c r="O511" s="10" t="s">
        <v>45</v>
      </c>
      <c r="P511" s="10" t="s">
        <v>63</v>
      </c>
      <c r="Q511" s="10" t="s">
        <v>47</v>
      </c>
      <c r="R511" s="10" t="s">
        <v>48</v>
      </c>
      <c r="S511" s="10">
        <v>1000</v>
      </c>
      <c r="W511" s="10" t="s">
        <v>2498</v>
      </c>
      <c r="Y511" s="10" t="s">
        <v>2499</v>
      </c>
      <c r="Z511" s="10" t="s">
        <v>1116</v>
      </c>
      <c r="AA511" s="10" t="s">
        <v>2500</v>
      </c>
      <c r="AB511" s="10" t="s">
        <v>66</v>
      </c>
      <c r="AC511" s="10" t="s">
        <v>68</v>
      </c>
      <c r="AD511" s="10" t="str">
        <f>IFERROR(VLOOKUP(B511,'Regiões Administrativas'!$A$1:$B$646,2,0),"")</f>
        <v>São José dos Campos</v>
      </c>
      <c r="AE511" s="10">
        <f>IFERROR(VLOOKUP(Form_Responses[[#This Row],[Município]],'Regiões Administrativas'!$A$1:$I$646,3,0),"")</f>
        <v>15721</v>
      </c>
      <c r="AF511" s="10">
        <f>IFERROR(VLOOKUP(Form_Responses[[#This Row],[Município]],'Regiões Administrativas'!$A$1:$I$646,4,0),"")</f>
        <v>350970005000001</v>
      </c>
      <c r="AG511" s="10">
        <f>IFERROR(VLOOKUP(Form_Responses[[#This Row],[Município]],'Regiões Administrativas'!$A$1:$I$646,4,0),"")</f>
        <v>350970005000001</v>
      </c>
      <c r="AH511" s="10">
        <f>IFERROR(VLOOKUP(B511,'Regiões Administrativas'!$A$1:$I$646,5,0),"")</f>
        <v>3509700</v>
      </c>
      <c r="AI511" s="10">
        <f>IFERROR(VLOOKUP(B511,'Regiões Administrativas'!$A$1:$I$646,6,0),"")</f>
        <v>-45.589201699999997</v>
      </c>
      <c r="AJ511" s="10">
        <f>IFERROR(VLOOKUP(B511,'Regiões Administrativas'!$A$1:$I$646,8,0),"")</f>
        <v>1639.1545000000001</v>
      </c>
      <c r="AK511" s="10" t="str">
        <f>IFERROR(VLOOKUP(Form_Responses[[#This Row],[Município]],'Regiões Administrativas'!$A$1:$I$646,9,0),"")</f>
        <v>1J6trlyb{Ztf</v>
      </c>
    </row>
    <row r="512" spans="1:37" ht="22.5" customHeight="1">
      <c r="A512" s="15">
        <v>46064.416547210647</v>
      </c>
      <c r="B512" s="10" t="s">
        <v>1534</v>
      </c>
      <c r="C512" s="10" t="s">
        <v>1210</v>
      </c>
      <c r="D512" s="10" t="s">
        <v>2501</v>
      </c>
      <c r="E512" s="10" t="s">
        <v>2502</v>
      </c>
      <c r="G512" s="10" t="s">
        <v>2503</v>
      </c>
      <c r="H512" s="72" t="s">
        <v>2504</v>
      </c>
      <c r="I512" s="10" t="s">
        <v>128</v>
      </c>
      <c r="J512" s="16">
        <v>46131</v>
      </c>
      <c r="K512" s="16">
        <v>46131</v>
      </c>
      <c r="L512" s="17">
        <v>0.41666666666424135</v>
      </c>
      <c r="N512" s="10" t="s">
        <v>73</v>
      </c>
      <c r="O512" s="10" t="s">
        <v>45</v>
      </c>
      <c r="P512" s="10" t="s">
        <v>63</v>
      </c>
      <c r="Q512" s="10" t="s">
        <v>47</v>
      </c>
      <c r="R512" s="10" t="s">
        <v>74</v>
      </c>
      <c r="S512" s="10">
        <v>5000</v>
      </c>
      <c r="W512" s="10" t="s">
        <v>2505</v>
      </c>
      <c r="Y512" s="10" t="s">
        <v>2334</v>
      </c>
      <c r="Z512" s="10" t="s">
        <v>66</v>
      </c>
      <c r="AA512" s="10" t="s">
        <v>66</v>
      </c>
      <c r="AB512" s="10" t="s">
        <v>66</v>
      </c>
      <c r="AC512" s="10" t="s">
        <v>68</v>
      </c>
      <c r="AD512" s="10" t="str">
        <f>IFERROR(VLOOKUP(B512,'Regiões Administrativas'!$A$1:$B$646,2,0),"")</f>
        <v>São José dos Campos</v>
      </c>
      <c r="AE512" s="10">
        <f>IFERROR(VLOOKUP(Form_Responses[[#This Row],[Município]],'Regiões Administrativas'!$A$1:$I$646,3,0),"")</f>
        <v>15721</v>
      </c>
      <c r="AF512" s="10">
        <f>IFERROR(VLOOKUP(Form_Responses[[#This Row],[Município]],'Regiões Administrativas'!$A$1:$I$646,4,0),"")</f>
        <v>350970005000001</v>
      </c>
      <c r="AG512" s="10">
        <f>IFERROR(VLOOKUP(Form_Responses[[#This Row],[Município]],'Regiões Administrativas'!$A$1:$I$646,4,0),"")</f>
        <v>350970005000001</v>
      </c>
      <c r="AH512" s="10">
        <f>IFERROR(VLOOKUP(B512,'Regiões Administrativas'!$A$1:$I$646,5,0),"")</f>
        <v>3509700</v>
      </c>
      <c r="AI512" s="10">
        <f>IFERROR(VLOOKUP(B512,'Regiões Administrativas'!$A$1:$I$646,6,0),"")</f>
        <v>-45.589201699999997</v>
      </c>
      <c r="AJ512" s="10">
        <f>IFERROR(VLOOKUP(B512,'Regiões Administrativas'!$A$1:$I$646,8,0),"")</f>
        <v>1639.1545000000001</v>
      </c>
      <c r="AK512" s="10" t="str">
        <f>IFERROR(VLOOKUP(Form_Responses[[#This Row],[Município]],'Regiões Administrativas'!$A$1:$I$646,9,0),"")</f>
        <v>1J6trlyb{Ztf</v>
      </c>
    </row>
    <row r="513" spans="1:37" ht="22.5" customHeight="1">
      <c r="A513" s="15">
        <v>46064.420538506944</v>
      </c>
      <c r="B513" s="10" t="s">
        <v>1534</v>
      </c>
      <c r="C513" s="10" t="s">
        <v>1210</v>
      </c>
      <c r="D513" s="10" t="s">
        <v>2506</v>
      </c>
      <c r="E513" s="10" t="s">
        <v>2507</v>
      </c>
      <c r="G513" s="10" t="s">
        <v>2508</v>
      </c>
      <c r="H513" s="72" t="s">
        <v>2509</v>
      </c>
      <c r="I513" s="10" t="s">
        <v>128</v>
      </c>
      <c r="J513" s="16">
        <v>46141</v>
      </c>
      <c r="K513" s="16">
        <v>46141</v>
      </c>
      <c r="L513" s="17">
        <v>0.375</v>
      </c>
      <c r="N513" s="10" t="s">
        <v>110</v>
      </c>
      <c r="O513" s="10" t="s">
        <v>99</v>
      </c>
      <c r="P513" s="10" t="s">
        <v>99</v>
      </c>
      <c r="Q513" s="10" t="s">
        <v>47</v>
      </c>
      <c r="R513" s="10" t="s">
        <v>74</v>
      </c>
      <c r="S513" s="10">
        <v>10000</v>
      </c>
      <c r="W513" s="10" t="s">
        <v>2510</v>
      </c>
      <c r="Y513" s="10" t="s">
        <v>2511</v>
      </c>
      <c r="Z513" s="10" t="s">
        <v>66</v>
      </c>
      <c r="AA513" s="10" t="s">
        <v>66</v>
      </c>
      <c r="AB513" s="10" t="s">
        <v>66</v>
      </c>
      <c r="AC513" s="10" t="s">
        <v>68</v>
      </c>
      <c r="AD513" s="10" t="str">
        <f>IFERROR(VLOOKUP(B513,'Regiões Administrativas'!$A$1:$B$646,2,0),"")</f>
        <v>São José dos Campos</v>
      </c>
      <c r="AE513" s="10">
        <f>IFERROR(VLOOKUP(Form_Responses[[#This Row],[Município]],'Regiões Administrativas'!$A$1:$I$646,3,0),"")</f>
        <v>15721</v>
      </c>
      <c r="AF513" s="10">
        <f>IFERROR(VLOOKUP(Form_Responses[[#This Row],[Município]],'Regiões Administrativas'!$A$1:$I$646,4,0),"")</f>
        <v>350970005000001</v>
      </c>
      <c r="AG513" s="10">
        <f>IFERROR(VLOOKUP(Form_Responses[[#This Row],[Município]],'Regiões Administrativas'!$A$1:$I$646,4,0),"")</f>
        <v>350970005000001</v>
      </c>
      <c r="AH513" s="10">
        <f>IFERROR(VLOOKUP(B513,'Regiões Administrativas'!$A$1:$I$646,5,0),"")</f>
        <v>3509700</v>
      </c>
      <c r="AI513" s="10">
        <f>IFERROR(VLOOKUP(B513,'Regiões Administrativas'!$A$1:$I$646,6,0),"")</f>
        <v>-45.589201699999997</v>
      </c>
      <c r="AJ513" s="10">
        <f>IFERROR(VLOOKUP(B513,'Regiões Administrativas'!$A$1:$I$646,8,0),"")</f>
        <v>1639.1545000000001</v>
      </c>
      <c r="AK513" s="10" t="str">
        <f>IFERROR(VLOOKUP(Form_Responses[[#This Row],[Município]],'Regiões Administrativas'!$A$1:$I$646,9,0),"")</f>
        <v>1J6trlyb{Ztf</v>
      </c>
    </row>
    <row r="514" spans="1:37" ht="22.5" customHeight="1">
      <c r="A514" s="15">
        <v>46064.432784062505</v>
      </c>
      <c r="B514" s="10" t="s">
        <v>1534</v>
      </c>
      <c r="C514" s="10" t="s">
        <v>1210</v>
      </c>
      <c r="D514" s="10" t="s">
        <v>2512</v>
      </c>
      <c r="E514" s="10" t="s">
        <v>2513</v>
      </c>
      <c r="G514" s="10" t="s">
        <v>2514</v>
      </c>
      <c r="H514" s="72" t="s">
        <v>2515</v>
      </c>
      <c r="I514" s="10" t="s">
        <v>220</v>
      </c>
      <c r="J514" s="16">
        <v>46143</v>
      </c>
      <c r="K514" s="16">
        <v>46145</v>
      </c>
      <c r="L514" s="17">
        <v>0.5</v>
      </c>
      <c r="M514" s="17">
        <v>0.79166666666424135</v>
      </c>
      <c r="N514" s="10" t="s">
        <v>268</v>
      </c>
      <c r="O514" s="10" t="s">
        <v>190</v>
      </c>
      <c r="P514" s="10" t="s">
        <v>63</v>
      </c>
      <c r="Q514" s="10" t="s">
        <v>47</v>
      </c>
      <c r="R514" s="10" t="s">
        <v>48</v>
      </c>
      <c r="S514" s="10">
        <v>6000</v>
      </c>
      <c r="W514" s="10" t="s">
        <v>2516</v>
      </c>
      <c r="X514" s="72" t="s">
        <v>2517</v>
      </c>
      <c r="Y514" s="10" t="s">
        <v>2518</v>
      </c>
      <c r="Z514" s="10" t="s">
        <v>76</v>
      </c>
      <c r="AA514" s="10" t="s">
        <v>297</v>
      </c>
      <c r="AB514" s="10" t="s">
        <v>66</v>
      </c>
      <c r="AC514" s="10" t="s">
        <v>55</v>
      </c>
      <c r="AD514" s="10" t="str">
        <f>IFERROR(VLOOKUP(B514,'Regiões Administrativas'!$A$1:$B$646,2,0),"")</f>
        <v>São José dos Campos</v>
      </c>
      <c r="AE514" s="10">
        <f>IFERROR(VLOOKUP(Form_Responses[[#This Row],[Município]],'Regiões Administrativas'!$A$1:$I$646,3,0),"")</f>
        <v>15721</v>
      </c>
      <c r="AF514" s="10">
        <f>IFERROR(VLOOKUP(Form_Responses[[#This Row],[Município]],'Regiões Administrativas'!$A$1:$I$646,4,0),"")</f>
        <v>350970005000001</v>
      </c>
      <c r="AG514" s="10">
        <f>IFERROR(VLOOKUP(Form_Responses[[#This Row],[Município]],'Regiões Administrativas'!$A$1:$I$646,4,0),"")</f>
        <v>350970005000001</v>
      </c>
      <c r="AH514" s="10">
        <f>IFERROR(VLOOKUP(B514,'Regiões Administrativas'!$A$1:$I$646,5,0),"")</f>
        <v>3509700</v>
      </c>
      <c r="AI514" s="10">
        <f>IFERROR(VLOOKUP(B514,'Regiões Administrativas'!$A$1:$I$646,6,0),"")</f>
        <v>-45.589201699999997</v>
      </c>
      <c r="AJ514" s="10">
        <f>IFERROR(VLOOKUP(B514,'Regiões Administrativas'!$A$1:$I$646,8,0),"")</f>
        <v>1639.1545000000001</v>
      </c>
      <c r="AK514" s="10" t="str">
        <f>IFERROR(VLOOKUP(Form_Responses[[#This Row],[Município]],'Regiões Administrativas'!$A$1:$I$646,9,0),"")</f>
        <v>1J6trlyb{Ztf</v>
      </c>
    </row>
    <row r="515" spans="1:37" ht="22.5" customHeight="1">
      <c r="A515" s="15">
        <v>46064.442724652778</v>
      </c>
      <c r="B515" s="10" t="s">
        <v>1534</v>
      </c>
      <c r="C515" s="10" t="s">
        <v>1210</v>
      </c>
      <c r="D515" s="10" t="s">
        <v>2519</v>
      </c>
      <c r="E515" s="10" t="s">
        <v>2520</v>
      </c>
      <c r="G515" s="10" t="s">
        <v>2521</v>
      </c>
      <c r="H515" s="72" t="s">
        <v>2522</v>
      </c>
      <c r="I515" s="10" t="s">
        <v>220</v>
      </c>
      <c r="J515" s="16">
        <v>46145</v>
      </c>
      <c r="K515" s="16">
        <v>46145</v>
      </c>
      <c r="L515" s="17">
        <v>0.33333333333575865</v>
      </c>
      <c r="N515" s="10" t="s">
        <v>61</v>
      </c>
      <c r="O515" s="10" t="s">
        <v>62</v>
      </c>
      <c r="P515" s="10" t="s">
        <v>99</v>
      </c>
      <c r="Q515" s="10" t="s">
        <v>47</v>
      </c>
      <c r="R515" s="10" t="s">
        <v>48</v>
      </c>
      <c r="S515" s="10">
        <v>3000</v>
      </c>
      <c r="W515" s="10" t="s">
        <v>2523</v>
      </c>
      <c r="X515" s="72" t="s">
        <v>2524</v>
      </c>
      <c r="Y515" s="10" t="s">
        <v>2525</v>
      </c>
      <c r="Z515" s="10" t="s">
        <v>66</v>
      </c>
      <c r="AA515" s="10" t="s">
        <v>66</v>
      </c>
      <c r="AB515" s="10" t="s">
        <v>66</v>
      </c>
      <c r="AC515" s="10" t="s">
        <v>94</v>
      </c>
      <c r="AD515" s="10" t="str">
        <f>IFERROR(VLOOKUP(B515,'Regiões Administrativas'!$A$1:$B$646,2,0),"")</f>
        <v>São José dos Campos</v>
      </c>
      <c r="AE515" s="10">
        <f>IFERROR(VLOOKUP(Form_Responses[[#This Row],[Município]],'Regiões Administrativas'!$A$1:$I$646,3,0),"")</f>
        <v>15721</v>
      </c>
      <c r="AF515" s="10">
        <f>IFERROR(VLOOKUP(Form_Responses[[#This Row],[Município]],'Regiões Administrativas'!$A$1:$I$646,4,0),"")</f>
        <v>350970005000001</v>
      </c>
      <c r="AG515" s="10">
        <f>IFERROR(VLOOKUP(Form_Responses[[#This Row],[Município]],'Regiões Administrativas'!$A$1:$I$646,4,0),"")</f>
        <v>350970005000001</v>
      </c>
      <c r="AH515" s="10">
        <f>IFERROR(VLOOKUP(B515,'Regiões Administrativas'!$A$1:$I$646,5,0),"")</f>
        <v>3509700</v>
      </c>
      <c r="AI515" s="10">
        <f>IFERROR(VLOOKUP(B515,'Regiões Administrativas'!$A$1:$I$646,6,0),"")</f>
        <v>-45.589201699999997</v>
      </c>
      <c r="AJ515" s="10">
        <f>IFERROR(VLOOKUP(B515,'Regiões Administrativas'!$A$1:$I$646,8,0),"")</f>
        <v>1639.1545000000001</v>
      </c>
      <c r="AK515" s="10" t="str">
        <f>IFERROR(VLOOKUP(Form_Responses[[#This Row],[Município]],'Regiões Administrativas'!$A$1:$I$646,9,0),"")</f>
        <v>1J6trlyb{Ztf</v>
      </c>
    </row>
    <row r="516" spans="1:37" ht="22.5" customHeight="1">
      <c r="A516" s="15">
        <v>46064.45210574074</v>
      </c>
      <c r="B516" s="10" t="s">
        <v>1534</v>
      </c>
      <c r="C516" s="10" t="s">
        <v>1210</v>
      </c>
      <c r="D516" s="10" t="s">
        <v>2526</v>
      </c>
      <c r="E516" s="10" t="s">
        <v>2527</v>
      </c>
      <c r="G516" s="10" t="s">
        <v>2528</v>
      </c>
      <c r="H516" s="72" t="s">
        <v>2529</v>
      </c>
      <c r="I516" s="10" t="s">
        <v>220</v>
      </c>
      <c r="J516" s="16">
        <v>46159</v>
      </c>
      <c r="K516" s="16">
        <v>46159</v>
      </c>
      <c r="L516" s="17">
        <v>0.25</v>
      </c>
      <c r="N516" s="10" t="s">
        <v>61</v>
      </c>
      <c r="O516" s="10" t="s">
        <v>62</v>
      </c>
      <c r="P516" s="10" t="s">
        <v>63</v>
      </c>
      <c r="Q516" s="10" t="s">
        <v>47</v>
      </c>
      <c r="R516" s="10" t="s">
        <v>230</v>
      </c>
      <c r="S516" s="10">
        <v>10000</v>
      </c>
      <c r="W516" s="10" t="s">
        <v>2530</v>
      </c>
      <c r="X516" s="72" t="s">
        <v>2531</v>
      </c>
      <c r="Y516" s="10" t="s">
        <v>2532</v>
      </c>
      <c r="Z516" s="10" t="s">
        <v>66</v>
      </c>
      <c r="AA516" s="10" t="s">
        <v>66</v>
      </c>
      <c r="AB516" s="10" t="s">
        <v>66</v>
      </c>
      <c r="AC516" s="10" t="s">
        <v>55</v>
      </c>
      <c r="AD516" s="10" t="str">
        <f>IFERROR(VLOOKUP(B516,'Regiões Administrativas'!$A$1:$B$646,2,0),"")</f>
        <v>São José dos Campos</v>
      </c>
      <c r="AE516" s="10">
        <f>IFERROR(VLOOKUP(Form_Responses[[#This Row],[Município]],'Regiões Administrativas'!$A$1:$I$646,3,0),"")</f>
        <v>15721</v>
      </c>
      <c r="AF516" s="10">
        <f>IFERROR(VLOOKUP(Form_Responses[[#This Row],[Município]],'Regiões Administrativas'!$A$1:$I$646,4,0),"")</f>
        <v>350970005000001</v>
      </c>
      <c r="AG516" s="10">
        <f>IFERROR(VLOOKUP(Form_Responses[[#This Row],[Município]],'Regiões Administrativas'!$A$1:$I$646,4,0),"")</f>
        <v>350970005000001</v>
      </c>
      <c r="AH516" s="10">
        <f>IFERROR(VLOOKUP(B516,'Regiões Administrativas'!$A$1:$I$646,5,0),"")</f>
        <v>3509700</v>
      </c>
      <c r="AI516" s="10">
        <f>IFERROR(VLOOKUP(B516,'Regiões Administrativas'!$A$1:$I$646,6,0),"")</f>
        <v>-45.589201699999997</v>
      </c>
      <c r="AJ516" s="10">
        <f>IFERROR(VLOOKUP(B516,'Regiões Administrativas'!$A$1:$I$646,8,0),"")</f>
        <v>1639.1545000000001</v>
      </c>
      <c r="AK516" s="10" t="str">
        <f>IFERROR(VLOOKUP(Form_Responses[[#This Row],[Município]],'Regiões Administrativas'!$A$1:$I$646,9,0),"")</f>
        <v>1J6trlyb{Ztf</v>
      </c>
    </row>
    <row r="517" spans="1:37" ht="22.5" customHeight="1">
      <c r="A517" s="15">
        <v>46064.458647951389</v>
      </c>
      <c r="B517" s="10" t="s">
        <v>1534</v>
      </c>
      <c r="C517" s="10" t="s">
        <v>1210</v>
      </c>
      <c r="D517" s="10" t="s">
        <v>2533</v>
      </c>
      <c r="E517" s="10" t="s">
        <v>2534</v>
      </c>
      <c r="G517" s="10" t="s">
        <v>2535</v>
      </c>
      <c r="H517" s="72" t="s">
        <v>2536</v>
      </c>
      <c r="I517" s="10" t="s">
        <v>220</v>
      </c>
      <c r="J517" s="16">
        <v>46166</v>
      </c>
      <c r="K517" s="16">
        <v>46166</v>
      </c>
      <c r="L517" s="17">
        <v>0.25</v>
      </c>
      <c r="N517" s="10" t="s">
        <v>61</v>
      </c>
      <c r="O517" s="10" t="s">
        <v>62</v>
      </c>
      <c r="P517" s="10" t="s">
        <v>63</v>
      </c>
      <c r="Q517" s="10" t="s">
        <v>47</v>
      </c>
      <c r="R517" s="10" t="s">
        <v>48</v>
      </c>
      <c r="S517" s="10">
        <v>5000</v>
      </c>
      <c r="W517" s="10" t="s">
        <v>2537</v>
      </c>
      <c r="X517" s="72" t="s">
        <v>2538</v>
      </c>
      <c r="Y517" s="10" t="s">
        <v>2539</v>
      </c>
      <c r="Z517" s="10" t="s">
        <v>66</v>
      </c>
      <c r="AA517" s="10" t="s">
        <v>66</v>
      </c>
      <c r="AB517" s="10" t="s">
        <v>66</v>
      </c>
      <c r="AC517" s="10" t="s">
        <v>354</v>
      </c>
      <c r="AD517" s="10" t="str">
        <f>IFERROR(VLOOKUP(B517,'Regiões Administrativas'!$A$1:$B$646,2,0),"")</f>
        <v>São José dos Campos</v>
      </c>
      <c r="AE517" s="10">
        <f>IFERROR(VLOOKUP(Form_Responses[[#This Row],[Município]],'Regiões Administrativas'!$A$1:$I$646,3,0),"")</f>
        <v>15721</v>
      </c>
      <c r="AF517" s="10">
        <f>IFERROR(VLOOKUP(Form_Responses[[#This Row],[Município]],'Regiões Administrativas'!$A$1:$I$646,4,0),"")</f>
        <v>350970005000001</v>
      </c>
      <c r="AG517" s="10">
        <f>IFERROR(VLOOKUP(Form_Responses[[#This Row],[Município]],'Regiões Administrativas'!$A$1:$I$646,4,0),"")</f>
        <v>350970005000001</v>
      </c>
      <c r="AH517" s="10">
        <f>IFERROR(VLOOKUP(B517,'Regiões Administrativas'!$A$1:$I$646,5,0),"")</f>
        <v>3509700</v>
      </c>
      <c r="AI517" s="10">
        <f>IFERROR(VLOOKUP(B517,'Regiões Administrativas'!$A$1:$I$646,6,0),"")</f>
        <v>-45.589201699999997</v>
      </c>
      <c r="AJ517" s="10">
        <f>IFERROR(VLOOKUP(B517,'Regiões Administrativas'!$A$1:$I$646,8,0),"")</f>
        <v>1639.1545000000001</v>
      </c>
      <c r="AK517" s="10" t="str">
        <f>IFERROR(VLOOKUP(Form_Responses[[#This Row],[Município]],'Regiões Administrativas'!$A$1:$I$646,9,0),"")</f>
        <v>1J6trlyb{Ztf</v>
      </c>
    </row>
    <row r="518" spans="1:37" ht="22.5" customHeight="1">
      <c r="A518" s="15">
        <v>46064.474237048613</v>
      </c>
      <c r="B518" s="10" t="s">
        <v>1534</v>
      </c>
      <c r="C518" s="10" t="s">
        <v>1210</v>
      </c>
      <c r="D518" s="10" t="s">
        <v>2540</v>
      </c>
      <c r="E518" s="10" t="s">
        <v>2541</v>
      </c>
      <c r="G518" s="10" t="s">
        <v>2542</v>
      </c>
      <c r="H518" s="72" t="s">
        <v>2543</v>
      </c>
      <c r="I518" s="10" t="s">
        <v>220</v>
      </c>
      <c r="J518" s="16">
        <v>46171</v>
      </c>
      <c r="K518" s="16">
        <v>46173</v>
      </c>
      <c r="L518" s="17">
        <v>0.375</v>
      </c>
      <c r="N518" s="10" t="s">
        <v>73</v>
      </c>
      <c r="O518" s="10" t="s">
        <v>45</v>
      </c>
      <c r="P518" s="10" t="s">
        <v>63</v>
      </c>
      <c r="Q518" s="10" t="s">
        <v>47</v>
      </c>
      <c r="R518" s="10" t="s">
        <v>230</v>
      </c>
      <c r="S518" s="10">
        <v>5000</v>
      </c>
      <c r="W518" s="10" t="s">
        <v>2544</v>
      </c>
      <c r="Y518" s="10" t="s">
        <v>2545</v>
      </c>
      <c r="Z518" s="10" t="s">
        <v>76</v>
      </c>
      <c r="AA518" s="10" t="s">
        <v>2546</v>
      </c>
      <c r="AB518" s="10" t="s">
        <v>66</v>
      </c>
      <c r="AC518" s="10" t="s">
        <v>68</v>
      </c>
      <c r="AD518" s="10" t="str">
        <f>IFERROR(VLOOKUP(B518,'Regiões Administrativas'!$A$1:$B$646,2,0),"")</f>
        <v>São José dos Campos</v>
      </c>
      <c r="AE518" s="10">
        <f>IFERROR(VLOOKUP(Form_Responses[[#This Row],[Município]],'Regiões Administrativas'!$A$1:$I$646,3,0),"")</f>
        <v>15721</v>
      </c>
      <c r="AF518" s="10">
        <f>IFERROR(VLOOKUP(Form_Responses[[#This Row],[Município]],'Regiões Administrativas'!$A$1:$I$646,4,0),"")</f>
        <v>350970005000001</v>
      </c>
      <c r="AG518" s="10">
        <f>IFERROR(VLOOKUP(Form_Responses[[#This Row],[Município]],'Regiões Administrativas'!$A$1:$I$646,4,0),"")</f>
        <v>350970005000001</v>
      </c>
      <c r="AH518" s="10">
        <f>IFERROR(VLOOKUP(B518,'Regiões Administrativas'!$A$1:$I$646,5,0),"")</f>
        <v>3509700</v>
      </c>
      <c r="AI518" s="10">
        <f>IFERROR(VLOOKUP(B518,'Regiões Administrativas'!$A$1:$I$646,6,0),"")</f>
        <v>-45.589201699999997</v>
      </c>
      <c r="AJ518" s="10">
        <f>IFERROR(VLOOKUP(B518,'Regiões Administrativas'!$A$1:$I$646,8,0),"")</f>
        <v>1639.1545000000001</v>
      </c>
      <c r="AK518" s="10" t="str">
        <f>IFERROR(VLOOKUP(Form_Responses[[#This Row],[Município]],'Regiões Administrativas'!$A$1:$I$646,9,0),"")</f>
        <v>1J6trlyb{Ztf</v>
      </c>
    </row>
    <row r="519" spans="1:37" ht="22.5" customHeight="1">
      <c r="A519" s="18">
        <v>46064.485184236109</v>
      </c>
      <c r="B519" s="10" t="s">
        <v>1534</v>
      </c>
      <c r="C519" s="10" t="s">
        <v>1210</v>
      </c>
      <c r="D519" s="10" t="s">
        <v>2547</v>
      </c>
      <c r="E519" s="10" t="s">
        <v>2548</v>
      </c>
      <c r="G519" s="10" t="s">
        <v>2549</v>
      </c>
      <c r="H519" s="72" t="s">
        <v>2550</v>
      </c>
      <c r="I519" s="10" t="s">
        <v>60</v>
      </c>
      <c r="J519" s="16">
        <v>46176</v>
      </c>
      <c r="K519" s="16">
        <v>46229</v>
      </c>
      <c r="N519" s="10" t="s">
        <v>73</v>
      </c>
      <c r="O519" s="10" t="s">
        <v>190</v>
      </c>
      <c r="P519" s="10" t="s">
        <v>63</v>
      </c>
      <c r="Q519" s="10" t="s">
        <v>47</v>
      </c>
      <c r="R519" s="10" t="s">
        <v>48</v>
      </c>
      <c r="S519" s="10">
        <v>50000</v>
      </c>
      <c r="W519" s="10" t="s">
        <v>2551</v>
      </c>
      <c r="Y519" s="10" t="s">
        <v>2552</v>
      </c>
      <c r="Z519" s="10" t="s">
        <v>66</v>
      </c>
      <c r="AA519" s="10" t="s">
        <v>66</v>
      </c>
      <c r="AB519" s="10" t="s">
        <v>66</v>
      </c>
      <c r="AC519" s="10" t="s">
        <v>68</v>
      </c>
      <c r="AD519" s="10" t="str">
        <f>IFERROR(VLOOKUP(B519,'Regiões Administrativas'!$A$1:$B$646,2,0),"")</f>
        <v>São José dos Campos</v>
      </c>
      <c r="AE519" s="10">
        <f>IFERROR(VLOOKUP(Form_Responses[[#This Row],[Município]],'Regiões Administrativas'!$A$1:$I$646,3,0),"")</f>
        <v>15721</v>
      </c>
      <c r="AF519" s="10">
        <f>IFERROR(VLOOKUP(Form_Responses[[#This Row],[Município]],'Regiões Administrativas'!$A$1:$I$646,4,0),"")</f>
        <v>350970005000001</v>
      </c>
      <c r="AG519" s="10">
        <f>IFERROR(VLOOKUP(Form_Responses[[#This Row],[Município]],'Regiões Administrativas'!$A$1:$I$646,4,0),"")</f>
        <v>350970005000001</v>
      </c>
      <c r="AH519" s="10">
        <f>IFERROR(VLOOKUP(B519,'Regiões Administrativas'!$A$1:$I$646,5,0),"")</f>
        <v>3509700</v>
      </c>
      <c r="AI519" s="10">
        <f>IFERROR(VLOOKUP(B519,'Regiões Administrativas'!$A$1:$I$646,6,0),"")</f>
        <v>-45.589201699999997</v>
      </c>
      <c r="AJ519" s="10">
        <f>IFERROR(VLOOKUP(B519,'Regiões Administrativas'!$A$1:$I$646,8,0),"")</f>
        <v>1639.1545000000001</v>
      </c>
      <c r="AK519" s="10" t="str">
        <f>IFERROR(VLOOKUP(Form_Responses[[#This Row],[Município]],'Regiões Administrativas'!$A$1:$I$646,9,0),"")</f>
        <v>1J6trlyb{Ztf</v>
      </c>
    </row>
    <row r="520" spans="1:37" ht="22.5" customHeight="1">
      <c r="A520" s="18">
        <v>46064.489586076394</v>
      </c>
      <c r="B520" s="10" t="s">
        <v>1534</v>
      </c>
      <c r="C520" s="10" t="s">
        <v>1210</v>
      </c>
      <c r="D520" s="10" t="s">
        <v>2553</v>
      </c>
      <c r="E520" s="10" t="s">
        <v>2554</v>
      </c>
      <c r="G520" s="10" t="s">
        <v>2555</v>
      </c>
      <c r="H520" s="72" t="s">
        <v>2556</v>
      </c>
      <c r="I520" s="10" t="s">
        <v>60</v>
      </c>
      <c r="J520" s="16">
        <v>46188</v>
      </c>
      <c r="K520" s="16">
        <v>46192</v>
      </c>
      <c r="L520" s="17">
        <v>0.375</v>
      </c>
      <c r="N520" s="10" t="s">
        <v>641</v>
      </c>
      <c r="O520" s="10" t="s">
        <v>142</v>
      </c>
      <c r="P520" s="10" t="s">
        <v>63</v>
      </c>
      <c r="Q520" s="10" t="s">
        <v>47</v>
      </c>
      <c r="R520" s="10" t="s">
        <v>48</v>
      </c>
      <c r="S520" s="10">
        <v>15000</v>
      </c>
      <c r="T520" s="10">
        <v>10000</v>
      </c>
      <c r="W520" s="10" t="s">
        <v>2557</v>
      </c>
      <c r="Y520" s="72" t="s">
        <v>2556</v>
      </c>
      <c r="Z520" s="10" t="s">
        <v>224</v>
      </c>
      <c r="AA520" s="10" t="s">
        <v>2393</v>
      </c>
      <c r="AB520" s="10" t="s">
        <v>66</v>
      </c>
      <c r="AC520" s="10" t="s">
        <v>55</v>
      </c>
      <c r="AD520" s="10" t="str">
        <f>IFERROR(VLOOKUP(B520,'Regiões Administrativas'!$A$1:$B$646,2,0),"")</f>
        <v>São José dos Campos</v>
      </c>
      <c r="AE520" s="10">
        <f>IFERROR(VLOOKUP(Form_Responses[[#This Row],[Município]],'Regiões Administrativas'!$A$1:$I$646,3,0),"")</f>
        <v>15721</v>
      </c>
      <c r="AF520" s="10">
        <f>IFERROR(VLOOKUP(Form_Responses[[#This Row],[Município]],'Regiões Administrativas'!$A$1:$I$646,4,0),"")</f>
        <v>350970005000001</v>
      </c>
      <c r="AG520" s="10">
        <f>IFERROR(VLOOKUP(Form_Responses[[#This Row],[Município]],'Regiões Administrativas'!$A$1:$I$646,4,0),"")</f>
        <v>350970005000001</v>
      </c>
      <c r="AH520" s="10">
        <f>IFERROR(VLOOKUP(B520,'Regiões Administrativas'!$A$1:$I$646,5,0),"")</f>
        <v>3509700</v>
      </c>
      <c r="AI520" s="10">
        <f>IFERROR(VLOOKUP(B520,'Regiões Administrativas'!$A$1:$I$646,6,0),"")</f>
        <v>-45.589201699999997</v>
      </c>
      <c r="AJ520" s="10">
        <f>IFERROR(VLOOKUP(B520,'Regiões Administrativas'!$A$1:$I$646,8,0),"")</f>
        <v>1639.1545000000001</v>
      </c>
      <c r="AK520" s="10" t="str">
        <f>IFERROR(VLOOKUP(Form_Responses[[#This Row],[Município]],'Regiões Administrativas'!$A$1:$I$646,9,0),"")</f>
        <v>1J6trlyb{Ztf</v>
      </c>
    </row>
    <row r="521" spans="1:37" ht="22.5" customHeight="1">
      <c r="A521" s="18">
        <v>46064.504763842589</v>
      </c>
      <c r="B521" s="10" t="s">
        <v>1534</v>
      </c>
      <c r="C521" s="10" t="s">
        <v>1210</v>
      </c>
      <c r="D521" s="10" t="s">
        <v>2558</v>
      </c>
      <c r="E521" s="10" t="s">
        <v>2559</v>
      </c>
      <c r="G521" s="10" t="s">
        <v>2560</v>
      </c>
      <c r="I521" s="10" t="s">
        <v>60</v>
      </c>
      <c r="J521" s="16">
        <v>46193</v>
      </c>
      <c r="K521" s="16">
        <v>46194</v>
      </c>
      <c r="N521" s="10" t="s">
        <v>73</v>
      </c>
      <c r="O521" s="10" t="s">
        <v>45</v>
      </c>
      <c r="P521" s="10" t="s">
        <v>63</v>
      </c>
      <c r="Q521" s="10" t="s">
        <v>47</v>
      </c>
      <c r="R521" s="10" t="s">
        <v>48</v>
      </c>
      <c r="S521" s="10">
        <v>2000</v>
      </c>
      <c r="W521" s="10" t="s">
        <v>2561</v>
      </c>
      <c r="X521" s="72" t="s">
        <v>2562</v>
      </c>
      <c r="Y521" s="10" t="s">
        <v>2563</v>
      </c>
      <c r="Z521" s="10" t="s">
        <v>224</v>
      </c>
      <c r="AA521" s="10" t="s">
        <v>2393</v>
      </c>
      <c r="AB521" s="10" t="s">
        <v>66</v>
      </c>
      <c r="AC521" s="10" t="s">
        <v>68</v>
      </c>
      <c r="AD521" s="10" t="str">
        <f>IFERROR(VLOOKUP(B521,'Regiões Administrativas'!$A$1:$B$646,2,0),"")</f>
        <v>São José dos Campos</v>
      </c>
      <c r="AE521" s="10">
        <f>IFERROR(VLOOKUP(Form_Responses[[#This Row],[Município]],'Regiões Administrativas'!$A$1:$I$646,3,0),"")</f>
        <v>15721</v>
      </c>
      <c r="AF521" s="10">
        <f>IFERROR(VLOOKUP(Form_Responses[[#This Row],[Município]],'Regiões Administrativas'!$A$1:$I$646,4,0),"")</f>
        <v>350970005000001</v>
      </c>
      <c r="AG521" s="10">
        <f>IFERROR(VLOOKUP(Form_Responses[[#This Row],[Município]],'Regiões Administrativas'!$A$1:$I$646,4,0),"")</f>
        <v>350970005000001</v>
      </c>
      <c r="AH521" s="10">
        <f>IFERROR(VLOOKUP(B521,'Regiões Administrativas'!$A$1:$I$646,5,0),"")</f>
        <v>3509700</v>
      </c>
      <c r="AI521" s="10">
        <f>IFERROR(VLOOKUP(B521,'Regiões Administrativas'!$A$1:$I$646,6,0),"")</f>
        <v>-45.589201699999997</v>
      </c>
      <c r="AJ521" s="10">
        <f>IFERROR(VLOOKUP(B521,'Regiões Administrativas'!$A$1:$I$646,8,0),"")</f>
        <v>1639.1545000000001</v>
      </c>
      <c r="AK521" s="10" t="str">
        <f>IFERROR(VLOOKUP(Form_Responses[[#This Row],[Município]],'Regiões Administrativas'!$A$1:$I$646,9,0),"")</f>
        <v>1J6trlyb{Ztf</v>
      </c>
    </row>
    <row r="522" spans="1:37" ht="22.5" customHeight="1">
      <c r="A522" s="18">
        <v>46064.677919699076</v>
      </c>
      <c r="B522" s="10" t="s">
        <v>1534</v>
      </c>
      <c r="C522" s="10" t="s">
        <v>1210</v>
      </c>
      <c r="D522" s="10" t="s">
        <v>2564</v>
      </c>
      <c r="E522" s="10" t="s">
        <v>2565</v>
      </c>
      <c r="G522" s="10" t="s">
        <v>2566</v>
      </c>
      <c r="H522" s="72" t="s">
        <v>2567</v>
      </c>
      <c r="I522" s="10" t="s">
        <v>72</v>
      </c>
      <c r="J522" s="16">
        <v>46228</v>
      </c>
      <c r="K522" s="16">
        <v>46250</v>
      </c>
      <c r="L522" s="17">
        <v>0.375</v>
      </c>
      <c r="M522" s="17">
        <v>0.70833333333575865</v>
      </c>
      <c r="N522" s="10" t="s">
        <v>44</v>
      </c>
      <c r="O522" s="10" t="s">
        <v>45</v>
      </c>
      <c r="P522" s="10" t="s">
        <v>99</v>
      </c>
      <c r="Q522" s="10" t="s">
        <v>47</v>
      </c>
      <c r="R522" s="10" t="s">
        <v>230</v>
      </c>
      <c r="S522" s="10">
        <v>25000</v>
      </c>
      <c r="W522" s="10" t="s">
        <v>2568</v>
      </c>
      <c r="X522" s="72" t="s">
        <v>2567</v>
      </c>
      <c r="Y522" s="10" t="s">
        <v>2569</v>
      </c>
      <c r="Z522" s="10" t="s">
        <v>76</v>
      </c>
      <c r="AA522" s="10" t="s">
        <v>93</v>
      </c>
      <c r="AB522" s="10" t="s">
        <v>66</v>
      </c>
      <c r="AC522" s="10" t="s">
        <v>68</v>
      </c>
      <c r="AD522" s="10" t="str">
        <f>IFERROR(VLOOKUP(B522,'Regiões Administrativas'!$A$1:$B$646,2,0),"")</f>
        <v>São José dos Campos</v>
      </c>
      <c r="AE522" s="10">
        <f>IFERROR(VLOOKUP(Form_Responses[[#This Row],[Município]],'Regiões Administrativas'!$A$1:$I$646,3,0),"")</f>
        <v>15721</v>
      </c>
      <c r="AF522" s="10">
        <f>IFERROR(VLOOKUP(Form_Responses[[#This Row],[Município]],'Regiões Administrativas'!$A$1:$I$646,4,0),"")</f>
        <v>350970005000001</v>
      </c>
      <c r="AG522" s="10">
        <f>IFERROR(VLOOKUP(Form_Responses[[#This Row],[Município]],'Regiões Administrativas'!$A$1:$I$646,4,0),"")</f>
        <v>350970005000001</v>
      </c>
      <c r="AH522" s="10">
        <f>IFERROR(VLOOKUP(B522,'Regiões Administrativas'!$A$1:$I$646,5,0),"")</f>
        <v>3509700</v>
      </c>
      <c r="AI522" s="10">
        <f>IFERROR(VLOOKUP(B522,'Regiões Administrativas'!$A$1:$I$646,6,0),"")</f>
        <v>-45.589201699999997</v>
      </c>
      <c r="AJ522" s="10">
        <f>IFERROR(VLOOKUP(B522,'Regiões Administrativas'!$A$1:$I$646,8,0),"")</f>
        <v>1639.1545000000001</v>
      </c>
      <c r="AK522" s="10" t="str">
        <f>IFERROR(VLOOKUP(Form_Responses[[#This Row],[Município]],'Regiões Administrativas'!$A$1:$I$646,9,0),"")</f>
        <v>1J6trlyb{Ztf</v>
      </c>
    </row>
    <row r="523" spans="1:37" ht="22.5" customHeight="1">
      <c r="A523" s="18">
        <v>46065.403024618055</v>
      </c>
      <c r="B523" s="10" t="s">
        <v>1235</v>
      </c>
      <c r="C523" s="10" t="s">
        <v>1236</v>
      </c>
      <c r="D523" s="10" t="s">
        <v>2570</v>
      </c>
      <c r="E523" s="10" t="s">
        <v>2571</v>
      </c>
      <c r="G523" s="10" t="s">
        <v>2572</v>
      </c>
      <c r="I523" s="10" t="s">
        <v>89</v>
      </c>
      <c r="J523" s="16">
        <v>46067</v>
      </c>
      <c r="K523" s="16">
        <v>46068</v>
      </c>
      <c r="L523" s="17">
        <v>0.45833333333575865</v>
      </c>
      <c r="M523" s="17">
        <v>0.75</v>
      </c>
      <c r="N523" s="10" t="s">
        <v>44</v>
      </c>
      <c r="O523" s="10" t="s">
        <v>45</v>
      </c>
      <c r="P523" s="10" t="s">
        <v>90</v>
      </c>
      <c r="Q523" s="10" t="s">
        <v>47</v>
      </c>
      <c r="R523" s="10" t="s">
        <v>256</v>
      </c>
      <c r="S523" s="19">
        <v>1000</v>
      </c>
      <c r="W523" s="10" t="s">
        <v>2573</v>
      </c>
      <c r="Y523" s="10" t="s">
        <v>2574</v>
      </c>
      <c r="Z523" s="10" t="s">
        <v>66</v>
      </c>
      <c r="AA523" s="10" t="s">
        <v>66</v>
      </c>
      <c r="AB523" s="10" t="s">
        <v>66</v>
      </c>
      <c r="AC523" s="10" t="s">
        <v>68</v>
      </c>
      <c r="AD523" s="10" t="str">
        <f>IFERROR(VLOOKUP(B523,'Regiões Administrativas'!$A$1:$B$646,2,0),"")</f>
        <v>RMSP</v>
      </c>
      <c r="AE523" s="10">
        <f>IFERROR(VLOOKUP(Form_Responses[[#This Row],[Município]],'Regiões Administrativas'!$A$1:$I$646,3,0),"")</f>
        <v>15696</v>
      </c>
      <c r="AF523" s="10">
        <f>IFERROR(VLOOKUP(Form_Responses[[#This Row],[Município]],'Regiões Administrativas'!$A$1:$I$646,4,0),"")</f>
        <v>350920505000001</v>
      </c>
      <c r="AG523" s="10">
        <f>IFERROR(VLOOKUP(Form_Responses[[#This Row],[Município]],'Regiões Administrativas'!$A$1:$I$646,4,0),"")</f>
        <v>350920505000001</v>
      </c>
      <c r="AH523" s="10">
        <f>IFERROR(VLOOKUP(B523,'Regiões Administrativas'!$A$1:$I$646,5,0),"")</f>
        <v>3509205</v>
      </c>
      <c r="AI523" s="10">
        <f>IFERROR(VLOOKUP(B523,'Regiões Administrativas'!$A$1:$I$646,6,0),"")</f>
        <v>-46.8829201</v>
      </c>
      <c r="AJ523" s="10">
        <f>IFERROR(VLOOKUP(B523,'Regiões Administrativas'!$A$1:$I$646,8,0),"")</f>
        <v>867.050792</v>
      </c>
      <c r="AK523" s="10" t="str">
        <f>IFERROR(VLOOKUP(Form_Responses[[#This Row],[Município]],'Regiões Administrativas'!$A$1:$I$646,9,0),"")</f>
        <v>1J6tLz2ReX+f</v>
      </c>
    </row>
    <row r="524" spans="1:37" ht="22.5" customHeight="1">
      <c r="A524" s="18">
        <v>46065.423828634259</v>
      </c>
      <c r="B524" s="10" t="s">
        <v>2575</v>
      </c>
      <c r="C524" s="10" t="s">
        <v>2576</v>
      </c>
      <c r="D524" s="10" t="s">
        <v>2577</v>
      </c>
      <c r="E524" s="10" t="s">
        <v>2578</v>
      </c>
      <c r="G524" s="10" t="s">
        <v>2579</v>
      </c>
      <c r="I524" s="10" t="s">
        <v>89</v>
      </c>
      <c r="J524" s="16">
        <v>46067</v>
      </c>
      <c r="K524" s="16">
        <v>46070</v>
      </c>
      <c r="L524" s="17">
        <v>0.83333333333575865</v>
      </c>
      <c r="M524" s="17">
        <v>0.83333333333575865</v>
      </c>
      <c r="N524" s="10" t="s">
        <v>421</v>
      </c>
      <c r="O524" s="10" t="s">
        <v>45</v>
      </c>
      <c r="P524" s="10" t="s">
        <v>90</v>
      </c>
      <c r="Q524" s="10" t="s">
        <v>47</v>
      </c>
      <c r="R524" s="10" t="s">
        <v>74</v>
      </c>
      <c r="S524" s="10">
        <v>5000</v>
      </c>
      <c r="W524" s="10" t="s">
        <v>2580</v>
      </c>
      <c r="Y524" s="10" t="s">
        <v>2581</v>
      </c>
      <c r="Z524" s="10" t="s">
        <v>66</v>
      </c>
      <c r="AA524" s="10" t="s">
        <v>66</v>
      </c>
      <c r="AB524" s="10" t="s">
        <v>66</v>
      </c>
      <c r="AC524" s="10" t="s">
        <v>68</v>
      </c>
      <c r="AD524" s="10" t="str">
        <f>IFERROR(VLOOKUP(B524,'Regiões Administrativas'!$A$1:$B$646,2,0),"")</f>
        <v>Marília</v>
      </c>
      <c r="AE524" s="10">
        <f>IFERROR(VLOOKUP(Form_Responses[[#This Row],[Município]],'Regiões Administrativas'!$A$1:$I$646,3,0),"")</f>
        <v>15476</v>
      </c>
      <c r="AF524" s="10">
        <f>IFERROR(VLOOKUP(Form_Responses[[#This Row],[Município]],'Regiões Administrativas'!$A$1:$I$646,4,0),"")</f>
        <v>350400805000001</v>
      </c>
      <c r="AG524" s="10">
        <f>IFERROR(VLOOKUP(Form_Responses[[#This Row],[Município]],'Regiões Administrativas'!$A$1:$I$646,4,0),"")</f>
        <v>350400805000001</v>
      </c>
      <c r="AH524" s="10">
        <f>IFERROR(VLOOKUP(B524,'Regiões Administrativas'!$A$1:$I$646,5,0),"")</f>
        <v>3504008</v>
      </c>
      <c r="AI524" s="10">
        <f>IFERROR(VLOOKUP(B524,'Regiões Administrativas'!$A$1:$I$646,6,0),"")</f>
        <v>-50.41751</v>
      </c>
      <c r="AJ524" s="10">
        <f>IFERROR(VLOOKUP(B524,'Regiões Administrativas'!$A$1:$I$646,8,0),"")</f>
        <v>562.42563199999995</v>
      </c>
      <c r="AK524" s="10" t="str">
        <f>IFERROR(VLOOKUP(Form_Responses[[#This Row],[Município]],'Regiões Administrativas'!$A$1:$I$646,9,0),"")</f>
        <v>1J6RrHW.Q9P-</v>
      </c>
    </row>
    <row r="525" spans="1:37" ht="22.5" customHeight="1">
      <c r="A525" s="18">
        <v>46065.427918819449</v>
      </c>
      <c r="B525" s="10" t="s">
        <v>1235</v>
      </c>
      <c r="C525" s="10" t="s">
        <v>1236</v>
      </c>
      <c r="D525" s="10" t="s">
        <v>2582</v>
      </c>
      <c r="E525" s="10" t="s">
        <v>2583</v>
      </c>
      <c r="G525" s="10" t="s">
        <v>2572</v>
      </c>
      <c r="I525" s="10" t="s">
        <v>89</v>
      </c>
      <c r="J525" s="16">
        <v>46074</v>
      </c>
      <c r="K525" s="16">
        <v>46074</v>
      </c>
      <c r="L525" s="17">
        <v>0.70833333333575865</v>
      </c>
      <c r="N525" s="10" t="s">
        <v>110</v>
      </c>
      <c r="O525" s="10" t="s">
        <v>99</v>
      </c>
      <c r="P525" s="10" t="s">
        <v>99</v>
      </c>
      <c r="Q525" s="10" t="s">
        <v>47</v>
      </c>
      <c r="R525" s="10" t="s">
        <v>74</v>
      </c>
      <c r="S525" s="19">
        <v>10000</v>
      </c>
      <c r="W525" s="10" t="s">
        <v>2584</v>
      </c>
      <c r="Y525" s="10" t="s">
        <v>2574</v>
      </c>
      <c r="Z525" s="10" t="s">
        <v>66</v>
      </c>
      <c r="AA525" s="10" t="s">
        <v>66</v>
      </c>
      <c r="AB525" s="10" t="s">
        <v>66</v>
      </c>
      <c r="AC525" s="10" t="s">
        <v>68</v>
      </c>
      <c r="AD525" s="10" t="str">
        <f>IFERROR(VLOOKUP(B525,'Regiões Administrativas'!$A$1:$B$646,2,0),"")</f>
        <v>RMSP</v>
      </c>
      <c r="AE525" s="10">
        <f>IFERROR(VLOOKUP(Form_Responses[[#This Row],[Município]],'Regiões Administrativas'!$A$1:$I$646,3,0),"")</f>
        <v>15696</v>
      </c>
      <c r="AF525" s="10">
        <f>IFERROR(VLOOKUP(Form_Responses[[#This Row],[Município]],'Regiões Administrativas'!$A$1:$I$646,4,0),"")</f>
        <v>350920505000001</v>
      </c>
      <c r="AG525" s="10">
        <f>IFERROR(VLOOKUP(Form_Responses[[#This Row],[Município]],'Regiões Administrativas'!$A$1:$I$646,4,0),"")</f>
        <v>350920505000001</v>
      </c>
      <c r="AH525" s="10">
        <f>IFERROR(VLOOKUP(B525,'Regiões Administrativas'!$A$1:$I$646,5,0),"")</f>
        <v>3509205</v>
      </c>
      <c r="AI525" s="10">
        <f>IFERROR(VLOOKUP(B525,'Regiões Administrativas'!$A$1:$I$646,6,0),"")</f>
        <v>-46.8829201</v>
      </c>
      <c r="AJ525" s="10">
        <f>IFERROR(VLOOKUP(B525,'Regiões Administrativas'!$A$1:$I$646,8,0),"")</f>
        <v>867.050792</v>
      </c>
      <c r="AK525" s="10" t="str">
        <f>IFERROR(VLOOKUP(Form_Responses[[#This Row],[Município]],'Regiões Administrativas'!$A$1:$I$646,9,0),"")</f>
        <v>1J6tLz2ReX+f</v>
      </c>
    </row>
    <row r="526" spans="1:37" ht="22.5" customHeight="1">
      <c r="A526" s="18">
        <v>46065.432137326388</v>
      </c>
      <c r="B526" s="10" t="s">
        <v>2575</v>
      </c>
      <c r="C526" s="10" t="s">
        <v>2576</v>
      </c>
      <c r="D526" s="10" t="s">
        <v>2585</v>
      </c>
      <c r="E526" s="10" t="s">
        <v>2586</v>
      </c>
      <c r="G526" s="10" t="s">
        <v>2587</v>
      </c>
      <c r="H526" s="72" t="s">
        <v>2588</v>
      </c>
      <c r="I526" s="10" t="s">
        <v>109</v>
      </c>
      <c r="J526" s="16">
        <v>46102</v>
      </c>
      <c r="K526" s="16">
        <v>46102</v>
      </c>
      <c r="L526" s="17">
        <v>0.77083333333575865</v>
      </c>
      <c r="M526" s="17">
        <v>0.85416666666424135</v>
      </c>
      <c r="N526" s="10" t="s">
        <v>61</v>
      </c>
      <c r="O526" s="10" t="s">
        <v>62</v>
      </c>
      <c r="P526" s="10" t="s">
        <v>63</v>
      </c>
      <c r="Q526" s="10" t="s">
        <v>47</v>
      </c>
      <c r="R526" s="10" t="s">
        <v>74</v>
      </c>
      <c r="S526" s="10">
        <v>1500</v>
      </c>
      <c r="T526" s="10">
        <v>900</v>
      </c>
      <c r="W526" s="72" t="s">
        <v>2588</v>
      </c>
      <c r="X526" s="72" t="s">
        <v>2588</v>
      </c>
      <c r="Y526" s="72" t="s">
        <v>2588</v>
      </c>
      <c r="Z526" s="10" t="s">
        <v>66</v>
      </c>
      <c r="AA526" s="10" t="s">
        <v>66</v>
      </c>
      <c r="AB526" s="10" t="s">
        <v>66</v>
      </c>
      <c r="AC526" s="10" t="s">
        <v>83</v>
      </c>
      <c r="AD526" s="10" t="str">
        <f>IFERROR(VLOOKUP(B526,'Regiões Administrativas'!$A$1:$B$646,2,0),"")</f>
        <v>Marília</v>
      </c>
      <c r="AE526" s="10">
        <f>IFERROR(VLOOKUP(Form_Responses[[#This Row],[Município]],'Regiões Administrativas'!$A$1:$I$646,3,0),"")</f>
        <v>15476</v>
      </c>
      <c r="AF526" s="10">
        <f>IFERROR(VLOOKUP(Form_Responses[[#This Row],[Município]],'Regiões Administrativas'!$A$1:$I$646,4,0),"")</f>
        <v>350400805000001</v>
      </c>
      <c r="AG526" s="10">
        <f>IFERROR(VLOOKUP(Form_Responses[[#This Row],[Município]],'Regiões Administrativas'!$A$1:$I$646,4,0),"")</f>
        <v>350400805000001</v>
      </c>
      <c r="AH526" s="10">
        <f>IFERROR(VLOOKUP(B526,'Regiões Administrativas'!$A$1:$I$646,5,0),"")</f>
        <v>3504008</v>
      </c>
      <c r="AI526" s="10">
        <f>IFERROR(VLOOKUP(B526,'Regiões Administrativas'!$A$1:$I$646,6,0),"")</f>
        <v>-50.41751</v>
      </c>
      <c r="AJ526" s="10">
        <f>IFERROR(VLOOKUP(B526,'Regiões Administrativas'!$A$1:$I$646,8,0),"")</f>
        <v>562.42563199999995</v>
      </c>
      <c r="AK526" s="10" t="str">
        <f>IFERROR(VLOOKUP(Form_Responses[[#This Row],[Município]],'Regiões Administrativas'!$A$1:$I$646,9,0),"")</f>
        <v>1J6RrHW.Q9P-</v>
      </c>
    </row>
    <row r="527" spans="1:37" ht="22.5" customHeight="1">
      <c r="A527" s="15">
        <v>46065.436642199071</v>
      </c>
      <c r="B527" s="10" t="s">
        <v>2575</v>
      </c>
      <c r="C527" s="10" t="s">
        <v>2576</v>
      </c>
      <c r="D527" s="10" t="s">
        <v>2589</v>
      </c>
      <c r="E527" s="10" t="s">
        <v>2590</v>
      </c>
      <c r="G527" s="10" t="s">
        <v>2591</v>
      </c>
      <c r="H527" s="72" t="s">
        <v>2588</v>
      </c>
      <c r="I527" s="10" t="s">
        <v>128</v>
      </c>
      <c r="J527" s="16">
        <v>46116</v>
      </c>
      <c r="K527" s="16">
        <v>46116</v>
      </c>
      <c r="L527" s="17">
        <v>0.70833333333575865</v>
      </c>
      <c r="N527" s="10" t="s">
        <v>61</v>
      </c>
      <c r="O527" s="10" t="s">
        <v>62</v>
      </c>
      <c r="P527" s="10" t="s">
        <v>63</v>
      </c>
      <c r="Q527" s="10" t="s">
        <v>47</v>
      </c>
      <c r="R527" s="10" t="s">
        <v>74</v>
      </c>
      <c r="S527" s="10">
        <v>1500</v>
      </c>
      <c r="W527" s="72" t="s">
        <v>2588</v>
      </c>
      <c r="X527" s="72" t="s">
        <v>2588</v>
      </c>
      <c r="Y527" s="72" t="s">
        <v>2588</v>
      </c>
      <c r="Z527" s="10" t="s">
        <v>66</v>
      </c>
      <c r="AA527" s="10" t="s">
        <v>66</v>
      </c>
      <c r="AB527" s="10" t="s">
        <v>66</v>
      </c>
      <c r="AC527" s="10" t="s">
        <v>83</v>
      </c>
      <c r="AD527" s="10" t="str">
        <f>IFERROR(VLOOKUP(B527,'Regiões Administrativas'!$A$1:$B$646,2,0),"")</f>
        <v>Marília</v>
      </c>
      <c r="AE527" s="10">
        <f>IFERROR(VLOOKUP(Form_Responses[[#This Row],[Município]],'Regiões Administrativas'!$A$1:$I$646,3,0),"")</f>
        <v>15476</v>
      </c>
      <c r="AF527" s="10">
        <f>IFERROR(VLOOKUP(Form_Responses[[#This Row],[Município]],'Regiões Administrativas'!$A$1:$I$646,4,0),"")</f>
        <v>350400805000001</v>
      </c>
      <c r="AG527" s="10">
        <f>IFERROR(VLOOKUP(Form_Responses[[#This Row],[Município]],'Regiões Administrativas'!$A$1:$I$646,4,0),"")</f>
        <v>350400805000001</v>
      </c>
      <c r="AH527" s="10">
        <f>IFERROR(VLOOKUP(B527,'Regiões Administrativas'!$A$1:$I$646,5,0),"")</f>
        <v>3504008</v>
      </c>
      <c r="AI527" s="10">
        <f>IFERROR(VLOOKUP(B527,'Regiões Administrativas'!$A$1:$I$646,6,0),"")</f>
        <v>-50.41751</v>
      </c>
      <c r="AJ527" s="10">
        <f>IFERROR(VLOOKUP(B527,'Regiões Administrativas'!$A$1:$I$646,8,0),"")</f>
        <v>562.42563199999995</v>
      </c>
      <c r="AK527" s="10" t="str">
        <f>IFERROR(VLOOKUP(Form_Responses[[#This Row],[Município]],'Regiões Administrativas'!$A$1:$I$646,9,0),"")</f>
        <v>1J6RrHW.Q9P-</v>
      </c>
    </row>
    <row r="528" spans="1:37" ht="22.5" customHeight="1">
      <c r="A528" s="15">
        <v>46065.442319004629</v>
      </c>
      <c r="B528" s="10" t="s">
        <v>2575</v>
      </c>
      <c r="C528" s="10" t="s">
        <v>2576</v>
      </c>
      <c r="D528" s="10" t="s">
        <v>2592</v>
      </c>
      <c r="E528" s="10" t="s">
        <v>2593</v>
      </c>
      <c r="G528" s="10" t="s">
        <v>2594</v>
      </c>
      <c r="I528" s="10" t="s">
        <v>128</v>
      </c>
      <c r="J528" s="16">
        <v>46122</v>
      </c>
      <c r="K528" s="16">
        <v>46124</v>
      </c>
      <c r="L528" s="17">
        <v>0.75</v>
      </c>
      <c r="N528" s="10" t="s">
        <v>98</v>
      </c>
      <c r="O528" s="10" t="s">
        <v>45</v>
      </c>
      <c r="P528" s="10" t="s">
        <v>63</v>
      </c>
      <c r="Q528" s="10" t="s">
        <v>47</v>
      </c>
      <c r="R528" s="10" t="s">
        <v>48</v>
      </c>
      <c r="S528" s="10">
        <v>10000</v>
      </c>
      <c r="W528" s="10" t="s">
        <v>2595</v>
      </c>
      <c r="X528" s="72" t="s">
        <v>2596</v>
      </c>
      <c r="Y528" s="72" t="s">
        <v>2596</v>
      </c>
      <c r="Z528" s="10" t="s">
        <v>66</v>
      </c>
      <c r="AA528" s="10" t="s">
        <v>66</v>
      </c>
      <c r="AB528" s="10" t="s">
        <v>66</v>
      </c>
      <c r="AC528" s="10" t="s">
        <v>94</v>
      </c>
      <c r="AD528" s="10" t="str">
        <f>IFERROR(VLOOKUP(B528,'Regiões Administrativas'!$A$1:$B$646,2,0),"")</f>
        <v>Marília</v>
      </c>
      <c r="AE528" s="10">
        <f>IFERROR(VLOOKUP(Form_Responses[[#This Row],[Município]],'Regiões Administrativas'!$A$1:$I$646,3,0),"")</f>
        <v>15476</v>
      </c>
      <c r="AF528" s="10">
        <f>IFERROR(VLOOKUP(Form_Responses[[#This Row],[Município]],'Regiões Administrativas'!$A$1:$I$646,4,0),"")</f>
        <v>350400805000001</v>
      </c>
      <c r="AG528" s="10">
        <f>IFERROR(VLOOKUP(Form_Responses[[#This Row],[Município]],'Regiões Administrativas'!$A$1:$I$646,4,0),"")</f>
        <v>350400805000001</v>
      </c>
      <c r="AH528" s="10">
        <f>IFERROR(VLOOKUP(B528,'Regiões Administrativas'!$A$1:$I$646,5,0),"")</f>
        <v>3504008</v>
      </c>
      <c r="AI528" s="10">
        <f>IFERROR(VLOOKUP(B528,'Regiões Administrativas'!$A$1:$I$646,6,0),"")</f>
        <v>-50.41751</v>
      </c>
      <c r="AJ528" s="10">
        <f>IFERROR(VLOOKUP(B528,'Regiões Administrativas'!$A$1:$I$646,8,0),"")</f>
        <v>562.42563199999995</v>
      </c>
      <c r="AK528" s="10" t="str">
        <f>IFERROR(VLOOKUP(Form_Responses[[#This Row],[Município]],'Regiões Administrativas'!$A$1:$I$646,9,0),"")</f>
        <v>1J6RrHW.Q9P-</v>
      </c>
    </row>
    <row r="529" spans="1:37" ht="22.5" customHeight="1">
      <c r="A529" s="18">
        <v>46065.444908993057</v>
      </c>
      <c r="B529" s="10" t="s">
        <v>1235</v>
      </c>
      <c r="C529" s="10" t="s">
        <v>1236</v>
      </c>
      <c r="D529" s="10" t="s">
        <v>2597</v>
      </c>
      <c r="E529" s="10" t="s">
        <v>2598</v>
      </c>
      <c r="G529" s="10" t="s">
        <v>2599</v>
      </c>
      <c r="I529" s="10" t="s">
        <v>109</v>
      </c>
      <c r="J529" s="16">
        <v>46090</v>
      </c>
      <c r="K529" s="16">
        <v>46090</v>
      </c>
      <c r="N529" s="10" t="s">
        <v>61</v>
      </c>
      <c r="O529" s="10" t="s">
        <v>190</v>
      </c>
      <c r="P529" s="10" t="s">
        <v>63</v>
      </c>
      <c r="Q529" s="10" t="s">
        <v>47</v>
      </c>
      <c r="R529" s="10" t="s">
        <v>256</v>
      </c>
      <c r="S529" s="10">
        <v>300</v>
      </c>
      <c r="W529" s="10" t="s">
        <v>2600</v>
      </c>
      <c r="Y529" s="10" t="s">
        <v>2601</v>
      </c>
      <c r="Z529" s="10" t="s">
        <v>66</v>
      </c>
      <c r="AA529" s="10" t="s">
        <v>66</v>
      </c>
      <c r="AB529" s="10" t="s">
        <v>66</v>
      </c>
      <c r="AC529" s="10" t="s">
        <v>68</v>
      </c>
      <c r="AD529" s="10" t="str">
        <f>IFERROR(VLOOKUP(B529,'Regiões Administrativas'!$A$1:$B$646,2,0),"")</f>
        <v>RMSP</v>
      </c>
      <c r="AE529" s="10">
        <f>IFERROR(VLOOKUP(Form_Responses[[#This Row],[Município]],'Regiões Administrativas'!$A$1:$I$646,3,0),"")</f>
        <v>15696</v>
      </c>
      <c r="AF529" s="10">
        <f>IFERROR(VLOOKUP(Form_Responses[[#This Row],[Município]],'Regiões Administrativas'!$A$1:$I$646,4,0),"")</f>
        <v>350920505000001</v>
      </c>
      <c r="AG529" s="10">
        <f>IFERROR(VLOOKUP(Form_Responses[[#This Row],[Município]],'Regiões Administrativas'!$A$1:$I$646,4,0),"")</f>
        <v>350920505000001</v>
      </c>
      <c r="AH529" s="10">
        <f>IFERROR(VLOOKUP(B529,'Regiões Administrativas'!$A$1:$I$646,5,0),"")</f>
        <v>3509205</v>
      </c>
      <c r="AI529" s="10">
        <f>IFERROR(VLOOKUP(B529,'Regiões Administrativas'!$A$1:$I$646,6,0),"")</f>
        <v>-46.8829201</v>
      </c>
      <c r="AJ529" s="10">
        <f>IFERROR(VLOOKUP(B529,'Regiões Administrativas'!$A$1:$I$646,8,0),"")</f>
        <v>867.050792</v>
      </c>
      <c r="AK529" s="10" t="str">
        <f>IFERROR(VLOOKUP(Form_Responses[[#This Row],[Município]],'Regiões Administrativas'!$A$1:$I$646,9,0),"")</f>
        <v>1J6tLz2ReX+f</v>
      </c>
    </row>
    <row r="530" spans="1:37" ht="22.5" customHeight="1">
      <c r="A530" s="15">
        <v>46065.452466516203</v>
      </c>
      <c r="B530" s="10" t="s">
        <v>2575</v>
      </c>
      <c r="C530" s="10" t="s">
        <v>2576</v>
      </c>
      <c r="D530" s="10" t="s">
        <v>2602</v>
      </c>
      <c r="E530" s="10" t="s">
        <v>2603</v>
      </c>
      <c r="G530" s="10" t="s">
        <v>2604</v>
      </c>
      <c r="I530" s="10" t="s">
        <v>128</v>
      </c>
      <c r="J530" s="16">
        <v>46136</v>
      </c>
      <c r="K530" s="16">
        <v>46137</v>
      </c>
      <c r="L530" s="17">
        <v>0.625</v>
      </c>
      <c r="N530" s="10" t="s">
        <v>73</v>
      </c>
      <c r="O530" s="10" t="s">
        <v>190</v>
      </c>
      <c r="P530" s="10" t="s">
        <v>63</v>
      </c>
      <c r="Q530" s="10" t="s">
        <v>47</v>
      </c>
      <c r="R530" s="10" t="s">
        <v>74</v>
      </c>
      <c r="S530" s="10">
        <v>7000</v>
      </c>
      <c r="W530" s="10" t="s">
        <v>2605</v>
      </c>
      <c r="Y530" s="10" t="s">
        <v>2606</v>
      </c>
      <c r="Z530" s="10" t="s">
        <v>66</v>
      </c>
      <c r="AA530" s="10" t="s">
        <v>66</v>
      </c>
      <c r="AB530" s="10" t="s">
        <v>66</v>
      </c>
      <c r="AC530" s="10" t="s">
        <v>68</v>
      </c>
      <c r="AD530" s="10" t="str">
        <f>IFERROR(VLOOKUP(B530,'Regiões Administrativas'!$A$1:$B$646,2,0),"")</f>
        <v>Marília</v>
      </c>
      <c r="AE530" s="10">
        <f>IFERROR(VLOOKUP(Form_Responses[[#This Row],[Município]],'Regiões Administrativas'!$A$1:$I$646,3,0),"")</f>
        <v>15476</v>
      </c>
      <c r="AF530" s="10">
        <f>IFERROR(VLOOKUP(Form_Responses[[#This Row],[Município]],'Regiões Administrativas'!$A$1:$I$646,4,0),"")</f>
        <v>350400805000001</v>
      </c>
      <c r="AG530" s="10">
        <f>IFERROR(VLOOKUP(Form_Responses[[#This Row],[Município]],'Regiões Administrativas'!$A$1:$I$646,4,0),"")</f>
        <v>350400805000001</v>
      </c>
      <c r="AH530" s="10">
        <f>IFERROR(VLOOKUP(B530,'Regiões Administrativas'!$A$1:$I$646,5,0),"")</f>
        <v>3504008</v>
      </c>
      <c r="AI530" s="10">
        <f>IFERROR(VLOOKUP(B530,'Regiões Administrativas'!$A$1:$I$646,6,0),"")</f>
        <v>-50.41751</v>
      </c>
      <c r="AJ530" s="10">
        <f>IFERROR(VLOOKUP(B530,'Regiões Administrativas'!$A$1:$I$646,8,0),"")</f>
        <v>562.42563199999995</v>
      </c>
      <c r="AK530" s="10" t="str">
        <f>IFERROR(VLOOKUP(Form_Responses[[#This Row],[Município]],'Regiões Administrativas'!$A$1:$I$646,9,0),"")</f>
        <v>1J6RrHW.Q9P-</v>
      </c>
    </row>
    <row r="531" spans="1:37" ht="22.5" customHeight="1">
      <c r="A531" s="18">
        <v>46065.464571388889</v>
      </c>
      <c r="B531" s="10" t="s">
        <v>1534</v>
      </c>
      <c r="C531" s="10" t="s">
        <v>1210</v>
      </c>
      <c r="D531" s="10" t="s">
        <v>2607</v>
      </c>
      <c r="E531" s="10" t="s">
        <v>2608</v>
      </c>
      <c r="G531" s="10" t="s">
        <v>2555</v>
      </c>
      <c r="H531" s="72" t="s">
        <v>2609</v>
      </c>
      <c r="I531" s="10" t="s">
        <v>43</v>
      </c>
      <c r="J531" s="16">
        <v>46250</v>
      </c>
      <c r="K531" s="16">
        <v>46253</v>
      </c>
      <c r="N531" s="10" t="s">
        <v>641</v>
      </c>
      <c r="O531" s="10" t="s">
        <v>642</v>
      </c>
      <c r="P531" s="10" t="s">
        <v>63</v>
      </c>
      <c r="Q531" s="10" t="s">
        <v>47</v>
      </c>
      <c r="R531" s="10" t="s">
        <v>230</v>
      </c>
      <c r="S531" s="10">
        <v>3000</v>
      </c>
      <c r="W531" s="10" t="s">
        <v>2610</v>
      </c>
      <c r="X531" s="72" t="s">
        <v>2609</v>
      </c>
      <c r="Y531" s="10" t="s">
        <v>2611</v>
      </c>
      <c r="Z531" s="10" t="s">
        <v>224</v>
      </c>
      <c r="AA531" s="10" t="s">
        <v>2393</v>
      </c>
      <c r="AB531" s="10" t="s">
        <v>66</v>
      </c>
      <c r="AC531" s="10" t="s">
        <v>68</v>
      </c>
      <c r="AD531" s="10" t="str">
        <f>IFERROR(VLOOKUP(B531,'Regiões Administrativas'!$A$1:$B$646,2,0),"")</f>
        <v>São José dos Campos</v>
      </c>
      <c r="AE531" s="10">
        <f>IFERROR(VLOOKUP(Form_Responses[[#This Row],[Município]],'Regiões Administrativas'!$A$1:$I$646,3,0),"")</f>
        <v>15721</v>
      </c>
      <c r="AF531" s="10">
        <f>IFERROR(VLOOKUP(Form_Responses[[#This Row],[Município]],'Regiões Administrativas'!$A$1:$I$646,4,0),"")</f>
        <v>350970005000001</v>
      </c>
      <c r="AG531" s="10">
        <f>IFERROR(VLOOKUP(Form_Responses[[#This Row],[Município]],'Regiões Administrativas'!$A$1:$I$646,4,0),"")</f>
        <v>350970005000001</v>
      </c>
      <c r="AH531" s="10">
        <f>IFERROR(VLOOKUP(B531,'Regiões Administrativas'!$A$1:$I$646,5,0),"")</f>
        <v>3509700</v>
      </c>
      <c r="AI531" s="10">
        <f>IFERROR(VLOOKUP(B531,'Regiões Administrativas'!$A$1:$I$646,6,0),"")</f>
        <v>-45.589201699999997</v>
      </c>
      <c r="AJ531" s="10">
        <f>IFERROR(VLOOKUP(B531,'Regiões Administrativas'!$A$1:$I$646,8,0),"")</f>
        <v>1639.1545000000001</v>
      </c>
      <c r="AK531" s="10" t="str">
        <f>IFERROR(VLOOKUP(Form_Responses[[#This Row],[Município]],'Regiões Administrativas'!$A$1:$I$646,9,0),"")</f>
        <v>1J6trlyb{Ztf</v>
      </c>
    </row>
    <row r="532" spans="1:37" ht="22.5" customHeight="1">
      <c r="A532" s="18">
        <v>46065.4689549537</v>
      </c>
      <c r="B532" s="10" t="s">
        <v>1534</v>
      </c>
      <c r="C532" s="10" t="s">
        <v>1210</v>
      </c>
      <c r="D532" s="10" t="s">
        <v>2612</v>
      </c>
      <c r="E532" s="10" t="s">
        <v>2613</v>
      </c>
      <c r="G532" s="10" t="s">
        <v>2614</v>
      </c>
      <c r="H532" s="72" t="s">
        <v>2615</v>
      </c>
      <c r="I532" s="10" t="s">
        <v>43</v>
      </c>
      <c r="J532" s="16">
        <v>46257</v>
      </c>
      <c r="K532" s="16">
        <v>46257</v>
      </c>
      <c r="L532" s="17">
        <v>0.33333333333575865</v>
      </c>
      <c r="N532" s="10" t="s">
        <v>61</v>
      </c>
      <c r="O532" s="10" t="s">
        <v>62</v>
      </c>
      <c r="P532" s="10" t="s">
        <v>63</v>
      </c>
      <c r="Q532" s="10" t="s">
        <v>47</v>
      </c>
      <c r="R532" s="10" t="s">
        <v>48</v>
      </c>
      <c r="S532" s="10">
        <v>3000</v>
      </c>
      <c r="W532" s="10" t="s">
        <v>2616</v>
      </c>
      <c r="X532" s="72" t="s">
        <v>2615</v>
      </c>
      <c r="Y532" s="10" t="s">
        <v>2617</v>
      </c>
      <c r="Z532" s="10" t="s">
        <v>66</v>
      </c>
      <c r="AA532" s="10" t="s">
        <v>66</v>
      </c>
      <c r="AB532" s="10" t="s">
        <v>66</v>
      </c>
      <c r="AC532" s="10" t="s">
        <v>55</v>
      </c>
      <c r="AD532" s="10" t="str">
        <f>IFERROR(VLOOKUP(B532,'Regiões Administrativas'!$A$1:$B$646,2,0),"")</f>
        <v>São José dos Campos</v>
      </c>
      <c r="AE532" s="10">
        <f>IFERROR(VLOOKUP(Form_Responses[[#This Row],[Município]],'Regiões Administrativas'!$A$1:$I$646,3,0),"")</f>
        <v>15721</v>
      </c>
      <c r="AF532" s="10">
        <f>IFERROR(VLOOKUP(Form_Responses[[#This Row],[Município]],'Regiões Administrativas'!$A$1:$I$646,4,0),"")</f>
        <v>350970005000001</v>
      </c>
      <c r="AG532" s="10">
        <f>IFERROR(VLOOKUP(Form_Responses[[#This Row],[Município]],'Regiões Administrativas'!$A$1:$I$646,4,0),"")</f>
        <v>350970005000001</v>
      </c>
      <c r="AH532" s="10">
        <f>IFERROR(VLOOKUP(B532,'Regiões Administrativas'!$A$1:$I$646,5,0),"")</f>
        <v>3509700</v>
      </c>
      <c r="AI532" s="10">
        <f>IFERROR(VLOOKUP(B532,'Regiões Administrativas'!$A$1:$I$646,6,0),"")</f>
        <v>-45.589201699999997</v>
      </c>
      <c r="AJ532" s="10">
        <f>IFERROR(VLOOKUP(B532,'Regiões Administrativas'!$A$1:$I$646,8,0),"")</f>
        <v>1639.1545000000001</v>
      </c>
      <c r="AK532" s="10" t="str">
        <f>IFERROR(VLOOKUP(Form_Responses[[#This Row],[Município]],'Regiões Administrativas'!$A$1:$I$646,9,0),"")</f>
        <v>1J6trlyb{Ztf</v>
      </c>
    </row>
    <row r="533" spans="1:37" ht="22.5" customHeight="1">
      <c r="A533" s="18">
        <v>46065.476371400466</v>
      </c>
      <c r="B533" s="10" t="s">
        <v>1534</v>
      </c>
      <c r="C533" s="10" t="s">
        <v>1210</v>
      </c>
      <c r="D533" s="10" t="s">
        <v>2618</v>
      </c>
      <c r="E533" s="10" t="s">
        <v>2619</v>
      </c>
      <c r="G533" s="10" t="s">
        <v>2555</v>
      </c>
      <c r="H533" s="72" t="s">
        <v>2620</v>
      </c>
      <c r="I533" s="10" t="s">
        <v>43</v>
      </c>
      <c r="J533" s="16">
        <v>46261</v>
      </c>
      <c r="K533" s="16">
        <v>46263</v>
      </c>
      <c r="N533" s="10" t="s">
        <v>641</v>
      </c>
      <c r="O533" s="10" t="s">
        <v>642</v>
      </c>
      <c r="P533" s="10" t="s">
        <v>63</v>
      </c>
      <c r="Q533" s="10" t="s">
        <v>47</v>
      </c>
      <c r="R533" s="10" t="s">
        <v>48</v>
      </c>
      <c r="S533" s="10">
        <v>5000</v>
      </c>
      <c r="W533" s="10" t="s">
        <v>2621</v>
      </c>
      <c r="X533" s="72" t="s">
        <v>2620</v>
      </c>
      <c r="Y533" s="10" t="s">
        <v>2622</v>
      </c>
      <c r="Z533" s="10" t="s">
        <v>224</v>
      </c>
      <c r="AA533" s="10" t="s">
        <v>2393</v>
      </c>
      <c r="AB533" s="10" t="s">
        <v>66</v>
      </c>
      <c r="AC533" s="10" t="s">
        <v>55</v>
      </c>
      <c r="AD533" s="10" t="str">
        <f>IFERROR(VLOOKUP(B533,'Regiões Administrativas'!$A$1:$B$646,2,0),"")</f>
        <v>São José dos Campos</v>
      </c>
      <c r="AE533" s="10">
        <f>IFERROR(VLOOKUP(Form_Responses[[#This Row],[Município]],'Regiões Administrativas'!$A$1:$I$646,3,0),"")</f>
        <v>15721</v>
      </c>
      <c r="AF533" s="10">
        <f>IFERROR(VLOOKUP(Form_Responses[[#This Row],[Município]],'Regiões Administrativas'!$A$1:$I$646,4,0),"")</f>
        <v>350970005000001</v>
      </c>
      <c r="AG533" s="10">
        <f>IFERROR(VLOOKUP(Form_Responses[[#This Row],[Município]],'Regiões Administrativas'!$A$1:$I$646,4,0),"")</f>
        <v>350970005000001</v>
      </c>
      <c r="AH533" s="10">
        <f>IFERROR(VLOOKUP(B533,'Regiões Administrativas'!$A$1:$I$646,5,0),"")</f>
        <v>3509700</v>
      </c>
      <c r="AI533" s="10">
        <f>IFERROR(VLOOKUP(B533,'Regiões Administrativas'!$A$1:$I$646,6,0),"")</f>
        <v>-45.589201699999997</v>
      </c>
      <c r="AJ533" s="10">
        <f>IFERROR(VLOOKUP(B533,'Regiões Administrativas'!$A$1:$I$646,8,0),"")</f>
        <v>1639.1545000000001</v>
      </c>
      <c r="AK533" s="10" t="str">
        <f>IFERROR(VLOOKUP(Form_Responses[[#This Row],[Município]],'Regiões Administrativas'!$A$1:$I$646,9,0),"")</f>
        <v>1J6trlyb{Ztf</v>
      </c>
    </row>
    <row r="534" spans="1:37" ht="22.5" customHeight="1">
      <c r="A534" s="18">
        <v>46065.486250636575</v>
      </c>
      <c r="B534" s="10" t="s">
        <v>1534</v>
      </c>
      <c r="C534" s="10" t="s">
        <v>1210</v>
      </c>
      <c r="D534" s="10" t="s">
        <v>2623</v>
      </c>
      <c r="E534" s="10" t="s">
        <v>2624</v>
      </c>
      <c r="G534" s="10" t="s">
        <v>2625</v>
      </c>
      <c r="H534" s="72" t="s">
        <v>2626</v>
      </c>
      <c r="I534" s="10" t="s">
        <v>43</v>
      </c>
      <c r="J534" s="16">
        <v>46262</v>
      </c>
      <c r="K534" s="16">
        <v>46264</v>
      </c>
      <c r="N534" s="10" t="s">
        <v>61</v>
      </c>
      <c r="O534" s="10" t="s">
        <v>62</v>
      </c>
      <c r="P534" s="10" t="s">
        <v>63</v>
      </c>
      <c r="Q534" s="10" t="s">
        <v>47</v>
      </c>
      <c r="R534" s="10" t="s">
        <v>48</v>
      </c>
      <c r="S534" s="10">
        <v>3000</v>
      </c>
      <c r="W534" s="10" t="s">
        <v>2627</v>
      </c>
      <c r="X534" s="72" t="s">
        <v>2626</v>
      </c>
      <c r="Y534" s="10" t="s">
        <v>2628</v>
      </c>
      <c r="Z534" s="10" t="s">
        <v>66</v>
      </c>
      <c r="AA534" s="10" t="s">
        <v>66</v>
      </c>
      <c r="AB534" s="10" t="s">
        <v>66</v>
      </c>
      <c r="AC534" s="10" t="s">
        <v>83</v>
      </c>
      <c r="AD534" s="10" t="str">
        <f>IFERROR(VLOOKUP(B534,'Regiões Administrativas'!$A$1:$B$646,2,0),"")</f>
        <v>São José dos Campos</v>
      </c>
      <c r="AE534" s="10">
        <f>IFERROR(VLOOKUP(Form_Responses[[#This Row],[Município]],'Regiões Administrativas'!$A$1:$I$646,3,0),"")</f>
        <v>15721</v>
      </c>
      <c r="AF534" s="10">
        <f>IFERROR(VLOOKUP(Form_Responses[[#This Row],[Município]],'Regiões Administrativas'!$A$1:$I$646,4,0),"")</f>
        <v>350970005000001</v>
      </c>
      <c r="AG534" s="10">
        <f>IFERROR(VLOOKUP(Form_Responses[[#This Row],[Município]],'Regiões Administrativas'!$A$1:$I$646,4,0),"")</f>
        <v>350970005000001</v>
      </c>
      <c r="AH534" s="10">
        <f>IFERROR(VLOOKUP(B534,'Regiões Administrativas'!$A$1:$I$646,5,0),"")</f>
        <v>3509700</v>
      </c>
      <c r="AI534" s="10">
        <f>IFERROR(VLOOKUP(B534,'Regiões Administrativas'!$A$1:$I$646,6,0),"")</f>
        <v>-45.589201699999997</v>
      </c>
      <c r="AJ534" s="10">
        <f>IFERROR(VLOOKUP(B534,'Regiões Administrativas'!$A$1:$I$646,8,0),"")</f>
        <v>1639.1545000000001</v>
      </c>
      <c r="AK534" s="10" t="str">
        <f>IFERROR(VLOOKUP(Form_Responses[[#This Row],[Município]],'Regiões Administrativas'!$A$1:$I$646,9,0),"")</f>
        <v>1J6trlyb{Ztf</v>
      </c>
    </row>
    <row r="535" spans="1:37" ht="22.5" customHeight="1">
      <c r="A535" s="15">
        <v>46065.488432708335</v>
      </c>
      <c r="B535" s="10" t="s">
        <v>1235</v>
      </c>
      <c r="C535" s="10" t="s">
        <v>1236</v>
      </c>
      <c r="D535" s="10" t="s">
        <v>2629</v>
      </c>
      <c r="E535" s="10" t="s">
        <v>2630</v>
      </c>
      <c r="G535" s="10" t="s">
        <v>2572</v>
      </c>
      <c r="I535" s="10" t="s">
        <v>220</v>
      </c>
      <c r="N535" s="10" t="s">
        <v>44</v>
      </c>
      <c r="O535" s="10" t="s">
        <v>45</v>
      </c>
      <c r="P535" s="10" t="s">
        <v>46</v>
      </c>
      <c r="Q535" s="10" t="s">
        <v>47</v>
      </c>
      <c r="R535" s="10" t="s">
        <v>48</v>
      </c>
      <c r="S535" s="10">
        <v>25000</v>
      </c>
      <c r="W535" s="10" t="s">
        <v>2584</v>
      </c>
      <c r="Y535" s="10" t="s">
        <v>2574</v>
      </c>
      <c r="Z535" s="10" t="s">
        <v>66</v>
      </c>
      <c r="AA535" s="10" t="s">
        <v>244</v>
      </c>
      <c r="AB535" s="10" t="s">
        <v>66</v>
      </c>
      <c r="AC535" s="10" t="s">
        <v>68</v>
      </c>
      <c r="AD535" s="10" t="str">
        <f>IFERROR(VLOOKUP(B535,'Regiões Administrativas'!$A$1:$B$646,2,0),"")</f>
        <v>RMSP</v>
      </c>
      <c r="AE535" s="10">
        <f>IFERROR(VLOOKUP(Form_Responses[[#This Row],[Município]],'Regiões Administrativas'!$A$1:$I$646,3,0),"")</f>
        <v>15696</v>
      </c>
      <c r="AF535" s="10">
        <f>IFERROR(VLOOKUP(Form_Responses[[#This Row],[Município]],'Regiões Administrativas'!$A$1:$I$646,4,0),"")</f>
        <v>350920505000001</v>
      </c>
      <c r="AG535" s="10">
        <f>IFERROR(VLOOKUP(Form_Responses[[#This Row],[Município]],'Regiões Administrativas'!$A$1:$I$646,4,0),"")</f>
        <v>350920505000001</v>
      </c>
      <c r="AH535" s="10">
        <f>IFERROR(VLOOKUP(B535,'Regiões Administrativas'!$A$1:$I$646,5,0),"")</f>
        <v>3509205</v>
      </c>
      <c r="AI535" s="10">
        <f>IFERROR(VLOOKUP(B535,'Regiões Administrativas'!$A$1:$I$646,6,0),"")</f>
        <v>-46.8829201</v>
      </c>
      <c r="AJ535" s="10">
        <f>IFERROR(VLOOKUP(B535,'Regiões Administrativas'!$A$1:$I$646,8,0),"")</f>
        <v>867.050792</v>
      </c>
      <c r="AK535" s="10" t="str">
        <f>IFERROR(VLOOKUP(Form_Responses[[#This Row],[Município]],'Regiões Administrativas'!$A$1:$I$646,9,0),"")</f>
        <v>1J6tLz2ReX+f</v>
      </c>
    </row>
    <row r="536" spans="1:37" ht="22.5" customHeight="1">
      <c r="A536" s="18">
        <v>46065.51043451389</v>
      </c>
      <c r="B536" s="10" t="s">
        <v>1534</v>
      </c>
      <c r="C536" s="10" t="s">
        <v>1210</v>
      </c>
      <c r="D536" s="10" t="s">
        <v>2631</v>
      </c>
      <c r="E536" s="10" t="s">
        <v>2632</v>
      </c>
      <c r="G536" s="10" t="s">
        <v>2633</v>
      </c>
      <c r="H536" s="72" t="s">
        <v>2634</v>
      </c>
      <c r="I536" s="10" t="s">
        <v>81</v>
      </c>
      <c r="J536" s="16">
        <v>46274</v>
      </c>
      <c r="K536" s="16">
        <v>46277</v>
      </c>
      <c r="N536" s="10" t="s">
        <v>73</v>
      </c>
      <c r="O536" s="10" t="s">
        <v>45</v>
      </c>
      <c r="P536" s="10" t="s">
        <v>63</v>
      </c>
      <c r="Q536" s="10" t="s">
        <v>47</v>
      </c>
      <c r="R536" s="10" t="s">
        <v>48</v>
      </c>
      <c r="S536" s="10">
        <v>3000</v>
      </c>
      <c r="W536" s="10" t="s">
        <v>2635</v>
      </c>
      <c r="Y536" s="10" t="s">
        <v>2636</v>
      </c>
      <c r="Z536" s="10" t="s">
        <v>66</v>
      </c>
      <c r="AA536" s="10" t="s">
        <v>66</v>
      </c>
      <c r="AB536" s="10" t="s">
        <v>66</v>
      </c>
      <c r="AC536" s="10" t="s">
        <v>68</v>
      </c>
      <c r="AD536" s="10" t="str">
        <f>IFERROR(VLOOKUP(B536,'Regiões Administrativas'!$A$1:$B$646,2,0),"")</f>
        <v>São José dos Campos</v>
      </c>
      <c r="AE536" s="10">
        <f>IFERROR(VLOOKUP(Form_Responses[[#This Row],[Município]],'Regiões Administrativas'!$A$1:$I$646,3,0),"")</f>
        <v>15721</v>
      </c>
      <c r="AF536" s="10">
        <f>IFERROR(VLOOKUP(Form_Responses[[#This Row],[Município]],'Regiões Administrativas'!$A$1:$I$646,4,0),"")</f>
        <v>350970005000001</v>
      </c>
      <c r="AG536" s="10">
        <f>IFERROR(VLOOKUP(Form_Responses[[#This Row],[Município]],'Regiões Administrativas'!$A$1:$I$646,4,0),"")</f>
        <v>350970005000001</v>
      </c>
      <c r="AH536" s="10">
        <f>IFERROR(VLOOKUP(B536,'Regiões Administrativas'!$A$1:$I$646,5,0),"")</f>
        <v>3509700</v>
      </c>
      <c r="AI536" s="10">
        <f>IFERROR(VLOOKUP(B536,'Regiões Administrativas'!$A$1:$I$646,6,0),"")</f>
        <v>-45.589201699999997</v>
      </c>
      <c r="AJ536" s="10">
        <f>IFERROR(VLOOKUP(B536,'Regiões Administrativas'!$A$1:$I$646,8,0),"")</f>
        <v>1639.1545000000001</v>
      </c>
      <c r="AK536" s="10" t="str">
        <f>IFERROR(VLOOKUP(Form_Responses[[#This Row],[Município]],'Regiões Administrativas'!$A$1:$I$646,9,0),"")</f>
        <v>1J6trlyb{Ztf</v>
      </c>
    </row>
    <row r="537" spans="1:37" ht="22.5" customHeight="1">
      <c r="A537" s="18">
        <v>46065.589253275466</v>
      </c>
      <c r="B537" s="10" t="s">
        <v>1534</v>
      </c>
      <c r="C537" s="10" t="s">
        <v>1210</v>
      </c>
      <c r="D537" s="10" t="s">
        <v>2637</v>
      </c>
      <c r="E537" s="10" t="s">
        <v>2638</v>
      </c>
      <c r="G537" s="10" t="s">
        <v>2639</v>
      </c>
      <c r="H537" s="72" t="s">
        <v>2640</v>
      </c>
      <c r="I537" s="10" t="s">
        <v>81</v>
      </c>
      <c r="J537" s="16">
        <v>46284</v>
      </c>
      <c r="K537" s="16">
        <v>46284</v>
      </c>
      <c r="N537" s="10" t="s">
        <v>61</v>
      </c>
      <c r="O537" s="10" t="s">
        <v>62</v>
      </c>
      <c r="P537" s="10" t="s">
        <v>63</v>
      </c>
      <c r="Q537" s="10" t="s">
        <v>47</v>
      </c>
      <c r="R537" s="10" t="s">
        <v>48</v>
      </c>
      <c r="S537" s="10">
        <v>3000</v>
      </c>
      <c r="W537" s="10" t="s">
        <v>2641</v>
      </c>
      <c r="X537" s="72" t="s">
        <v>2640</v>
      </c>
      <c r="Y537" s="10" t="s">
        <v>2642</v>
      </c>
      <c r="Z537" s="10" t="s">
        <v>66</v>
      </c>
      <c r="AA537" s="10" t="s">
        <v>66</v>
      </c>
      <c r="AB537" s="10" t="s">
        <v>66</v>
      </c>
      <c r="AC537" s="10" t="s">
        <v>83</v>
      </c>
      <c r="AD537" s="10" t="str">
        <f>IFERROR(VLOOKUP(B537,'Regiões Administrativas'!$A$1:$B$646,2,0),"")</f>
        <v>São José dos Campos</v>
      </c>
      <c r="AE537" s="10">
        <f>IFERROR(VLOOKUP(Form_Responses[[#This Row],[Município]],'Regiões Administrativas'!$A$1:$I$646,3,0),"")</f>
        <v>15721</v>
      </c>
      <c r="AF537" s="10">
        <f>IFERROR(VLOOKUP(Form_Responses[[#This Row],[Município]],'Regiões Administrativas'!$A$1:$I$646,4,0),"")</f>
        <v>350970005000001</v>
      </c>
      <c r="AG537" s="10">
        <f>IFERROR(VLOOKUP(Form_Responses[[#This Row],[Município]],'Regiões Administrativas'!$A$1:$I$646,4,0),"")</f>
        <v>350970005000001</v>
      </c>
      <c r="AH537" s="10">
        <f>IFERROR(VLOOKUP(B537,'Regiões Administrativas'!$A$1:$I$646,5,0),"")</f>
        <v>3509700</v>
      </c>
      <c r="AI537" s="10">
        <f>IFERROR(VLOOKUP(B537,'Regiões Administrativas'!$A$1:$I$646,6,0),"")</f>
        <v>-45.589201699999997</v>
      </c>
      <c r="AJ537" s="10">
        <f>IFERROR(VLOOKUP(B537,'Regiões Administrativas'!$A$1:$I$646,8,0),"")</f>
        <v>1639.1545000000001</v>
      </c>
      <c r="AK537" s="10" t="str">
        <f>IFERROR(VLOOKUP(Form_Responses[[#This Row],[Município]],'Regiões Administrativas'!$A$1:$I$646,9,0),"")</f>
        <v>1J6trlyb{Ztf</v>
      </c>
    </row>
    <row r="538" spans="1:37" ht="22.5" customHeight="1">
      <c r="A538" s="18">
        <v>46065.596619444448</v>
      </c>
      <c r="B538" s="10" t="s">
        <v>1534</v>
      </c>
      <c r="C538" s="10" t="s">
        <v>1210</v>
      </c>
      <c r="D538" s="10" t="s">
        <v>2643</v>
      </c>
      <c r="E538" s="10" t="s">
        <v>2644</v>
      </c>
      <c r="G538" s="10" t="s">
        <v>2633</v>
      </c>
      <c r="H538" s="72" t="s">
        <v>2645</v>
      </c>
      <c r="I538" s="10" t="s">
        <v>81</v>
      </c>
      <c r="J538" s="16">
        <v>46290</v>
      </c>
      <c r="K538" s="16">
        <v>46292</v>
      </c>
      <c r="N538" s="10" t="s">
        <v>61</v>
      </c>
      <c r="O538" s="10" t="s">
        <v>62</v>
      </c>
      <c r="P538" s="10" t="s">
        <v>63</v>
      </c>
      <c r="Q538" s="10" t="s">
        <v>47</v>
      </c>
      <c r="R538" s="10" t="s">
        <v>230</v>
      </c>
      <c r="S538" s="10">
        <v>12000</v>
      </c>
      <c r="T538" s="10">
        <v>10000</v>
      </c>
      <c r="W538" s="10" t="s">
        <v>2646</v>
      </c>
      <c r="X538" s="72" t="s">
        <v>2647</v>
      </c>
      <c r="Y538" s="10" t="s">
        <v>2648</v>
      </c>
      <c r="Z538" s="10" t="s">
        <v>66</v>
      </c>
      <c r="AA538" s="10" t="s">
        <v>66</v>
      </c>
      <c r="AB538" s="10" t="s">
        <v>66</v>
      </c>
      <c r="AC538" s="10" t="s">
        <v>55</v>
      </c>
      <c r="AD538" s="10" t="str">
        <f>IFERROR(VLOOKUP(B538,'Regiões Administrativas'!$A$1:$B$646,2,0),"")</f>
        <v>São José dos Campos</v>
      </c>
      <c r="AE538" s="10">
        <f>IFERROR(VLOOKUP(Form_Responses[[#This Row],[Município]],'Regiões Administrativas'!$A$1:$I$646,3,0),"")</f>
        <v>15721</v>
      </c>
      <c r="AF538" s="10">
        <f>IFERROR(VLOOKUP(Form_Responses[[#This Row],[Município]],'Regiões Administrativas'!$A$1:$I$646,4,0),"")</f>
        <v>350970005000001</v>
      </c>
      <c r="AG538" s="10">
        <f>IFERROR(VLOOKUP(Form_Responses[[#This Row],[Município]],'Regiões Administrativas'!$A$1:$I$646,4,0),"")</f>
        <v>350970005000001</v>
      </c>
      <c r="AH538" s="10">
        <f>IFERROR(VLOOKUP(B538,'Regiões Administrativas'!$A$1:$I$646,5,0),"")</f>
        <v>3509700</v>
      </c>
      <c r="AI538" s="10">
        <f>IFERROR(VLOOKUP(B538,'Regiões Administrativas'!$A$1:$I$646,6,0),"")</f>
        <v>-45.589201699999997</v>
      </c>
      <c r="AJ538" s="10">
        <f>IFERROR(VLOOKUP(B538,'Regiões Administrativas'!$A$1:$I$646,8,0),"")</f>
        <v>1639.1545000000001</v>
      </c>
      <c r="AK538" s="10" t="str">
        <f>IFERROR(VLOOKUP(Form_Responses[[#This Row],[Município]],'Regiões Administrativas'!$A$1:$I$646,9,0),"")</f>
        <v>1J6trlyb{Ztf</v>
      </c>
    </row>
    <row r="539" spans="1:37" ht="22.5" customHeight="1">
      <c r="A539" s="15">
        <v>46065.619309050926</v>
      </c>
      <c r="B539" s="10" t="s">
        <v>2575</v>
      </c>
      <c r="C539" s="10" t="s">
        <v>2576</v>
      </c>
      <c r="D539" s="10" t="s">
        <v>2649</v>
      </c>
      <c r="E539" s="10" t="s">
        <v>2650</v>
      </c>
      <c r="G539" s="10" t="s">
        <v>2651</v>
      </c>
      <c r="H539" s="10" t="s">
        <v>2606</v>
      </c>
      <c r="I539" s="10" t="s">
        <v>220</v>
      </c>
      <c r="J539" s="16">
        <v>46171</v>
      </c>
      <c r="K539" s="16">
        <v>46172</v>
      </c>
      <c r="L539" s="17">
        <v>0.70833333333575865</v>
      </c>
      <c r="N539" s="10" t="s">
        <v>73</v>
      </c>
      <c r="O539" s="10" t="s">
        <v>45</v>
      </c>
      <c r="P539" s="10" t="s">
        <v>63</v>
      </c>
      <c r="Q539" s="10" t="s">
        <v>47</v>
      </c>
      <c r="R539" s="10" t="s">
        <v>48</v>
      </c>
      <c r="S539" s="10">
        <v>25000</v>
      </c>
      <c r="T539" s="10">
        <v>20000</v>
      </c>
      <c r="W539" s="10" t="s">
        <v>2652</v>
      </c>
      <c r="Y539" s="10" t="s">
        <v>2581</v>
      </c>
      <c r="Z539" s="10" t="s">
        <v>66</v>
      </c>
      <c r="AA539" s="10" t="s">
        <v>66</v>
      </c>
      <c r="AB539" s="10" t="s">
        <v>66</v>
      </c>
      <c r="AC539" s="10" t="s">
        <v>83</v>
      </c>
      <c r="AD539" s="10" t="str">
        <f>IFERROR(VLOOKUP(B539,'Regiões Administrativas'!$A$1:$B$646,2,0),"")</f>
        <v>Marília</v>
      </c>
      <c r="AE539" s="10">
        <f>IFERROR(VLOOKUP(Form_Responses[[#This Row],[Município]],'Regiões Administrativas'!$A$1:$I$646,3,0),"")</f>
        <v>15476</v>
      </c>
      <c r="AF539" s="10">
        <f>IFERROR(VLOOKUP(Form_Responses[[#This Row],[Município]],'Regiões Administrativas'!$A$1:$I$646,4,0),"")</f>
        <v>350400805000001</v>
      </c>
      <c r="AG539" s="10">
        <f>IFERROR(VLOOKUP(Form_Responses[[#This Row],[Município]],'Regiões Administrativas'!$A$1:$I$646,4,0),"")</f>
        <v>350400805000001</v>
      </c>
      <c r="AH539" s="10">
        <f>IFERROR(VLOOKUP(B539,'Regiões Administrativas'!$A$1:$I$646,5,0),"")</f>
        <v>3504008</v>
      </c>
      <c r="AI539" s="10">
        <f>IFERROR(VLOOKUP(B539,'Regiões Administrativas'!$A$1:$I$646,6,0),"")</f>
        <v>-50.41751</v>
      </c>
      <c r="AJ539" s="10">
        <f>IFERROR(VLOOKUP(B539,'Regiões Administrativas'!$A$1:$I$646,8,0),"")</f>
        <v>562.42563199999995</v>
      </c>
      <c r="AK539" s="10" t="str">
        <f>IFERROR(VLOOKUP(Form_Responses[[#This Row],[Município]],'Regiões Administrativas'!$A$1:$I$646,9,0),"")</f>
        <v>1J6RrHW.Q9P-</v>
      </c>
    </row>
    <row r="540" spans="1:37" ht="22.5" customHeight="1">
      <c r="A540" s="18">
        <v>46065.624192800926</v>
      </c>
      <c r="B540" s="10" t="s">
        <v>1534</v>
      </c>
      <c r="C540" s="10" t="s">
        <v>1210</v>
      </c>
      <c r="D540" s="10" t="s">
        <v>2653</v>
      </c>
      <c r="E540" s="10" t="s">
        <v>2654</v>
      </c>
      <c r="G540" s="10" t="s">
        <v>2655</v>
      </c>
      <c r="H540" s="72" t="s">
        <v>2656</v>
      </c>
      <c r="I540" s="10" t="s">
        <v>255</v>
      </c>
      <c r="J540" s="16">
        <v>46305</v>
      </c>
      <c r="K540" s="16">
        <v>46306</v>
      </c>
      <c r="N540" s="10" t="s">
        <v>61</v>
      </c>
      <c r="O540" s="10" t="s">
        <v>62</v>
      </c>
      <c r="P540" s="10" t="s">
        <v>63</v>
      </c>
      <c r="Q540" s="10" t="s">
        <v>47</v>
      </c>
      <c r="R540" s="10" t="s">
        <v>230</v>
      </c>
      <c r="S540" s="10">
        <v>6000</v>
      </c>
      <c r="W540" s="10" t="s">
        <v>2657</v>
      </c>
      <c r="X540" s="72" t="s">
        <v>2658</v>
      </c>
      <c r="Y540" s="10" t="s">
        <v>2659</v>
      </c>
      <c r="Z540" s="10" t="s">
        <v>66</v>
      </c>
      <c r="AA540" s="10" t="s">
        <v>66</v>
      </c>
      <c r="AB540" s="10" t="s">
        <v>66</v>
      </c>
      <c r="AC540" s="10" t="s">
        <v>68</v>
      </c>
      <c r="AD540" s="10" t="str">
        <f>IFERROR(VLOOKUP(B540,'Regiões Administrativas'!$A$1:$B$646,2,0),"")</f>
        <v>São José dos Campos</v>
      </c>
      <c r="AE540" s="10">
        <f>IFERROR(VLOOKUP(Form_Responses[[#This Row],[Município]],'Regiões Administrativas'!$A$1:$I$646,3,0),"")</f>
        <v>15721</v>
      </c>
      <c r="AF540" s="10">
        <f>IFERROR(VLOOKUP(Form_Responses[[#This Row],[Município]],'Regiões Administrativas'!$A$1:$I$646,4,0),"")</f>
        <v>350970005000001</v>
      </c>
      <c r="AG540" s="10">
        <f>IFERROR(VLOOKUP(Form_Responses[[#This Row],[Município]],'Regiões Administrativas'!$A$1:$I$646,4,0),"")</f>
        <v>350970005000001</v>
      </c>
      <c r="AH540" s="10">
        <f>IFERROR(VLOOKUP(B540,'Regiões Administrativas'!$A$1:$I$646,5,0),"")</f>
        <v>3509700</v>
      </c>
      <c r="AI540" s="10">
        <f>IFERROR(VLOOKUP(B540,'Regiões Administrativas'!$A$1:$I$646,6,0),"")</f>
        <v>-45.589201699999997</v>
      </c>
      <c r="AJ540" s="10">
        <f>IFERROR(VLOOKUP(B540,'Regiões Administrativas'!$A$1:$I$646,8,0),"")</f>
        <v>1639.1545000000001</v>
      </c>
      <c r="AK540" s="10" t="str">
        <f>IFERROR(VLOOKUP(Form_Responses[[#This Row],[Município]],'Regiões Administrativas'!$A$1:$I$646,9,0),"")</f>
        <v>1J6trlyb{Ztf</v>
      </c>
    </row>
    <row r="541" spans="1:37" ht="22.5" customHeight="1">
      <c r="A541" s="15">
        <v>46065.624235300929</v>
      </c>
      <c r="B541" s="10" t="s">
        <v>2575</v>
      </c>
      <c r="C541" s="10" t="s">
        <v>2576</v>
      </c>
      <c r="D541" s="10" t="s">
        <v>1485</v>
      </c>
      <c r="E541" s="10" t="s">
        <v>2660</v>
      </c>
      <c r="G541" s="10" t="s">
        <v>2661</v>
      </c>
      <c r="H541" s="10" t="s">
        <v>2581</v>
      </c>
      <c r="I541" s="10" t="s">
        <v>220</v>
      </c>
      <c r="J541" s="16">
        <v>46143</v>
      </c>
      <c r="K541" s="16">
        <v>46143</v>
      </c>
      <c r="N541" s="10" t="s">
        <v>98</v>
      </c>
      <c r="O541" s="10" t="s">
        <v>221</v>
      </c>
      <c r="P541" s="10" t="s">
        <v>221</v>
      </c>
      <c r="Q541" s="10" t="s">
        <v>47</v>
      </c>
      <c r="R541" s="10" t="s">
        <v>74</v>
      </c>
      <c r="S541" s="10">
        <v>1500</v>
      </c>
      <c r="W541" s="10" t="s">
        <v>2662</v>
      </c>
      <c r="X541" s="10" t="s">
        <v>2581</v>
      </c>
      <c r="Y541" s="10" t="s">
        <v>2581</v>
      </c>
      <c r="Z541" s="10" t="s">
        <v>66</v>
      </c>
      <c r="AA541" s="10" t="s">
        <v>66</v>
      </c>
      <c r="AB541" s="10" t="s">
        <v>66</v>
      </c>
      <c r="AC541" s="10" t="s">
        <v>68</v>
      </c>
      <c r="AD541" s="10" t="str">
        <f>IFERROR(VLOOKUP(B541,'Regiões Administrativas'!$A$1:$B$646,2,0),"")</f>
        <v>Marília</v>
      </c>
      <c r="AE541" s="10">
        <f>IFERROR(VLOOKUP(Form_Responses[[#This Row],[Município]],'Regiões Administrativas'!$A$1:$I$646,3,0),"")</f>
        <v>15476</v>
      </c>
      <c r="AF541" s="10">
        <f>IFERROR(VLOOKUP(Form_Responses[[#This Row],[Município]],'Regiões Administrativas'!$A$1:$I$646,4,0),"")</f>
        <v>350400805000001</v>
      </c>
      <c r="AG541" s="10">
        <f>IFERROR(VLOOKUP(Form_Responses[[#This Row],[Município]],'Regiões Administrativas'!$A$1:$I$646,4,0),"")</f>
        <v>350400805000001</v>
      </c>
      <c r="AH541" s="10">
        <f>IFERROR(VLOOKUP(B541,'Regiões Administrativas'!$A$1:$I$646,5,0),"")</f>
        <v>3504008</v>
      </c>
      <c r="AI541" s="10">
        <f>IFERROR(VLOOKUP(B541,'Regiões Administrativas'!$A$1:$I$646,6,0),"")</f>
        <v>-50.41751</v>
      </c>
      <c r="AJ541" s="10">
        <f>IFERROR(VLOOKUP(B541,'Regiões Administrativas'!$A$1:$I$646,8,0),"")</f>
        <v>562.42563199999995</v>
      </c>
      <c r="AK541" s="10" t="str">
        <f>IFERROR(VLOOKUP(Form_Responses[[#This Row],[Município]],'Regiões Administrativas'!$A$1:$I$646,9,0),"")</f>
        <v>1J6RrHW.Q9P-</v>
      </c>
    </row>
    <row r="542" spans="1:37" ht="22.5" customHeight="1">
      <c r="A542" s="15">
        <v>46065.634306261578</v>
      </c>
      <c r="B542" s="10" t="s">
        <v>2575</v>
      </c>
      <c r="C542" s="10" t="s">
        <v>2576</v>
      </c>
      <c r="D542" s="10" t="s">
        <v>2663</v>
      </c>
      <c r="E542" s="10" t="s">
        <v>2664</v>
      </c>
      <c r="G542" s="10" t="s">
        <v>2665</v>
      </c>
      <c r="I542" s="10" t="s">
        <v>220</v>
      </c>
      <c r="J542" s="16">
        <v>46160</v>
      </c>
      <c r="K542" s="16">
        <v>46162</v>
      </c>
      <c r="N542" s="10" t="s">
        <v>641</v>
      </c>
      <c r="O542" s="10" t="s">
        <v>642</v>
      </c>
      <c r="P542" s="10" t="s">
        <v>63</v>
      </c>
      <c r="Q542" s="10" t="s">
        <v>47</v>
      </c>
      <c r="R542" s="10" t="s">
        <v>48</v>
      </c>
      <c r="S542" s="10">
        <v>2000</v>
      </c>
      <c r="W542" s="10" t="s">
        <v>2666</v>
      </c>
      <c r="Y542" s="10" t="s">
        <v>2667</v>
      </c>
      <c r="Z542" s="10" t="s">
        <v>76</v>
      </c>
      <c r="AA542" s="10" t="s">
        <v>93</v>
      </c>
      <c r="AB542" s="10" t="s">
        <v>66</v>
      </c>
      <c r="AC542" s="10" t="s">
        <v>55</v>
      </c>
      <c r="AD542" s="10" t="str">
        <f>IFERROR(VLOOKUP(B542,'Regiões Administrativas'!$A$1:$B$646,2,0),"")</f>
        <v>Marília</v>
      </c>
      <c r="AE542" s="10">
        <f>IFERROR(VLOOKUP(Form_Responses[[#This Row],[Município]],'Regiões Administrativas'!$A$1:$I$646,3,0),"")</f>
        <v>15476</v>
      </c>
      <c r="AF542" s="10">
        <f>IFERROR(VLOOKUP(Form_Responses[[#This Row],[Município]],'Regiões Administrativas'!$A$1:$I$646,4,0),"")</f>
        <v>350400805000001</v>
      </c>
      <c r="AG542" s="10">
        <f>IFERROR(VLOOKUP(Form_Responses[[#This Row],[Município]],'Regiões Administrativas'!$A$1:$I$646,4,0),"")</f>
        <v>350400805000001</v>
      </c>
      <c r="AH542" s="10">
        <f>IFERROR(VLOOKUP(B542,'Regiões Administrativas'!$A$1:$I$646,5,0),"")</f>
        <v>3504008</v>
      </c>
      <c r="AI542" s="10">
        <f>IFERROR(VLOOKUP(B542,'Regiões Administrativas'!$A$1:$I$646,6,0),"")</f>
        <v>-50.41751</v>
      </c>
      <c r="AJ542" s="10">
        <f>IFERROR(VLOOKUP(B542,'Regiões Administrativas'!$A$1:$I$646,8,0),"")</f>
        <v>562.42563199999995</v>
      </c>
      <c r="AK542" s="10" t="str">
        <f>IFERROR(VLOOKUP(Form_Responses[[#This Row],[Município]],'Regiões Administrativas'!$A$1:$I$646,9,0),"")</f>
        <v>1J6RrHW.Q9P-</v>
      </c>
    </row>
    <row r="543" spans="1:37" ht="22.5" customHeight="1">
      <c r="A543" s="15">
        <v>46065.643302418983</v>
      </c>
      <c r="B543" s="10" t="s">
        <v>2575</v>
      </c>
      <c r="C543" s="10" t="s">
        <v>2576</v>
      </c>
      <c r="D543" s="10" t="s">
        <v>2668</v>
      </c>
      <c r="E543" s="10" t="s">
        <v>2669</v>
      </c>
      <c r="G543" s="10" t="s">
        <v>2670</v>
      </c>
      <c r="I543" s="10" t="s">
        <v>220</v>
      </c>
      <c r="J543" s="16">
        <v>46166</v>
      </c>
      <c r="K543" s="16">
        <v>46166</v>
      </c>
      <c r="M543" s="17">
        <v>0.45833333333575865</v>
      </c>
      <c r="N543" s="10" t="s">
        <v>98</v>
      </c>
      <c r="O543" s="10" t="s">
        <v>190</v>
      </c>
      <c r="P543" s="10" t="s">
        <v>63</v>
      </c>
      <c r="Q543" s="10" t="s">
        <v>47</v>
      </c>
      <c r="R543" s="10" t="s">
        <v>74</v>
      </c>
      <c r="S543" s="10">
        <v>1000</v>
      </c>
      <c r="W543" s="10" t="s">
        <v>2671</v>
      </c>
      <c r="Y543" s="72" t="s">
        <v>2672</v>
      </c>
      <c r="Z543" s="10" t="s">
        <v>76</v>
      </c>
      <c r="AA543" s="10" t="s">
        <v>225</v>
      </c>
      <c r="AB543" s="10" t="s">
        <v>66</v>
      </c>
      <c r="AC543" s="10" t="s">
        <v>68</v>
      </c>
      <c r="AD543" s="10" t="str">
        <f>IFERROR(VLOOKUP(B543,'Regiões Administrativas'!$A$1:$B$646,2,0),"")</f>
        <v>Marília</v>
      </c>
      <c r="AE543" s="10">
        <f>IFERROR(VLOOKUP(Form_Responses[[#This Row],[Município]],'Regiões Administrativas'!$A$1:$I$646,3,0),"")</f>
        <v>15476</v>
      </c>
      <c r="AF543" s="10">
        <f>IFERROR(VLOOKUP(Form_Responses[[#This Row],[Município]],'Regiões Administrativas'!$A$1:$I$646,4,0),"")</f>
        <v>350400805000001</v>
      </c>
      <c r="AG543" s="10">
        <f>IFERROR(VLOOKUP(Form_Responses[[#This Row],[Município]],'Regiões Administrativas'!$A$1:$I$646,4,0),"")</f>
        <v>350400805000001</v>
      </c>
      <c r="AH543" s="10">
        <f>IFERROR(VLOOKUP(B543,'Regiões Administrativas'!$A$1:$I$646,5,0),"")</f>
        <v>3504008</v>
      </c>
      <c r="AI543" s="10">
        <f>IFERROR(VLOOKUP(B543,'Regiões Administrativas'!$A$1:$I$646,6,0),"")</f>
        <v>-50.41751</v>
      </c>
      <c r="AJ543" s="10">
        <f>IFERROR(VLOOKUP(B543,'Regiões Administrativas'!$A$1:$I$646,8,0),"")</f>
        <v>562.42563199999995</v>
      </c>
      <c r="AK543" s="10" t="str">
        <f>IFERROR(VLOOKUP(Form_Responses[[#This Row],[Município]],'Regiões Administrativas'!$A$1:$I$646,9,0),"")</f>
        <v>1J6RrHW.Q9P-</v>
      </c>
    </row>
    <row r="544" spans="1:37" ht="22.5" customHeight="1">
      <c r="A544" s="15">
        <v>46065.661380173609</v>
      </c>
      <c r="B544" s="10" t="s">
        <v>2575</v>
      </c>
      <c r="C544" s="10" t="s">
        <v>2576</v>
      </c>
      <c r="D544" s="10" t="s">
        <v>2673</v>
      </c>
      <c r="E544" s="10" t="s">
        <v>2674</v>
      </c>
      <c r="G544" s="10" t="s">
        <v>2665</v>
      </c>
      <c r="H544" s="10" t="s">
        <v>2675</v>
      </c>
      <c r="I544" s="10" t="s">
        <v>220</v>
      </c>
      <c r="J544" s="16">
        <v>46167</v>
      </c>
      <c r="K544" s="16">
        <v>46169</v>
      </c>
      <c r="N544" s="10" t="s">
        <v>641</v>
      </c>
      <c r="O544" s="10" t="s">
        <v>642</v>
      </c>
      <c r="P544" s="10" t="s">
        <v>63</v>
      </c>
      <c r="Q544" s="10" t="s">
        <v>47</v>
      </c>
      <c r="R544" s="10" t="s">
        <v>1002</v>
      </c>
      <c r="S544" s="10">
        <v>2000</v>
      </c>
      <c r="W544" s="10" t="s">
        <v>2676</v>
      </c>
      <c r="X544" s="10" t="s">
        <v>2675</v>
      </c>
      <c r="Y544" s="10" t="s">
        <v>2675</v>
      </c>
      <c r="Z544" s="10" t="s">
        <v>66</v>
      </c>
      <c r="AA544" s="10" t="s">
        <v>66</v>
      </c>
      <c r="AB544" s="10" t="s">
        <v>66</v>
      </c>
      <c r="AC544" s="10" t="s">
        <v>55</v>
      </c>
      <c r="AD544" s="10" t="str">
        <f>IFERROR(VLOOKUP(B544,'Regiões Administrativas'!$A$1:$B$646,2,0),"")</f>
        <v>Marília</v>
      </c>
      <c r="AE544" s="10">
        <f>IFERROR(VLOOKUP(Form_Responses[[#This Row],[Município]],'Regiões Administrativas'!$A$1:$I$646,3,0),"")</f>
        <v>15476</v>
      </c>
      <c r="AF544" s="10">
        <f>IFERROR(VLOOKUP(Form_Responses[[#This Row],[Município]],'Regiões Administrativas'!$A$1:$I$646,4,0),"")</f>
        <v>350400805000001</v>
      </c>
      <c r="AG544" s="10">
        <f>IFERROR(VLOOKUP(Form_Responses[[#This Row],[Município]],'Regiões Administrativas'!$A$1:$I$646,4,0),"")</f>
        <v>350400805000001</v>
      </c>
      <c r="AH544" s="10">
        <f>IFERROR(VLOOKUP(B544,'Regiões Administrativas'!$A$1:$I$646,5,0),"")</f>
        <v>3504008</v>
      </c>
      <c r="AI544" s="10">
        <f>IFERROR(VLOOKUP(B544,'Regiões Administrativas'!$A$1:$I$646,6,0),"")</f>
        <v>-50.41751</v>
      </c>
      <c r="AJ544" s="10">
        <f>IFERROR(VLOOKUP(B544,'Regiões Administrativas'!$A$1:$I$646,8,0),"")</f>
        <v>562.42563199999995</v>
      </c>
      <c r="AK544" s="10" t="str">
        <f>IFERROR(VLOOKUP(Form_Responses[[#This Row],[Município]],'Regiões Administrativas'!$A$1:$I$646,9,0),"")</f>
        <v>1J6RrHW.Q9P-</v>
      </c>
    </row>
    <row r="545" spans="1:37" ht="22.5" customHeight="1">
      <c r="A545" s="18">
        <v>46066.371881122686</v>
      </c>
      <c r="B545" s="10" t="s">
        <v>1671</v>
      </c>
      <c r="C545" s="10" t="s">
        <v>1922</v>
      </c>
      <c r="D545" s="10" t="s">
        <v>2677</v>
      </c>
      <c r="E545" s="10" t="s">
        <v>2678</v>
      </c>
      <c r="G545" s="10" t="s">
        <v>2679</v>
      </c>
      <c r="H545" s="72" t="s">
        <v>2680</v>
      </c>
      <c r="I545" s="10" t="s">
        <v>89</v>
      </c>
      <c r="J545" s="16">
        <v>46060</v>
      </c>
      <c r="K545" s="16">
        <v>46070</v>
      </c>
      <c r="L545" s="17">
        <v>0.625</v>
      </c>
      <c r="M545" s="17">
        <v>0.91666666666424135</v>
      </c>
      <c r="N545" s="10" t="s">
        <v>44</v>
      </c>
      <c r="O545" s="10" t="s">
        <v>45</v>
      </c>
      <c r="P545" s="10" t="s">
        <v>90</v>
      </c>
      <c r="Q545" s="10" t="s">
        <v>47</v>
      </c>
      <c r="R545" s="10" t="s">
        <v>74</v>
      </c>
      <c r="S545" s="10">
        <v>10000</v>
      </c>
      <c r="W545" s="10" t="s">
        <v>2681</v>
      </c>
      <c r="Y545" s="10" t="s">
        <v>2682</v>
      </c>
      <c r="Z545" s="10" t="s">
        <v>76</v>
      </c>
      <c r="AA545" s="10" t="s">
        <v>67</v>
      </c>
      <c r="AB545" s="10" t="s">
        <v>54</v>
      </c>
      <c r="AC545" s="10" t="s">
        <v>68</v>
      </c>
      <c r="AD545" s="10" t="str">
        <f>IFERROR(VLOOKUP(B545,'Regiões Administrativas'!$A$1:$B$646,2,0),"")</f>
        <v>Central</v>
      </c>
      <c r="AE545" s="10">
        <f>IFERROR(VLOOKUP(Form_Responses[[#This Row],[Município]],'Regiões Administrativas'!$A$1:$I$646,3,0),"")</f>
        <v>15450</v>
      </c>
      <c r="AF545" s="10">
        <f>IFERROR(VLOOKUP(Form_Responses[[#This Row],[Município]],'Regiões Administrativas'!$A$1:$I$646,4,0),"")</f>
        <v>350320805000001</v>
      </c>
      <c r="AG545" s="10">
        <f>IFERROR(VLOOKUP(Form_Responses[[#This Row],[Município]],'Regiões Administrativas'!$A$1:$I$646,4,0),"")</f>
        <v>350320805000001</v>
      </c>
      <c r="AH545" s="10">
        <f>IFERROR(VLOOKUP(B545,'Regiões Administrativas'!$A$1:$I$646,5,0),"")</f>
        <v>3503208</v>
      </c>
      <c r="AI545" s="10">
        <f>IFERROR(VLOOKUP(B545,'Regiões Administrativas'!$A$1:$I$646,6,0),"")</f>
        <v>-48.174439900000003</v>
      </c>
      <c r="AJ545" s="10">
        <f>IFERROR(VLOOKUP(B545,'Regiões Administrativas'!$A$1:$I$646,8,0),"")</f>
        <v>673.07259399999998</v>
      </c>
      <c r="AK545" s="10" t="str">
        <f>IFERROR(VLOOKUP(Form_Responses[[#This Row],[Município]],'Regiões Administrativas'!$A$1:$I$646,9,0),"")</f>
        <v>1J6RTd3.MPuf</v>
      </c>
    </row>
    <row r="546" spans="1:37" ht="22.5" customHeight="1">
      <c r="A546" s="18">
        <v>46066.6115421875</v>
      </c>
      <c r="B546" s="10" t="s">
        <v>1892</v>
      </c>
      <c r="D546" s="10" t="s">
        <v>2449</v>
      </c>
      <c r="E546" s="10" t="s">
        <v>2683</v>
      </c>
      <c r="G546" s="10" t="s">
        <v>2684</v>
      </c>
      <c r="H546" s="10" t="s">
        <v>2685</v>
      </c>
      <c r="I546" s="10" t="s">
        <v>89</v>
      </c>
      <c r="J546" s="16">
        <v>46073</v>
      </c>
      <c r="K546" s="16">
        <v>46075</v>
      </c>
      <c r="L546" s="17">
        <v>0.85416666666424135</v>
      </c>
      <c r="M546" s="17">
        <v>4.1666666664241347E-2</v>
      </c>
      <c r="N546" s="10" t="s">
        <v>110</v>
      </c>
      <c r="O546" s="10" t="s">
        <v>45</v>
      </c>
      <c r="P546" s="10" t="s">
        <v>99</v>
      </c>
      <c r="Q546" s="10" t="s">
        <v>47</v>
      </c>
      <c r="R546" s="10" t="s">
        <v>1002</v>
      </c>
      <c r="S546" s="10">
        <v>1000</v>
      </c>
      <c r="T546" s="10">
        <v>1000</v>
      </c>
      <c r="U546" s="10">
        <v>400</v>
      </c>
      <c r="V546" s="10">
        <v>200</v>
      </c>
      <c r="W546" s="10" t="s">
        <v>1800</v>
      </c>
      <c r="Y546" s="10" t="s">
        <v>2686</v>
      </c>
      <c r="Z546" s="10" t="s">
        <v>224</v>
      </c>
      <c r="AA546" s="10" t="s">
        <v>244</v>
      </c>
      <c r="AB546" s="10" t="s">
        <v>66</v>
      </c>
      <c r="AC546" s="10" t="s">
        <v>68</v>
      </c>
      <c r="AD546" s="10" t="str">
        <f>IFERROR(VLOOKUP(B546,'Regiões Administrativas'!$A$1:$B$646,2,0),"")</f>
        <v>Campinas</v>
      </c>
      <c r="AE546" s="10">
        <f>IFERROR(VLOOKUP(Form_Responses[[#This Row],[Município]],'Regiões Administrativas'!$A$1:$I$646,3,0),"")</f>
        <v>17270</v>
      </c>
      <c r="AF546" s="10">
        <f>IFERROR(VLOOKUP(Form_Responses[[#This Row],[Município]],'Regiões Administrativas'!$A$1:$I$646,4,0),"")</f>
        <v>355040705000001</v>
      </c>
      <c r="AG546" s="10">
        <f>IFERROR(VLOOKUP(Form_Responses[[#This Row],[Município]],'Regiões Administrativas'!$A$1:$I$646,4,0),"")</f>
        <v>355040705000001</v>
      </c>
      <c r="AH546" s="10">
        <f>IFERROR(VLOOKUP(B546,'Regiões Administrativas'!$A$1:$I$646,5,0),"")</f>
        <v>3550407</v>
      </c>
      <c r="AI546" s="10">
        <f>IFERROR(VLOOKUP(B546,'Regiões Administrativas'!$A$1:$I$646,6,0),"")</f>
        <v>-47.914033000000003</v>
      </c>
      <c r="AJ546" s="10">
        <f>IFERROR(VLOOKUP(B546,'Regiões Administrativas'!$A$1:$I$646,8,0),"")</f>
        <v>565.011977</v>
      </c>
      <c r="AK546" s="10" t="str">
        <f>IFERROR(VLOOKUP(Form_Responses[[#This Row],[Município]],'Regiões Administrativas'!$A$1:$I$646,9,0),"")</f>
        <v>1J6tHGD7^e7-</v>
      </c>
    </row>
    <row r="547" spans="1:37" ht="22.5" customHeight="1">
      <c r="A547" s="18">
        <v>46068.408447141206</v>
      </c>
      <c r="B547" s="10" t="s">
        <v>1534</v>
      </c>
      <c r="C547" s="10" t="s">
        <v>1210</v>
      </c>
      <c r="D547" s="10" t="s">
        <v>2687</v>
      </c>
      <c r="E547" s="10" t="s">
        <v>2688</v>
      </c>
      <c r="G547" s="10" t="s">
        <v>2689</v>
      </c>
      <c r="H547" s="72" t="s">
        <v>2690</v>
      </c>
      <c r="I547" s="10" t="s">
        <v>255</v>
      </c>
      <c r="J547" s="16">
        <v>46312</v>
      </c>
      <c r="K547" s="16">
        <v>46319</v>
      </c>
      <c r="N547" s="10" t="s">
        <v>73</v>
      </c>
      <c r="O547" s="10" t="s">
        <v>45</v>
      </c>
      <c r="P547" s="10" t="s">
        <v>63</v>
      </c>
      <c r="Q547" s="10" t="s">
        <v>47</v>
      </c>
      <c r="R547" s="10" t="s">
        <v>48</v>
      </c>
      <c r="S547" s="10">
        <v>4000</v>
      </c>
      <c r="W547" s="10" t="s">
        <v>2691</v>
      </c>
      <c r="Y547" s="10" t="s">
        <v>2692</v>
      </c>
      <c r="Z547" s="10" t="s">
        <v>76</v>
      </c>
      <c r="AA547" s="10" t="s">
        <v>206</v>
      </c>
      <c r="AB547" s="10" t="s">
        <v>66</v>
      </c>
      <c r="AC547" s="10" t="s">
        <v>68</v>
      </c>
      <c r="AD547" s="10" t="str">
        <f>IFERROR(VLOOKUP(B547,'Regiões Administrativas'!$A$1:$B$646,2,0),"")</f>
        <v>São José dos Campos</v>
      </c>
      <c r="AE547" s="10">
        <f>IFERROR(VLOOKUP(Form_Responses[[#This Row],[Município]],'Regiões Administrativas'!$A$1:$I$646,3,0),"")</f>
        <v>15721</v>
      </c>
      <c r="AF547" s="10">
        <f>IFERROR(VLOOKUP(Form_Responses[[#This Row],[Município]],'Regiões Administrativas'!$A$1:$I$646,4,0),"")</f>
        <v>350970005000001</v>
      </c>
      <c r="AG547" s="10">
        <f>IFERROR(VLOOKUP(Form_Responses[[#This Row],[Município]],'Regiões Administrativas'!$A$1:$I$646,4,0),"")</f>
        <v>350970005000001</v>
      </c>
      <c r="AH547" s="10">
        <f>IFERROR(VLOOKUP(B547,'Regiões Administrativas'!$A$1:$I$646,5,0),"")</f>
        <v>3509700</v>
      </c>
      <c r="AI547" s="10">
        <f>IFERROR(VLOOKUP(B547,'Regiões Administrativas'!$A$1:$I$646,6,0),"")</f>
        <v>-45.589201699999997</v>
      </c>
      <c r="AJ547" s="10">
        <f>IFERROR(VLOOKUP(B547,'Regiões Administrativas'!$A$1:$I$646,8,0),"")</f>
        <v>1639.1545000000001</v>
      </c>
      <c r="AK547" s="10" t="str">
        <f>IFERROR(VLOOKUP(Form_Responses[[#This Row],[Município]],'Regiões Administrativas'!$A$1:$I$646,9,0),"")</f>
        <v>1J6trlyb{Ztf</v>
      </c>
    </row>
    <row r="548" spans="1:37" ht="22.5" customHeight="1">
      <c r="A548" s="18">
        <v>46068.413272164355</v>
      </c>
      <c r="B548" s="10" t="s">
        <v>1534</v>
      </c>
      <c r="C548" s="10" t="s">
        <v>1210</v>
      </c>
      <c r="D548" s="10" t="s">
        <v>2693</v>
      </c>
      <c r="E548" s="10" t="s">
        <v>2694</v>
      </c>
      <c r="G548" s="10" t="s">
        <v>2695</v>
      </c>
      <c r="H548" s="72" t="s">
        <v>2696</v>
      </c>
      <c r="I548" s="10" t="s">
        <v>255</v>
      </c>
      <c r="J548" s="16">
        <v>46319</v>
      </c>
      <c r="K548" s="16">
        <v>46319</v>
      </c>
      <c r="N548" s="10" t="s">
        <v>61</v>
      </c>
      <c r="O548" s="10" t="s">
        <v>62</v>
      </c>
      <c r="P548" s="10" t="s">
        <v>63</v>
      </c>
      <c r="Q548" s="10" t="s">
        <v>47</v>
      </c>
      <c r="R548" s="10" t="s">
        <v>48</v>
      </c>
      <c r="S548" s="10">
        <v>4000</v>
      </c>
      <c r="W548" s="10" t="s">
        <v>2697</v>
      </c>
      <c r="X548" s="72" t="s">
        <v>2696</v>
      </c>
      <c r="Y548" s="10" t="s">
        <v>2698</v>
      </c>
      <c r="Z548" s="10" t="s">
        <v>66</v>
      </c>
      <c r="AA548" s="10" t="s">
        <v>66</v>
      </c>
      <c r="AB548" s="10" t="s">
        <v>66</v>
      </c>
      <c r="AC548" s="10" t="s">
        <v>68</v>
      </c>
      <c r="AD548" s="10" t="str">
        <f>IFERROR(VLOOKUP(B548,'Regiões Administrativas'!$A$1:$B$646,2,0),"")</f>
        <v>São José dos Campos</v>
      </c>
      <c r="AE548" s="10">
        <f>IFERROR(VLOOKUP(Form_Responses[[#This Row],[Município]],'Regiões Administrativas'!$A$1:$I$646,3,0),"")</f>
        <v>15721</v>
      </c>
      <c r="AF548" s="10">
        <f>IFERROR(VLOOKUP(Form_Responses[[#This Row],[Município]],'Regiões Administrativas'!$A$1:$I$646,4,0),"")</f>
        <v>350970005000001</v>
      </c>
      <c r="AG548" s="10">
        <f>IFERROR(VLOOKUP(Form_Responses[[#This Row],[Município]],'Regiões Administrativas'!$A$1:$I$646,4,0),"")</f>
        <v>350970005000001</v>
      </c>
      <c r="AH548" s="10">
        <f>IFERROR(VLOOKUP(B548,'Regiões Administrativas'!$A$1:$I$646,5,0),"")</f>
        <v>3509700</v>
      </c>
      <c r="AI548" s="10">
        <f>IFERROR(VLOOKUP(B548,'Regiões Administrativas'!$A$1:$I$646,6,0),"")</f>
        <v>-45.589201699999997</v>
      </c>
      <c r="AJ548" s="10">
        <f>IFERROR(VLOOKUP(B548,'Regiões Administrativas'!$A$1:$I$646,8,0),"")</f>
        <v>1639.1545000000001</v>
      </c>
      <c r="AK548" s="10" t="str">
        <f>IFERROR(VLOOKUP(Form_Responses[[#This Row],[Município]],'Regiões Administrativas'!$A$1:$I$646,9,0),"")</f>
        <v>1J6trlyb{Ztf</v>
      </c>
    </row>
    <row r="549" spans="1:37" ht="22.5" customHeight="1">
      <c r="A549" s="18">
        <v>46068.417509340274</v>
      </c>
      <c r="B549" s="10" t="s">
        <v>1534</v>
      </c>
      <c r="C549" s="10" t="s">
        <v>1210</v>
      </c>
      <c r="D549" s="10" t="s">
        <v>2699</v>
      </c>
      <c r="E549" s="10" t="s">
        <v>2700</v>
      </c>
      <c r="G549" s="10" t="s">
        <v>2701</v>
      </c>
      <c r="H549" s="72" t="s">
        <v>2504</v>
      </c>
      <c r="I549" s="10" t="s">
        <v>197</v>
      </c>
      <c r="J549" s="16">
        <v>46338</v>
      </c>
      <c r="K549" s="16">
        <v>46340</v>
      </c>
      <c r="N549" s="10" t="s">
        <v>73</v>
      </c>
      <c r="O549" s="10" t="s">
        <v>45</v>
      </c>
      <c r="P549" s="10" t="s">
        <v>63</v>
      </c>
      <c r="Q549" s="10" t="s">
        <v>47</v>
      </c>
      <c r="R549" s="10" t="s">
        <v>48</v>
      </c>
      <c r="S549" s="10">
        <v>3000</v>
      </c>
      <c r="W549" s="10" t="s">
        <v>2702</v>
      </c>
      <c r="Y549" s="10" t="s">
        <v>2334</v>
      </c>
      <c r="Z549" s="10" t="s">
        <v>76</v>
      </c>
      <c r="AA549" s="10" t="s">
        <v>77</v>
      </c>
      <c r="AB549" s="10" t="s">
        <v>66</v>
      </c>
      <c r="AC549" s="10" t="s">
        <v>68</v>
      </c>
      <c r="AD549" s="10" t="str">
        <f>IFERROR(VLOOKUP(B549,'Regiões Administrativas'!$A$1:$B$646,2,0),"")</f>
        <v>São José dos Campos</v>
      </c>
      <c r="AE549" s="10">
        <f>IFERROR(VLOOKUP(Form_Responses[[#This Row],[Município]],'Regiões Administrativas'!$A$1:$I$646,3,0),"")</f>
        <v>15721</v>
      </c>
      <c r="AF549" s="10">
        <f>IFERROR(VLOOKUP(Form_Responses[[#This Row],[Município]],'Regiões Administrativas'!$A$1:$I$646,4,0),"")</f>
        <v>350970005000001</v>
      </c>
      <c r="AG549" s="10">
        <f>IFERROR(VLOOKUP(Form_Responses[[#This Row],[Município]],'Regiões Administrativas'!$A$1:$I$646,4,0),"")</f>
        <v>350970005000001</v>
      </c>
      <c r="AH549" s="10">
        <f>IFERROR(VLOOKUP(B549,'Regiões Administrativas'!$A$1:$I$646,5,0),"")</f>
        <v>3509700</v>
      </c>
      <c r="AI549" s="10">
        <f>IFERROR(VLOOKUP(B549,'Regiões Administrativas'!$A$1:$I$646,6,0),"")</f>
        <v>-45.589201699999997</v>
      </c>
      <c r="AJ549" s="10">
        <f>IFERROR(VLOOKUP(B549,'Regiões Administrativas'!$A$1:$I$646,8,0),"")</f>
        <v>1639.1545000000001</v>
      </c>
      <c r="AK549" s="10" t="str">
        <f>IFERROR(VLOOKUP(Form_Responses[[#This Row],[Município]],'Regiões Administrativas'!$A$1:$I$646,9,0),"")</f>
        <v>1J6trlyb{Ztf</v>
      </c>
    </row>
    <row r="550" spans="1:37" ht="22.5" customHeight="1">
      <c r="A550" s="18">
        <v>46068.424310057875</v>
      </c>
      <c r="B550" s="10" t="s">
        <v>1534</v>
      </c>
      <c r="C550" s="10" t="s">
        <v>1210</v>
      </c>
      <c r="D550" s="10" t="s">
        <v>2703</v>
      </c>
      <c r="E550" s="10" t="s">
        <v>2704</v>
      </c>
      <c r="G550" s="10" t="s">
        <v>2342</v>
      </c>
      <c r="H550" s="72" t="s">
        <v>2705</v>
      </c>
      <c r="I550" s="10" t="s">
        <v>197</v>
      </c>
      <c r="J550" s="16">
        <v>46327</v>
      </c>
      <c r="K550" s="16">
        <v>46393</v>
      </c>
      <c r="N550" s="10" t="s">
        <v>73</v>
      </c>
      <c r="O550" s="10" t="s">
        <v>45</v>
      </c>
      <c r="P550" s="10" t="s">
        <v>251</v>
      </c>
      <c r="Q550" s="10" t="s">
        <v>47</v>
      </c>
      <c r="R550" s="10" t="s">
        <v>48</v>
      </c>
      <c r="S550" s="10">
        <v>1500000</v>
      </c>
      <c r="W550" s="10" t="s">
        <v>2706</v>
      </c>
      <c r="Y550" s="10" t="s">
        <v>2339</v>
      </c>
      <c r="Z550" s="10" t="s">
        <v>66</v>
      </c>
      <c r="AA550" s="10" t="s">
        <v>66</v>
      </c>
      <c r="AB550" s="10" t="s">
        <v>66</v>
      </c>
      <c r="AC550" s="10" t="s">
        <v>68</v>
      </c>
      <c r="AD550" s="10" t="str">
        <f>IFERROR(VLOOKUP(B550,'Regiões Administrativas'!$A$1:$B$646,2,0),"")</f>
        <v>São José dos Campos</v>
      </c>
      <c r="AE550" s="10">
        <f>IFERROR(VLOOKUP(Form_Responses[[#This Row],[Município]],'Regiões Administrativas'!$A$1:$I$646,3,0),"")</f>
        <v>15721</v>
      </c>
      <c r="AF550" s="10">
        <f>IFERROR(VLOOKUP(Form_Responses[[#This Row],[Município]],'Regiões Administrativas'!$A$1:$I$646,4,0),"")</f>
        <v>350970005000001</v>
      </c>
      <c r="AG550" s="10">
        <f>IFERROR(VLOOKUP(Form_Responses[[#This Row],[Município]],'Regiões Administrativas'!$A$1:$I$646,4,0),"")</f>
        <v>350970005000001</v>
      </c>
      <c r="AH550" s="10">
        <f>IFERROR(VLOOKUP(B550,'Regiões Administrativas'!$A$1:$I$646,5,0),"")</f>
        <v>3509700</v>
      </c>
      <c r="AI550" s="10">
        <f>IFERROR(VLOOKUP(B550,'Regiões Administrativas'!$A$1:$I$646,6,0),"")</f>
        <v>-45.589201699999997</v>
      </c>
      <c r="AJ550" s="10">
        <f>IFERROR(VLOOKUP(B550,'Regiões Administrativas'!$A$1:$I$646,8,0),"")</f>
        <v>1639.1545000000001</v>
      </c>
      <c r="AK550" s="10" t="str">
        <f>IFERROR(VLOOKUP(Form_Responses[[#This Row],[Município]],'Regiões Administrativas'!$A$1:$I$646,9,0),"")</f>
        <v>1J6trlyb{Ztf</v>
      </c>
    </row>
    <row r="551" spans="1:37" ht="22.5" customHeight="1">
      <c r="A551" s="18">
        <v>46071.470323680551</v>
      </c>
      <c r="B551" s="10" t="s">
        <v>2479</v>
      </c>
      <c r="C551" s="10" t="s">
        <v>1933</v>
      </c>
      <c r="D551" s="10" t="s">
        <v>2707</v>
      </c>
      <c r="E551" s="10" t="s">
        <v>2708</v>
      </c>
      <c r="G551" s="10" t="s">
        <v>2709</v>
      </c>
      <c r="H551" s="72" t="s">
        <v>2710</v>
      </c>
      <c r="I551" s="10" t="s">
        <v>109</v>
      </c>
      <c r="J551" s="16">
        <v>46089</v>
      </c>
      <c r="K551" s="16">
        <v>46089</v>
      </c>
      <c r="L551" s="17">
        <v>0.375</v>
      </c>
      <c r="M551" s="17">
        <v>0.72916666666424135</v>
      </c>
      <c r="N551" s="10" t="s">
        <v>73</v>
      </c>
      <c r="O551" s="10" t="s">
        <v>142</v>
      </c>
      <c r="P551" s="10" t="s">
        <v>63</v>
      </c>
      <c r="Q551" s="10" t="s">
        <v>47</v>
      </c>
      <c r="R551" s="10" t="s">
        <v>74</v>
      </c>
      <c r="S551" s="10">
        <v>2000</v>
      </c>
      <c r="W551" s="10" t="s">
        <v>2711</v>
      </c>
      <c r="X551" s="72" t="s">
        <v>2712</v>
      </c>
      <c r="Y551" s="10" t="s">
        <v>2713</v>
      </c>
      <c r="Z551" s="10" t="s">
        <v>76</v>
      </c>
      <c r="AA551" s="10" t="s">
        <v>156</v>
      </c>
      <c r="AB551" s="10" t="s">
        <v>66</v>
      </c>
      <c r="AC551" s="10" t="s">
        <v>68</v>
      </c>
      <c r="AD551" s="10" t="str">
        <f>IFERROR(VLOOKUP(B551,'Regiões Administrativas'!$A$1:$B$646,2,0),"")</f>
        <v>Araçatuba</v>
      </c>
      <c r="AE551" s="10">
        <f>IFERROR(VLOOKUP(Form_Responses[[#This Row],[Município]],'Regiões Administrativas'!$A$1:$I$646,3,0),"")</f>
        <v>15410</v>
      </c>
      <c r="AF551" s="10">
        <f>IFERROR(VLOOKUP(Form_Responses[[#This Row],[Município]],'Regiões Administrativas'!$A$1:$I$646,4,0),"")</f>
        <v>350280405000001</v>
      </c>
      <c r="AG551" s="10">
        <f>IFERROR(VLOOKUP(Form_Responses[[#This Row],[Município]],'Regiões Administrativas'!$A$1:$I$646,4,0),"")</f>
        <v>350280405000001</v>
      </c>
      <c r="AH551" s="10">
        <f>IFERROR(VLOOKUP(B551,'Regiões Administrativas'!$A$1:$I$646,5,0),"")</f>
        <v>3502804</v>
      </c>
      <c r="AI551" s="10">
        <f>IFERROR(VLOOKUP(B551,'Regiões Administrativas'!$A$1:$I$646,6,0),"")</f>
        <v>-50.439226099999999</v>
      </c>
      <c r="AJ551" s="10">
        <f>IFERROR(VLOOKUP(B551,'Regiões Administrativas'!$A$1:$I$646,8,0),"")</f>
        <v>403.10182200000003</v>
      </c>
      <c r="AK551" s="10" t="str">
        <f>IFERROR(VLOOKUP(Form_Responses[[#This Row],[Município]],'Regiões Administrativas'!$A$1:$I$646,9,0),"")</f>
        <v>1J6Rb\{zgeD&gt;</v>
      </c>
    </row>
    <row r="552" spans="1:37" ht="22.5" customHeight="1">
      <c r="A552" s="18">
        <v>46071.482871319444</v>
      </c>
      <c r="B552" s="10" t="s">
        <v>2479</v>
      </c>
      <c r="C552" s="10" t="s">
        <v>1933</v>
      </c>
      <c r="D552" s="10" t="s">
        <v>2714</v>
      </c>
      <c r="E552" s="10" t="s">
        <v>2715</v>
      </c>
      <c r="G552" s="10" t="s">
        <v>2716</v>
      </c>
      <c r="H552" s="72" t="s">
        <v>2717</v>
      </c>
      <c r="I552" s="10" t="s">
        <v>109</v>
      </c>
      <c r="J552" s="16">
        <v>46111</v>
      </c>
      <c r="K552" s="16">
        <v>46116</v>
      </c>
      <c r="N552" s="10" t="s">
        <v>98</v>
      </c>
      <c r="O552" s="10" t="s">
        <v>221</v>
      </c>
      <c r="P552" s="10" t="s">
        <v>480</v>
      </c>
      <c r="Q552" s="10" t="s">
        <v>47</v>
      </c>
      <c r="R552" s="10" t="s">
        <v>48</v>
      </c>
      <c r="S552" s="10">
        <v>15000</v>
      </c>
      <c r="T552" s="10">
        <v>12000</v>
      </c>
      <c r="W552" s="10" t="s">
        <v>2718</v>
      </c>
      <c r="Y552" s="10" t="s">
        <v>2719</v>
      </c>
      <c r="Z552" s="10" t="s">
        <v>76</v>
      </c>
      <c r="AA552" s="10" t="s">
        <v>297</v>
      </c>
      <c r="AB552" s="10" t="s">
        <v>54</v>
      </c>
      <c r="AC552" s="10" t="s">
        <v>68</v>
      </c>
      <c r="AD552" s="10" t="str">
        <f>IFERROR(VLOOKUP(B552,'Regiões Administrativas'!$A$1:$B$646,2,0),"")</f>
        <v>Araçatuba</v>
      </c>
      <c r="AE552" s="10">
        <f>IFERROR(VLOOKUP(Form_Responses[[#This Row],[Município]],'Regiões Administrativas'!$A$1:$I$646,3,0),"")</f>
        <v>15410</v>
      </c>
      <c r="AF552" s="10">
        <f>IFERROR(VLOOKUP(Form_Responses[[#This Row],[Município]],'Regiões Administrativas'!$A$1:$I$646,4,0),"")</f>
        <v>350280405000001</v>
      </c>
      <c r="AG552" s="10">
        <f>IFERROR(VLOOKUP(Form_Responses[[#This Row],[Município]],'Regiões Administrativas'!$A$1:$I$646,4,0),"")</f>
        <v>350280405000001</v>
      </c>
      <c r="AH552" s="10">
        <f>IFERROR(VLOOKUP(B552,'Regiões Administrativas'!$A$1:$I$646,5,0),"")</f>
        <v>3502804</v>
      </c>
      <c r="AI552" s="10">
        <f>IFERROR(VLOOKUP(B552,'Regiões Administrativas'!$A$1:$I$646,6,0),"")</f>
        <v>-50.439226099999999</v>
      </c>
      <c r="AJ552" s="10">
        <f>IFERROR(VLOOKUP(B552,'Regiões Administrativas'!$A$1:$I$646,8,0),"")</f>
        <v>403.10182200000003</v>
      </c>
      <c r="AK552" s="10" t="str">
        <f>IFERROR(VLOOKUP(Form_Responses[[#This Row],[Município]],'Regiões Administrativas'!$A$1:$I$646,9,0),"")</f>
        <v>1J6Rb\{zgeD&gt;</v>
      </c>
    </row>
    <row r="553" spans="1:37" ht="22.5" customHeight="1">
      <c r="A553" s="18">
        <v>46071.493656203704</v>
      </c>
      <c r="B553" s="10" t="s">
        <v>2479</v>
      </c>
      <c r="C553" s="10" t="s">
        <v>1933</v>
      </c>
      <c r="D553" s="10" t="s">
        <v>2720</v>
      </c>
      <c r="E553" s="10" t="s">
        <v>2721</v>
      </c>
      <c r="G553" s="10" t="s">
        <v>2722</v>
      </c>
      <c r="H553" s="72" t="s">
        <v>2723</v>
      </c>
      <c r="I553" s="10" t="s">
        <v>89</v>
      </c>
      <c r="J553" s="16">
        <v>46075</v>
      </c>
      <c r="K553" s="16">
        <v>46075</v>
      </c>
      <c r="L553" s="17">
        <v>0.45833333333575865</v>
      </c>
      <c r="M553" s="17">
        <v>0.75</v>
      </c>
      <c r="N553" s="10" t="s">
        <v>44</v>
      </c>
      <c r="O553" s="10" t="s">
        <v>45</v>
      </c>
      <c r="P553" s="10" t="s">
        <v>63</v>
      </c>
      <c r="Q553" s="10" t="s">
        <v>2724</v>
      </c>
      <c r="R553" s="10" t="s">
        <v>74</v>
      </c>
      <c r="S553" s="10">
        <v>3000</v>
      </c>
      <c r="W553" s="10" t="s">
        <v>2725</v>
      </c>
      <c r="Y553" s="10" t="s">
        <v>2726</v>
      </c>
      <c r="Z553" s="10" t="s">
        <v>76</v>
      </c>
      <c r="AA553" s="10" t="s">
        <v>113</v>
      </c>
      <c r="AB553" s="10" t="s">
        <v>66</v>
      </c>
      <c r="AC553" s="10" t="s">
        <v>68</v>
      </c>
      <c r="AD553" s="10" t="str">
        <f>IFERROR(VLOOKUP(B553,'Regiões Administrativas'!$A$1:$B$646,2,0),"")</f>
        <v>Araçatuba</v>
      </c>
      <c r="AE553" s="10">
        <f>IFERROR(VLOOKUP(Form_Responses[[#This Row],[Município]],'Regiões Administrativas'!$A$1:$I$646,3,0),"")</f>
        <v>15410</v>
      </c>
      <c r="AF553" s="10">
        <f>IFERROR(VLOOKUP(Form_Responses[[#This Row],[Município]],'Regiões Administrativas'!$A$1:$I$646,4,0),"")</f>
        <v>350280405000001</v>
      </c>
      <c r="AG553" s="10">
        <f>IFERROR(VLOOKUP(Form_Responses[[#This Row],[Município]],'Regiões Administrativas'!$A$1:$I$646,4,0),"")</f>
        <v>350280405000001</v>
      </c>
      <c r="AH553" s="10">
        <f>IFERROR(VLOOKUP(B553,'Regiões Administrativas'!$A$1:$I$646,5,0),"")</f>
        <v>3502804</v>
      </c>
      <c r="AI553" s="10">
        <f>IFERROR(VLOOKUP(B553,'Regiões Administrativas'!$A$1:$I$646,6,0),"")</f>
        <v>-50.439226099999999</v>
      </c>
      <c r="AJ553" s="10">
        <f>IFERROR(VLOOKUP(B553,'Regiões Administrativas'!$A$1:$I$646,8,0),"")</f>
        <v>403.10182200000003</v>
      </c>
      <c r="AK553" s="10" t="str">
        <f>IFERROR(VLOOKUP(Form_Responses[[#This Row],[Município]],'Regiões Administrativas'!$A$1:$I$646,9,0),"")</f>
        <v>1J6Rb\{zgeD&gt;</v>
      </c>
    </row>
    <row r="554" spans="1:37" ht="22.5" customHeight="1">
      <c r="A554" s="18">
        <v>46071.506588912038</v>
      </c>
      <c r="B554" s="10" t="s">
        <v>2479</v>
      </c>
      <c r="C554" s="10" t="s">
        <v>1933</v>
      </c>
      <c r="D554" s="10" t="s">
        <v>2727</v>
      </c>
      <c r="E554" s="10" t="s">
        <v>2728</v>
      </c>
      <c r="G554" s="10" t="s">
        <v>2729</v>
      </c>
      <c r="H554" s="72" t="s">
        <v>2730</v>
      </c>
      <c r="I554" s="10" t="s">
        <v>109</v>
      </c>
      <c r="J554" s="16">
        <v>46088</v>
      </c>
      <c r="K554" s="16">
        <v>46088</v>
      </c>
      <c r="L554" s="17">
        <v>0.75</v>
      </c>
      <c r="M554" s="17">
        <v>0.91666666666424135</v>
      </c>
      <c r="N554" s="10" t="s">
        <v>98</v>
      </c>
      <c r="O554" s="10" t="s">
        <v>221</v>
      </c>
      <c r="P554" s="10" t="s">
        <v>63</v>
      </c>
      <c r="Q554" s="10" t="s">
        <v>47</v>
      </c>
      <c r="R554" s="10" t="s">
        <v>74</v>
      </c>
      <c r="S554" s="10">
        <v>2000</v>
      </c>
      <c r="W554" s="10" t="s">
        <v>2727</v>
      </c>
      <c r="X554" s="72" t="s">
        <v>2731</v>
      </c>
      <c r="Y554" s="10" t="s">
        <v>2732</v>
      </c>
      <c r="Z554" s="10" t="s">
        <v>76</v>
      </c>
      <c r="AA554" s="10" t="s">
        <v>225</v>
      </c>
      <c r="AB554" s="10" t="s">
        <v>66</v>
      </c>
      <c r="AC554" s="10" t="s">
        <v>68</v>
      </c>
      <c r="AD554" s="10" t="str">
        <f>IFERROR(VLOOKUP(B554,'Regiões Administrativas'!$A$1:$B$646,2,0),"")</f>
        <v>Araçatuba</v>
      </c>
      <c r="AE554" s="10">
        <f>IFERROR(VLOOKUP(Form_Responses[[#This Row],[Município]],'Regiões Administrativas'!$A$1:$I$646,3,0),"")</f>
        <v>15410</v>
      </c>
      <c r="AF554" s="10">
        <f>IFERROR(VLOOKUP(Form_Responses[[#This Row],[Município]],'Regiões Administrativas'!$A$1:$I$646,4,0),"")</f>
        <v>350280405000001</v>
      </c>
      <c r="AG554" s="10">
        <f>IFERROR(VLOOKUP(Form_Responses[[#This Row],[Município]],'Regiões Administrativas'!$A$1:$I$646,4,0),"")</f>
        <v>350280405000001</v>
      </c>
      <c r="AH554" s="10">
        <f>IFERROR(VLOOKUP(B554,'Regiões Administrativas'!$A$1:$I$646,5,0),"")</f>
        <v>3502804</v>
      </c>
      <c r="AI554" s="10">
        <f>IFERROR(VLOOKUP(B554,'Regiões Administrativas'!$A$1:$I$646,6,0),"")</f>
        <v>-50.439226099999999</v>
      </c>
      <c r="AJ554" s="10">
        <f>IFERROR(VLOOKUP(B554,'Regiões Administrativas'!$A$1:$I$646,8,0),"")</f>
        <v>403.10182200000003</v>
      </c>
      <c r="AK554" s="10" t="str">
        <f>IFERROR(VLOOKUP(Form_Responses[[#This Row],[Município]],'Regiões Administrativas'!$A$1:$I$646,9,0),"")</f>
        <v>1J6Rb\{zgeD&gt;</v>
      </c>
    </row>
    <row r="555" spans="1:37" ht="22.5" customHeight="1">
      <c r="A555" s="18">
        <v>46071.52547241898</v>
      </c>
      <c r="B555" s="10" t="s">
        <v>2479</v>
      </c>
      <c r="C555" s="10" t="s">
        <v>1933</v>
      </c>
      <c r="D555" s="10" t="s">
        <v>2733</v>
      </c>
      <c r="E555" s="10" t="s">
        <v>2734</v>
      </c>
      <c r="G555" s="10" t="s">
        <v>2735</v>
      </c>
      <c r="H555" s="72" t="s">
        <v>2736</v>
      </c>
      <c r="I555" s="10" t="s">
        <v>109</v>
      </c>
      <c r="J555" s="16">
        <v>46092</v>
      </c>
      <c r="K555" s="16">
        <v>46094</v>
      </c>
      <c r="N555" s="10" t="s">
        <v>641</v>
      </c>
      <c r="O555" s="10" t="s">
        <v>45</v>
      </c>
      <c r="P555" s="10" t="s">
        <v>99</v>
      </c>
      <c r="Q555" s="10" t="s">
        <v>47</v>
      </c>
      <c r="R555" s="10" t="s">
        <v>48</v>
      </c>
      <c r="S555" s="10">
        <v>500</v>
      </c>
      <c r="W555" s="10" t="s">
        <v>2735</v>
      </c>
      <c r="Y555" s="10" t="s">
        <v>2737</v>
      </c>
      <c r="Z555" s="10" t="s">
        <v>76</v>
      </c>
      <c r="AA555" s="10" t="s">
        <v>225</v>
      </c>
      <c r="AB555" s="10" t="s">
        <v>66</v>
      </c>
      <c r="AC555" s="10" t="s">
        <v>68</v>
      </c>
      <c r="AD555" s="10" t="str">
        <f>IFERROR(VLOOKUP(B555,'Regiões Administrativas'!$A$1:$B$646,2,0),"")</f>
        <v>Araçatuba</v>
      </c>
      <c r="AE555" s="10">
        <f>IFERROR(VLOOKUP(Form_Responses[[#This Row],[Município]],'Regiões Administrativas'!$A$1:$I$646,3,0),"")</f>
        <v>15410</v>
      </c>
      <c r="AF555" s="10">
        <f>IFERROR(VLOOKUP(Form_Responses[[#This Row],[Município]],'Regiões Administrativas'!$A$1:$I$646,4,0),"")</f>
        <v>350280405000001</v>
      </c>
      <c r="AG555" s="10">
        <f>IFERROR(VLOOKUP(Form_Responses[[#This Row],[Município]],'Regiões Administrativas'!$A$1:$I$646,4,0),"")</f>
        <v>350280405000001</v>
      </c>
      <c r="AH555" s="10">
        <f>IFERROR(VLOOKUP(B555,'Regiões Administrativas'!$A$1:$I$646,5,0),"")</f>
        <v>3502804</v>
      </c>
      <c r="AI555" s="10">
        <f>IFERROR(VLOOKUP(B555,'Regiões Administrativas'!$A$1:$I$646,6,0),"")</f>
        <v>-50.439226099999999</v>
      </c>
      <c r="AJ555" s="10">
        <f>IFERROR(VLOOKUP(B555,'Regiões Administrativas'!$A$1:$I$646,8,0),"")</f>
        <v>403.10182200000003</v>
      </c>
      <c r="AK555" s="10" t="str">
        <f>IFERROR(VLOOKUP(Form_Responses[[#This Row],[Município]],'Regiões Administrativas'!$A$1:$I$646,9,0),"")</f>
        <v>1J6Rb\{zgeD&gt;</v>
      </c>
    </row>
    <row r="556" spans="1:37" ht="22.5" customHeight="1">
      <c r="A556" s="18">
        <v>46071.529575381945</v>
      </c>
      <c r="B556" s="10" t="s">
        <v>2479</v>
      </c>
      <c r="C556" s="10" t="s">
        <v>1933</v>
      </c>
      <c r="D556" s="10" t="s">
        <v>2738</v>
      </c>
      <c r="E556" s="10" t="s">
        <v>2739</v>
      </c>
      <c r="G556" s="10" t="s">
        <v>2740</v>
      </c>
      <c r="H556" s="72" t="s">
        <v>2483</v>
      </c>
      <c r="I556" s="10" t="s">
        <v>128</v>
      </c>
      <c r="J556" s="16">
        <v>46122</v>
      </c>
      <c r="K556" s="16">
        <v>46138</v>
      </c>
      <c r="N556" s="10" t="s">
        <v>73</v>
      </c>
      <c r="O556" s="10" t="s">
        <v>190</v>
      </c>
      <c r="P556" s="10" t="s">
        <v>63</v>
      </c>
      <c r="Q556" s="10" t="s">
        <v>47</v>
      </c>
      <c r="R556" s="10" t="s">
        <v>74</v>
      </c>
      <c r="S556" s="10">
        <v>3000</v>
      </c>
      <c r="W556" s="10" t="s">
        <v>2741</v>
      </c>
      <c r="Y556" s="10" t="s">
        <v>2485</v>
      </c>
      <c r="Z556" s="10" t="s">
        <v>76</v>
      </c>
      <c r="AA556" s="10" t="s">
        <v>225</v>
      </c>
      <c r="AB556" s="10" t="s">
        <v>66</v>
      </c>
      <c r="AC556" s="10" t="s">
        <v>68</v>
      </c>
      <c r="AD556" s="10" t="str">
        <f>IFERROR(VLOOKUP(B556,'Regiões Administrativas'!$A$1:$B$646,2,0),"")</f>
        <v>Araçatuba</v>
      </c>
      <c r="AE556" s="10">
        <f>IFERROR(VLOOKUP(Form_Responses[[#This Row],[Município]],'Regiões Administrativas'!$A$1:$I$646,3,0),"")</f>
        <v>15410</v>
      </c>
      <c r="AF556" s="10">
        <f>IFERROR(VLOOKUP(Form_Responses[[#This Row],[Município]],'Regiões Administrativas'!$A$1:$I$646,4,0),"")</f>
        <v>350280405000001</v>
      </c>
      <c r="AG556" s="10">
        <f>IFERROR(VLOOKUP(Form_Responses[[#This Row],[Município]],'Regiões Administrativas'!$A$1:$I$646,4,0),"")</f>
        <v>350280405000001</v>
      </c>
      <c r="AH556" s="10">
        <f>IFERROR(VLOOKUP(B556,'Regiões Administrativas'!$A$1:$I$646,5,0),"")</f>
        <v>3502804</v>
      </c>
      <c r="AI556" s="10">
        <f>IFERROR(VLOOKUP(B556,'Regiões Administrativas'!$A$1:$I$646,6,0),"")</f>
        <v>-50.439226099999999</v>
      </c>
      <c r="AJ556" s="10">
        <f>IFERROR(VLOOKUP(B556,'Regiões Administrativas'!$A$1:$I$646,8,0),"")</f>
        <v>403.10182200000003</v>
      </c>
      <c r="AK556" s="10" t="str">
        <f>IFERROR(VLOOKUP(Form_Responses[[#This Row],[Município]],'Regiões Administrativas'!$A$1:$I$646,9,0),"")</f>
        <v>1J6Rb\{zgeD&gt;</v>
      </c>
    </row>
    <row r="557" spans="1:37" ht="22.5" customHeight="1">
      <c r="A557" s="18">
        <v>46071.534253032412</v>
      </c>
      <c r="B557" s="10" t="s">
        <v>2479</v>
      </c>
      <c r="C557" s="10" t="s">
        <v>1933</v>
      </c>
      <c r="D557" s="10" t="s">
        <v>2742</v>
      </c>
      <c r="E557" s="10" t="s">
        <v>2743</v>
      </c>
      <c r="G557" s="10" t="s">
        <v>2744</v>
      </c>
      <c r="H557" s="72" t="s">
        <v>2745</v>
      </c>
      <c r="I557" s="10" t="s">
        <v>128</v>
      </c>
      <c r="J557" s="16">
        <v>46127</v>
      </c>
      <c r="K557" s="16">
        <v>46138</v>
      </c>
      <c r="N557" s="10" t="s">
        <v>641</v>
      </c>
      <c r="O557" s="10" t="s">
        <v>62</v>
      </c>
      <c r="P557" s="10" t="s">
        <v>63</v>
      </c>
      <c r="Q557" s="10" t="s">
        <v>47</v>
      </c>
      <c r="R557" s="10" t="s">
        <v>48</v>
      </c>
      <c r="S557" s="10">
        <v>12000</v>
      </c>
      <c r="T557" s="10">
        <v>10000</v>
      </c>
      <c r="W557" s="10" t="s">
        <v>2746</v>
      </c>
      <c r="Y557" s="10" t="s">
        <v>2747</v>
      </c>
      <c r="Z557" s="10" t="s">
        <v>76</v>
      </c>
      <c r="AA557" s="10" t="s">
        <v>225</v>
      </c>
      <c r="AB557" s="10" t="s">
        <v>66</v>
      </c>
      <c r="AC557" s="10" t="s">
        <v>68</v>
      </c>
      <c r="AD557" s="10" t="str">
        <f>IFERROR(VLOOKUP(B557,'Regiões Administrativas'!$A$1:$B$646,2,0),"")</f>
        <v>Araçatuba</v>
      </c>
      <c r="AE557" s="10">
        <f>IFERROR(VLOOKUP(Form_Responses[[#This Row],[Município]],'Regiões Administrativas'!$A$1:$I$646,3,0),"")</f>
        <v>15410</v>
      </c>
      <c r="AF557" s="10">
        <f>IFERROR(VLOOKUP(Form_Responses[[#This Row],[Município]],'Regiões Administrativas'!$A$1:$I$646,4,0),"")</f>
        <v>350280405000001</v>
      </c>
      <c r="AG557" s="10">
        <f>IFERROR(VLOOKUP(Form_Responses[[#This Row],[Município]],'Regiões Administrativas'!$A$1:$I$646,4,0),"")</f>
        <v>350280405000001</v>
      </c>
      <c r="AH557" s="10">
        <f>IFERROR(VLOOKUP(B557,'Regiões Administrativas'!$A$1:$I$646,5,0),"")</f>
        <v>3502804</v>
      </c>
      <c r="AI557" s="10">
        <f>IFERROR(VLOOKUP(B557,'Regiões Administrativas'!$A$1:$I$646,6,0),"")</f>
        <v>-50.439226099999999</v>
      </c>
      <c r="AJ557" s="10">
        <f>IFERROR(VLOOKUP(B557,'Regiões Administrativas'!$A$1:$I$646,8,0),"")</f>
        <v>403.10182200000003</v>
      </c>
      <c r="AK557" s="10" t="str">
        <f>IFERROR(VLOOKUP(Form_Responses[[#This Row],[Município]],'Regiões Administrativas'!$A$1:$I$646,9,0),"")</f>
        <v>1J6Rb\{zgeD&gt;</v>
      </c>
    </row>
    <row r="558" spans="1:37" ht="22.5" customHeight="1">
      <c r="A558" s="18">
        <v>46071.540458344913</v>
      </c>
      <c r="B558" s="10" t="s">
        <v>2479</v>
      </c>
      <c r="C558" s="10" t="s">
        <v>1933</v>
      </c>
      <c r="D558" s="10" t="s">
        <v>2748</v>
      </c>
      <c r="E558" s="10" t="s">
        <v>2749</v>
      </c>
      <c r="G558" s="10" t="s">
        <v>2740</v>
      </c>
      <c r="I558" s="10" t="s">
        <v>220</v>
      </c>
      <c r="J558" s="16">
        <v>46154</v>
      </c>
      <c r="K558" s="16">
        <v>46160</v>
      </c>
      <c r="N558" s="10" t="s">
        <v>61</v>
      </c>
      <c r="O558" s="10" t="s">
        <v>62</v>
      </c>
      <c r="P558" s="10" t="s">
        <v>63</v>
      </c>
      <c r="Q558" s="10" t="s">
        <v>47</v>
      </c>
      <c r="R558" s="10" t="s">
        <v>74</v>
      </c>
      <c r="S558" s="10">
        <v>2000</v>
      </c>
      <c r="W558" s="10" t="s">
        <v>2750</v>
      </c>
      <c r="Y558" s="10" t="s">
        <v>2751</v>
      </c>
      <c r="Z558" s="10" t="s">
        <v>76</v>
      </c>
      <c r="AA558" s="10" t="s">
        <v>225</v>
      </c>
      <c r="AB558" s="10" t="s">
        <v>66</v>
      </c>
      <c r="AC558" s="10" t="s">
        <v>68</v>
      </c>
      <c r="AD558" s="10" t="str">
        <f>IFERROR(VLOOKUP(B558,'Regiões Administrativas'!$A$1:$B$646,2,0),"")</f>
        <v>Araçatuba</v>
      </c>
      <c r="AE558" s="10">
        <f>IFERROR(VLOOKUP(Form_Responses[[#This Row],[Município]],'Regiões Administrativas'!$A$1:$I$646,3,0),"")</f>
        <v>15410</v>
      </c>
      <c r="AF558" s="10">
        <f>IFERROR(VLOOKUP(Form_Responses[[#This Row],[Município]],'Regiões Administrativas'!$A$1:$I$646,4,0),"")</f>
        <v>350280405000001</v>
      </c>
      <c r="AG558" s="10">
        <f>IFERROR(VLOOKUP(Form_Responses[[#This Row],[Município]],'Regiões Administrativas'!$A$1:$I$646,4,0),"")</f>
        <v>350280405000001</v>
      </c>
      <c r="AH558" s="10">
        <f>IFERROR(VLOOKUP(B558,'Regiões Administrativas'!$A$1:$I$646,5,0),"")</f>
        <v>3502804</v>
      </c>
      <c r="AI558" s="10">
        <f>IFERROR(VLOOKUP(B558,'Regiões Administrativas'!$A$1:$I$646,6,0),"")</f>
        <v>-50.439226099999999</v>
      </c>
      <c r="AJ558" s="10">
        <f>IFERROR(VLOOKUP(B558,'Regiões Administrativas'!$A$1:$I$646,8,0),"")</f>
        <v>403.10182200000003</v>
      </c>
      <c r="AK558" s="10" t="str">
        <f>IFERROR(VLOOKUP(Form_Responses[[#This Row],[Município]],'Regiões Administrativas'!$A$1:$I$646,9,0),"")</f>
        <v>1J6Rb\{zgeD&gt;</v>
      </c>
    </row>
    <row r="559" spans="1:37" ht="22.5" customHeight="1">
      <c r="A559" s="18">
        <v>46072.601209131943</v>
      </c>
      <c r="B559" s="10" t="s">
        <v>2468</v>
      </c>
      <c r="C559" s="10" t="s">
        <v>1236</v>
      </c>
      <c r="D559" s="10" t="s">
        <v>70</v>
      </c>
      <c r="E559" s="10" t="s">
        <v>2752</v>
      </c>
      <c r="G559" s="10" t="s">
        <v>2477</v>
      </c>
      <c r="H559" s="72" t="s">
        <v>2753</v>
      </c>
      <c r="I559" s="10" t="s">
        <v>43</v>
      </c>
      <c r="J559" s="16">
        <v>46235</v>
      </c>
      <c r="K559" s="16">
        <v>46256</v>
      </c>
      <c r="N559" s="10" t="s">
        <v>73</v>
      </c>
      <c r="O559" s="10" t="s">
        <v>45</v>
      </c>
      <c r="P559" s="10" t="s">
        <v>63</v>
      </c>
      <c r="Q559" s="10" t="s">
        <v>47</v>
      </c>
      <c r="R559" s="10" t="s">
        <v>74</v>
      </c>
      <c r="S559" s="10">
        <v>6000</v>
      </c>
      <c r="T559" s="10">
        <v>5687</v>
      </c>
      <c r="W559" s="10" t="s">
        <v>2754</v>
      </c>
      <c r="Y559" s="10" t="s">
        <v>2755</v>
      </c>
      <c r="Z559" s="10" t="s">
        <v>76</v>
      </c>
      <c r="AA559" s="10" t="s">
        <v>113</v>
      </c>
      <c r="AB559" s="10" t="s">
        <v>344</v>
      </c>
      <c r="AC559" s="10" t="s">
        <v>68</v>
      </c>
      <c r="AD559" s="10" t="str">
        <f>IFERROR(VLOOKUP(B559,'Regiões Administrativas'!$A$1:$B$646,2,0),"")</f>
        <v>RMSP</v>
      </c>
      <c r="AE559" s="10">
        <f>IFERROR(VLOOKUP(Form_Responses[[#This Row],[Município]],'Regiões Administrativas'!$A$1:$I$646,3,0),"")</f>
        <v>15917</v>
      </c>
      <c r="AF559" s="10">
        <f>IFERROR(VLOOKUP(Form_Responses[[#This Row],[Município]],'Regiões Administrativas'!$A$1:$I$646,4,0),"")</f>
        <v>351640805000001</v>
      </c>
      <c r="AG559" s="10">
        <f>IFERROR(VLOOKUP(Form_Responses[[#This Row],[Município]],'Regiões Administrativas'!$A$1:$I$646,4,0),"")</f>
        <v>351640805000001</v>
      </c>
      <c r="AH559" s="10">
        <f>IFERROR(VLOOKUP(B559,'Regiões Administrativas'!$A$1:$I$646,5,0),"")</f>
        <v>3516408</v>
      </c>
      <c r="AI559" s="10">
        <f>IFERROR(VLOOKUP(B559,'Regiões Administrativas'!$A$1:$I$646,6,0),"")</f>
        <v>-46.727874700000001</v>
      </c>
      <c r="AJ559" s="10">
        <f>IFERROR(VLOOKUP(B559,'Regiões Administrativas'!$A$1:$I$646,8,0),"")</f>
        <v>747.305654</v>
      </c>
      <c r="AK559" s="10" t="str">
        <f>IFERROR(VLOOKUP(Form_Responses[[#This Row],[Município]],'Regiões Administrativas'!$A$1:$I$646,9,0),"")</f>
        <v>1J6tnLt.yS8f</v>
      </c>
    </row>
    <row r="560" spans="1:37" ht="22.5" customHeight="1">
      <c r="A560" s="18">
        <v>46073.576900405096</v>
      </c>
      <c r="B560" s="10" t="s">
        <v>2468</v>
      </c>
      <c r="C560" s="10" t="s">
        <v>1236</v>
      </c>
      <c r="D560" s="10" t="s">
        <v>2756</v>
      </c>
      <c r="E560" s="10" t="s">
        <v>2757</v>
      </c>
      <c r="G560" s="10" t="s">
        <v>2758</v>
      </c>
      <c r="H560" s="72" t="s">
        <v>2753</v>
      </c>
      <c r="I560" s="10" t="s">
        <v>43</v>
      </c>
      <c r="J560" s="16">
        <v>46239</v>
      </c>
      <c r="K560" s="16">
        <v>46241</v>
      </c>
      <c r="N560" s="10" t="s">
        <v>98</v>
      </c>
      <c r="O560" s="10" t="s">
        <v>221</v>
      </c>
      <c r="P560" s="10" t="s">
        <v>221</v>
      </c>
      <c r="Q560" s="10" t="s">
        <v>47</v>
      </c>
      <c r="R560" s="10" t="s">
        <v>74</v>
      </c>
      <c r="S560" s="10">
        <v>1200</v>
      </c>
      <c r="T560" s="10">
        <v>1100</v>
      </c>
      <c r="W560" s="10" t="s">
        <v>2759</v>
      </c>
      <c r="X560" s="72" t="s">
        <v>2753</v>
      </c>
      <c r="Y560" s="10" t="s">
        <v>2760</v>
      </c>
      <c r="Z560" s="10" t="s">
        <v>66</v>
      </c>
      <c r="AA560" s="10" t="s">
        <v>66</v>
      </c>
      <c r="AB560" s="10" t="s">
        <v>66</v>
      </c>
      <c r="AC560" s="10" t="s">
        <v>68</v>
      </c>
      <c r="AD560" s="10" t="str">
        <f>IFERROR(VLOOKUP(B560,'Regiões Administrativas'!$A$1:$B$646,2,0),"")</f>
        <v>RMSP</v>
      </c>
      <c r="AE560" s="10">
        <f>IFERROR(VLOOKUP(Form_Responses[[#This Row],[Município]],'Regiões Administrativas'!$A$1:$I$646,3,0),"")</f>
        <v>15917</v>
      </c>
      <c r="AF560" s="10">
        <f>IFERROR(VLOOKUP(Form_Responses[[#This Row],[Município]],'Regiões Administrativas'!$A$1:$I$646,4,0),"")</f>
        <v>351640805000001</v>
      </c>
      <c r="AG560" s="10">
        <f>IFERROR(VLOOKUP(Form_Responses[[#This Row],[Município]],'Regiões Administrativas'!$A$1:$I$646,4,0),"")</f>
        <v>351640805000001</v>
      </c>
      <c r="AH560" s="10">
        <f>IFERROR(VLOOKUP(B560,'Regiões Administrativas'!$A$1:$I$646,5,0),"")</f>
        <v>3516408</v>
      </c>
      <c r="AI560" s="10">
        <f>IFERROR(VLOOKUP(B560,'Regiões Administrativas'!$A$1:$I$646,6,0),"")</f>
        <v>-46.727874700000001</v>
      </c>
      <c r="AJ560" s="10">
        <f>IFERROR(VLOOKUP(B560,'Regiões Administrativas'!$A$1:$I$646,8,0),"")</f>
        <v>747.305654</v>
      </c>
      <c r="AK560" s="10" t="str">
        <f>IFERROR(VLOOKUP(Form_Responses[[#This Row],[Município]],'Regiões Administrativas'!$A$1:$I$646,9,0),"")</f>
        <v>1J6tnLt.yS8f</v>
      </c>
    </row>
    <row r="561" spans="1:37" ht="22.5" customHeight="1">
      <c r="A561" s="18">
        <v>46073.59665900463</v>
      </c>
      <c r="B561" s="10" t="s">
        <v>2468</v>
      </c>
      <c r="C561" s="10" t="s">
        <v>1236</v>
      </c>
      <c r="D561" s="10" t="s">
        <v>2761</v>
      </c>
      <c r="E561" s="10" t="s">
        <v>2762</v>
      </c>
      <c r="G561" s="10" t="s">
        <v>2763</v>
      </c>
      <c r="I561" s="10" t="s">
        <v>220</v>
      </c>
      <c r="J561" s="16">
        <v>46144</v>
      </c>
      <c r="K561" s="16">
        <v>46145</v>
      </c>
      <c r="N561" s="10" t="s">
        <v>44</v>
      </c>
      <c r="O561" s="10" t="s">
        <v>221</v>
      </c>
      <c r="P561" s="10" t="s">
        <v>221</v>
      </c>
      <c r="Q561" s="10" t="s">
        <v>47</v>
      </c>
      <c r="R561" s="10" t="s">
        <v>256</v>
      </c>
      <c r="S561" s="10">
        <v>4000</v>
      </c>
      <c r="T561" s="10">
        <v>3000</v>
      </c>
      <c r="W561" s="10" t="s">
        <v>2764</v>
      </c>
      <c r="Y561" s="10" t="s">
        <v>2765</v>
      </c>
      <c r="Z561" s="10" t="s">
        <v>76</v>
      </c>
      <c r="AA561" s="10" t="s">
        <v>66</v>
      </c>
      <c r="AB561" s="10" t="s">
        <v>66</v>
      </c>
      <c r="AC561" s="10" t="s">
        <v>68</v>
      </c>
      <c r="AD561" s="10" t="str">
        <f>IFERROR(VLOOKUP(B561,'Regiões Administrativas'!$A$1:$B$646,2,0),"")</f>
        <v>RMSP</v>
      </c>
      <c r="AE561" s="10">
        <f>IFERROR(VLOOKUP(Form_Responses[[#This Row],[Município]],'Regiões Administrativas'!$A$1:$I$646,3,0),"")</f>
        <v>15917</v>
      </c>
      <c r="AF561" s="10">
        <f>IFERROR(VLOOKUP(Form_Responses[[#This Row],[Município]],'Regiões Administrativas'!$A$1:$I$646,4,0),"")</f>
        <v>351640805000001</v>
      </c>
      <c r="AG561" s="10">
        <f>IFERROR(VLOOKUP(Form_Responses[[#This Row],[Município]],'Regiões Administrativas'!$A$1:$I$646,4,0),"")</f>
        <v>351640805000001</v>
      </c>
      <c r="AH561" s="10">
        <f>IFERROR(VLOOKUP(B561,'Regiões Administrativas'!$A$1:$I$646,5,0),"")</f>
        <v>3516408</v>
      </c>
      <c r="AI561" s="10">
        <f>IFERROR(VLOOKUP(B561,'Regiões Administrativas'!$A$1:$I$646,6,0),"")</f>
        <v>-46.727874700000001</v>
      </c>
      <c r="AJ561" s="10">
        <f>IFERROR(VLOOKUP(B561,'Regiões Administrativas'!$A$1:$I$646,8,0),"")</f>
        <v>747.305654</v>
      </c>
      <c r="AK561" s="10" t="str">
        <f>IFERROR(VLOOKUP(Form_Responses[[#This Row],[Município]],'Regiões Administrativas'!$A$1:$I$646,9,0),"")</f>
        <v>1J6tnLt.yS8f</v>
      </c>
    </row>
    <row r="562" spans="1:37" ht="22.5" customHeight="1">
      <c r="A562" s="18">
        <v>46073.68946050926</v>
      </c>
      <c r="B562" s="10" t="s">
        <v>2073</v>
      </c>
      <c r="C562" s="10" t="s">
        <v>493</v>
      </c>
      <c r="D562" s="10" t="s">
        <v>2766</v>
      </c>
      <c r="E562" s="10" t="s">
        <v>2767</v>
      </c>
      <c r="F562" s="10" t="s">
        <v>1998</v>
      </c>
      <c r="G562" s="10" t="s">
        <v>2768</v>
      </c>
      <c r="H562" s="10" t="s">
        <v>126</v>
      </c>
      <c r="I562" s="10" t="s">
        <v>43</v>
      </c>
      <c r="J562" s="16">
        <v>46246</v>
      </c>
      <c r="K562" s="16">
        <v>46249</v>
      </c>
      <c r="N562" s="10" t="s">
        <v>110</v>
      </c>
      <c r="O562" s="10" t="s">
        <v>45</v>
      </c>
      <c r="P562" s="10" t="s">
        <v>221</v>
      </c>
      <c r="Q562" s="10" t="s">
        <v>47</v>
      </c>
      <c r="R562" s="10" t="s">
        <v>74</v>
      </c>
      <c r="S562" s="10">
        <v>3500</v>
      </c>
      <c r="T562" s="10">
        <v>3000</v>
      </c>
      <c r="U562" s="10">
        <v>2800</v>
      </c>
      <c r="V562" s="10">
        <v>2500</v>
      </c>
      <c r="W562" s="10" t="s">
        <v>2769</v>
      </c>
      <c r="Y562" s="10" t="s">
        <v>2078</v>
      </c>
      <c r="Z562" s="10" t="s">
        <v>76</v>
      </c>
      <c r="AA562" s="10" t="s">
        <v>1502</v>
      </c>
      <c r="AB562" s="10" t="s">
        <v>66</v>
      </c>
      <c r="AC562" s="10" t="s">
        <v>68</v>
      </c>
      <c r="AD562" s="10" t="str">
        <f>IFERROR(VLOOKUP(B562,'Regiões Administrativas'!$A$1:$B$646,2,0),"")</f>
        <v>Registro</v>
      </c>
      <c r="AE562" s="10">
        <f>IFERROR(VLOOKUP(Form_Responses[[#This Row],[Município]],'Regiões Administrativas'!$A$1:$I$646,3,0),"")</f>
        <v>15723</v>
      </c>
      <c r="AF562" s="10">
        <f>IFERROR(VLOOKUP(Form_Responses[[#This Row],[Município]],'Regiões Administrativas'!$A$1:$I$646,4,0),"")</f>
        <v>350990805000001</v>
      </c>
      <c r="AG562" s="10">
        <f>IFERROR(VLOOKUP(Form_Responses[[#This Row],[Município]],'Regiões Administrativas'!$A$1:$I$646,4,0),"")</f>
        <v>350990805000001</v>
      </c>
      <c r="AH562" s="10">
        <f>IFERROR(VLOOKUP(B562,'Regiões Administrativas'!$A$1:$I$646,5,0),"")</f>
        <v>3509908</v>
      </c>
      <c r="AI562" s="10">
        <f>IFERROR(VLOOKUP(B562,'Regiões Administrativas'!$A$1:$I$646,6,0),"")</f>
        <v>-47.928482799999998</v>
      </c>
      <c r="AJ562" s="10">
        <f>IFERROR(VLOOKUP(B562,'Regiões Administrativas'!$A$1:$I$646,8,0),"")</f>
        <v>7.8404660000000002</v>
      </c>
      <c r="AK562" s="10" t="str">
        <f>IFERROR(VLOOKUP(Form_Responses[[#This Row],[Município]],'Regiões Administrativas'!$A$1:$I$646,9,0),"")</f>
        <v>1J6U,h6oUiU-</v>
      </c>
    </row>
    <row r="563" spans="1:37" ht="22.5" customHeight="1">
      <c r="A563" s="18">
        <v>46073.692283263888</v>
      </c>
      <c r="B563" s="10" t="s">
        <v>1303</v>
      </c>
      <c r="C563" s="10" t="s">
        <v>1304</v>
      </c>
      <c r="D563" s="10" t="s">
        <v>2770</v>
      </c>
      <c r="E563" s="10" t="s">
        <v>2771</v>
      </c>
      <c r="G563" s="10" t="s">
        <v>2772</v>
      </c>
      <c r="H563" s="72" t="s">
        <v>2773</v>
      </c>
      <c r="I563" s="10" t="s">
        <v>220</v>
      </c>
      <c r="J563" s="16">
        <v>46167</v>
      </c>
      <c r="K563" s="16">
        <v>46167</v>
      </c>
      <c r="L563" s="17">
        <v>0.375</v>
      </c>
      <c r="M563" s="17">
        <v>0.91666666666424135</v>
      </c>
      <c r="N563" s="10" t="s">
        <v>641</v>
      </c>
      <c r="O563" s="10" t="s">
        <v>190</v>
      </c>
      <c r="P563" s="10" t="s">
        <v>99</v>
      </c>
      <c r="Q563" s="10" t="s">
        <v>47</v>
      </c>
      <c r="R563" s="10" t="s">
        <v>230</v>
      </c>
      <c r="S563" s="10">
        <v>3800</v>
      </c>
      <c r="T563" s="10">
        <v>2000</v>
      </c>
      <c r="U563" s="10">
        <v>2000</v>
      </c>
      <c r="V563" s="10">
        <v>400</v>
      </c>
      <c r="W563" s="10" t="s">
        <v>2774</v>
      </c>
      <c r="X563" s="72" t="s">
        <v>2775</v>
      </c>
      <c r="Y563" s="10" t="s">
        <v>2776</v>
      </c>
      <c r="Z563" s="10" t="s">
        <v>2777</v>
      </c>
      <c r="AA563" s="10" t="s">
        <v>2778</v>
      </c>
      <c r="AB563" s="10" t="s">
        <v>306</v>
      </c>
      <c r="AC563" s="10" t="s">
        <v>94</v>
      </c>
      <c r="AD563" s="10" t="str">
        <f>IFERROR(VLOOKUP(B563,'Regiões Administrativas'!$A$1:$B$646,2,0),"")</f>
        <v>RMSP</v>
      </c>
      <c r="AE563" s="10">
        <f>IFERROR(VLOOKUP(Form_Responses[[#This Row],[Município]],'Regiões Administrativas'!$A$1:$I$646,3,0),"")</f>
        <v>17200</v>
      </c>
      <c r="AF563" s="10">
        <f>IFERROR(VLOOKUP(Form_Responses[[#This Row],[Município]],'Regiões Administrativas'!$A$1:$I$646,4,0),"")</f>
        <v>355030801000001</v>
      </c>
      <c r="AG563" s="10">
        <f>IFERROR(VLOOKUP(Form_Responses[[#This Row],[Município]],'Regiões Administrativas'!$A$1:$I$646,4,0),"")</f>
        <v>355030801000001</v>
      </c>
      <c r="AH563" s="10">
        <f>IFERROR(VLOOKUP(B563,'Regiões Administrativas'!$A$1:$I$646,5,0),"")</f>
        <v>3550308</v>
      </c>
      <c r="AI563" s="10">
        <f>IFERROR(VLOOKUP(B563,'Regiões Administrativas'!$A$1:$I$646,6,0),"")</f>
        <v>-46.570383200000002</v>
      </c>
      <c r="AJ563" s="10">
        <f>IFERROR(VLOOKUP(B563,'Regiões Administrativas'!$A$1:$I$646,8,0),"")</f>
        <v>783.61512700000003</v>
      </c>
      <c r="AK563" s="10" t="str">
        <f>IFERROR(VLOOKUP(Form_Responses[[#This Row],[Município]],'Regiões Administrativas'!$A$1:$I$646,9,0),"")</f>
        <v>1J6to@yg_@Q&gt;</v>
      </c>
    </row>
    <row r="564" spans="1:37" ht="22.5" customHeight="1">
      <c r="A564" s="18">
        <v>46073.697971238427</v>
      </c>
      <c r="B564" s="10" t="s">
        <v>2073</v>
      </c>
      <c r="C564" s="10" t="s">
        <v>493</v>
      </c>
      <c r="D564" s="10" t="s">
        <v>2779</v>
      </c>
      <c r="E564" s="10" t="s">
        <v>2780</v>
      </c>
      <c r="G564" s="10" t="s">
        <v>2781</v>
      </c>
      <c r="H564" s="10" t="s">
        <v>126</v>
      </c>
      <c r="I564" s="10" t="s">
        <v>81</v>
      </c>
      <c r="J564" s="16">
        <v>46269</v>
      </c>
      <c r="K564" s="16">
        <v>46272</v>
      </c>
      <c r="N564" s="10" t="s">
        <v>73</v>
      </c>
      <c r="O564" s="10" t="s">
        <v>62</v>
      </c>
      <c r="P564" s="10" t="s">
        <v>99</v>
      </c>
      <c r="Q564" s="10" t="s">
        <v>47</v>
      </c>
      <c r="R564" s="10" t="s">
        <v>74</v>
      </c>
      <c r="S564" s="10">
        <v>1000</v>
      </c>
      <c r="T564" s="10">
        <v>800</v>
      </c>
      <c r="U564" s="10">
        <v>700</v>
      </c>
      <c r="V564" s="10">
        <v>700</v>
      </c>
      <c r="W564" s="10" t="s">
        <v>2769</v>
      </c>
      <c r="X564" s="10" t="s">
        <v>126</v>
      </c>
      <c r="Y564" s="10" t="s">
        <v>2078</v>
      </c>
      <c r="Z564" s="10" t="s">
        <v>76</v>
      </c>
      <c r="AA564" s="10" t="s">
        <v>244</v>
      </c>
      <c r="AB564" s="10" t="s">
        <v>66</v>
      </c>
      <c r="AC564" s="10" t="s">
        <v>68</v>
      </c>
      <c r="AD564" s="10" t="str">
        <f>IFERROR(VLOOKUP(B564,'Regiões Administrativas'!$A$1:$B$646,2,0),"")</f>
        <v>Registro</v>
      </c>
      <c r="AE564" s="10">
        <f>IFERROR(VLOOKUP(Form_Responses[[#This Row],[Município]],'Regiões Administrativas'!$A$1:$I$646,3,0),"")</f>
        <v>15723</v>
      </c>
      <c r="AF564" s="10">
        <f>IFERROR(VLOOKUP(Form_Responses[[#This Row],[Município]],'Regiões Administrativas'!$A$1:$I$646,4,0),"")</f>
        <v>350990805000001</v>
      </c>
      <c r="AG564" s="10">
        <f>IFERROR(VLOOKUP(Form_Responses[[#This Row],[Município]],'Regiões Administrativas'!$A$1:$I$646,4,0),"")</f>
        <v>350990805000001</v>
      </c>
      <c r="AH564" s="10">
        <f>IFERROR(VLOOKUP(B564,'Regiões Administrativas'!$A$1:$I$646,5,0),"")</f>
        <v>3509908</v>
      </c>
      <c r="AI564" s="10">
        <f>IFERROR(VLOOKUP(B564,'Regiões Administrativas'!$A$1:$I$646,6,0),"")</f>
        <v>-47.928482799999998</v>
      </c>
      <c r="AJ564" s="10">
        <f>IFERROR(VLOOKUP(B564,'Regiões Administrativas'!$A$1:$I$646,8,0),"")</f>
        <v>7.8404660000000002</v>
      </c>
      <c r="AK564" s="10" t="str">
        <f>IFERROR(VLOOKUP(Form_Responses[[#This Row],[Município]],'Regiões Administrativas'!$A$1:$I$646,9,0),"")</f>
        <v>1J6U,h6oUiU-</v>
      </c>
    </row>
    <row r="565" spans="1:37" ht="22.5" customHeight="1">
      <c r="A565" s="18">
        <v>46074.724550810184</v>
      </c>
      <c r="B565" s="10" t="s">
        <v>2782</v>
      </c>
      <c r="C565" s="10" t="s">
        <v>1005</v>
      </c>
      <c r="D565" s="10" t="s">
        <v>2783</v>
      </c>
      <c r="E565" s="10" t="s">
        <v>2784</v>
      </c>
      <c r="G565" s="10" t="s">
        <v>2785</v>
      </c>
      <c r="I565" s="10" t="s">
        <v>60</v>
      </c>
      <c r="J565" s="16">
        <v>46191</v>
      </c>
      <c r="K565" s="16">
        <v>46201</v>
      </c>
      <c r="N565" s="10" t="s">
        <v>73</v>
      </c>
      <c r="O565" s="10" t="s">
        <v>45</v>
      </c>
      <c r="P565" s="10" t="s">
        <v>135</v>
      </c>
      <c r="Q565" s="10" t="s">
        <v>47</v>
      </c>
      <c r="R565" s="10" t="s">
        <v>74</v>
      </c>
      <c r="S565" s="19">
        <v>200000</v>
      </c>
      <c r="T565" s="19">
        <v>180000</v>
      </c>
      <c r="U565" s="19">
        <v>160000</v>
      </c>
      <c r="V565" s="19">
        <v>130000</v>
      </c>
      <c r="W565" s="10" t="s">
        <v>2786</v>
      </c>
      <c r="X565" s="10" t="s">
        <v>683</v>
      </c>
      <c r="Y565" s="10" t="s">
        <v>2787</v>
      </c>
      <c r="Z565" s="10" t="s">
        <v>402</v>
      </c>
      <c r="AA565" s="10" t="s">
        <v>1610</v>
      </c>
      <c r="AB565" s="10" t="s">
        <v>2788</v>
      </c>
      <c r="AC565" s="10" t="s">
        <v>68</v>
      </c>
      <c r="AD565" s="10" t="str">
        <f>IFERROR(VLOOKUP(B565,'Regiões Administrativas'!$A$1:$B$646,2,0),"")</f>
        <v>São José dos Campos</v>
      </c>
      <c r="AE565" s="10">
        <f>IFERROR(VLOOKUP(Form_Responses[[#This Row],[Município]],'Regiões Administrativas'!$A$1:$I$646,3,0),"")</f>
        <v>15667</v>
      </c>
      <c r="AF565" s="10">
        <f>IFERROR(VLOOKUP(Form_Responses[[#This Row],[Município]],'Regiões Administrativas'!$A$1:$I$646,4,0),"")</f>
        <v>350850405000001</v>
      </c>
      <c r="AG565" s="10">
        <f>IFERROR(VLOOKUP(Form_Responses[[#This Row],[Município]],'Regiões Administrativas'!$A$1:$I$646,4,0),"")</f>
        <v>350850405000001</v>
      </c>
      <c r="AH565" s="10">
        <f>IFERROR(VLOOKUP(B565,'Regiões Administrativas'!$A$1:$I$646,5,0),"")</f>
        <v>3508504</v>
      </c>
      <c r="AI565" s="10">
        <f>IFERROR(VLOOKUP(B565,'Regiões Administrativas'!$A$1:$I$646,6,0),"")</f>
        <v>-45.707730400000003</v>
      </c>
      <c r="AJ565" s="10">
        <f>IFERROR(VLOOKUP(B565,'Regiões Administrativas'!$A$1:$I$646,8,0),"")</f>
        <v>562.24275899999998</v>
      </c>
      <c r="AK565" s="10" t="str">
        <f>IFERROR(VLOOKUP(Form_Responses[[#This Row],[Município]],'Regiões Administrativas'!$A$1:$I$646,9,0),"")</f>
        <v>1J6tOEiyj8l-</v>
      </c>
    </row>
    <row r="566" spans="1:37" ht="22.5" customHeight="1">
      <c r="A566" s="18">
        <v>46077.334628495373</v>
      </c>
      <c r="B566" s="10" t="s">
        <v>2479</v>
      </c>
      <c r="C566" s="10" t="s">
        <v>1933</v>
      </c>
      <c r="D566" s="10" t="s">
        <v>2789</v>
      </c>
      <c r="E566" s="10" t="s">
        <v>2790</v>
      </c>
      <c r="G566" s="10" t="s">
        <v>2791</v>
      </c>
      <c r="H566" s="72" t="s">
        <v>2792</v>
      </c>
      <c r="I566" s="10" t="s">
        <v>128</v>
      </c>
      <c r="J566" s="16">
        <v>46117</v>
      </c>
      <c r="K566" s="16">
        <v>46117</v>
      </c>
      <c r="L566" s="17">
        <v>0.29166666666424135</v>
      </c>
      <c r="M566" s="17">
        <v>0.45833333333575865</v>
      </c>
      <c r="N566" s="10" t="s">
        <v>98</v>
      </c>
      <c r="O566" s="10" t="s">
        <v>62</v>
      </c>
      <c r="P566" s="10" t="s">
        <v>63</v>
      </c>
      <c r="Q566" s="10" t="s">
        <v>47</v>
      </c>
      <c r="R566" s="10" t="s">
        <v>74</v>
      </c>
      <c r="S566" s="10">
        <v>800</v>
      </c>
      <c r="T566" s="10">
        <v>600</v>
      </c>
      <c r="W566" s="10" t="s">
        <v>2793</v>
      </c>
      <c r="X566" s="72" t="s">
        <v>2792</v>
      </c>
      <c r="Y566" s="10" t="s">
        <v>2794</v>
      </c>
      <c r="Z566" s="10" t="s">
        <v>76</v>
      </c>
      <c r="AA566" s="10" t="s">
        <v>66</v>
      </c>
      <c r="AB566" s="10" t="s">
        <v>66</v>
      </c>
      <c r="AC566" s="10" t="s">
        <v>68</v>
      </c>
      <c r="AD566" s="10" t="str">
        <f>IFERROR(VLOOKUP(B566,'Regiões Administrativas'!$A$1:$B$646,2,0),"")</f>
        <v>Araçatuba</v>
      </c>
      <c r="AE566" s="10">
        <f>IFERROR(VLOOKUP(Form_Responses[[#This Row],[Município]],'Regiões Administrativas'!$A$1:$I$646,3,0),"")</f>
        <v>15410</v>
      </c>
      <c r="AF566" s="10">
        <f>IFERROR(VLOOKUP(Form_Responses[[#This Row],[Município]],'Regiões Administrativas'!$A$1:$I$646,4,0),"")</f>
        <v>350280405000001</v>
      </c>
      <c r="AG566" s="10">
        <f>IFERROR(VLOOKUP(Form_Responses[[#This Row],[Município]],'Regiões Administrativas'!$A$1:$I$646,4,0),"")</f>
        <v>350280405000001</v>
      </c>
      <c r="AH566" s="10">
        <f>IFERROR(VLOOKUP(B566,'Regiões Administrativas'!$A$1:$I$646,5,0),"")</f>
        <v>3502804</v>
      </c>
      <c r="AI566" s="10">
        <f>IFERROR(VLOOKUP(B566,'Regiões Administrativas'!$A$1:$I$646,6,0),"")</f>
        <v>-50.439226099999999</v>
      </c>
      <c r="AJ566" s="10">
        <f>IFERROR(VLOOKUP(B566,'Regiões Administrativas'!$A$1:$I$646,8,0),"")</f>
        <v>403.10182200000003</v>
      </c>
      <c r="AK566" s="10" t="str">
        <f>IFERROR(VLOOKUP(Form_Responses[[#This Row],[Município]],'Regiões Administrativas'!$A$1:$I$646,9,0),"")</f>
        <v>1J6Rb\{zgeD&gt;</v>
      </c>
    </row>
    <row r="567" spans="1:37" ht="22.5" customHeight="1">
      <c r="A567" s="18">
        <v>46077.482897789348</v>
      </c>
      <c r="B567" s="10" t="s">
        <v>2795</v>
      </c>
      <c r="C567" s="10" t="s">
        <v>811</v>
      </c>
      <c r="D567" s="10" t="s">
        <v>2796</v>
      </c>
      <c r="E567" s="10" t="s">
        <v>2797</v>
      </c>
      <c r="G567" s="10" t="s">
        <v>2798</v>
      </c>
      <c r="I567" s="10" t="s">
        <v>89</v>
      </c>
      <c r="J567" s="16">
        <v>46067</v>
      </c>
      <c r="K567" s="16">
        <v>46070</v>
      </c>
      <c r="N567" s="10" t="s">
        <v>44</v>
      </c>
      <c r="O567" s="10" t="s">
        <v>45</v>
      </c>
      <c r="P567" s="10" t="s">
        <v>90</v>
      </c>
      <c r="Q567" s="10" t="s">
        <v>47</v>
      </c>
      <c r="R567" s="10" t="s">
        <v>48</v>
      </c>
      <c r="S567" s="19">
        <v>10000</v>
      </c>
      <c r="W567" s="10" t="s">
        <v>2799</v>
      </c>
      <c r="Y567" s="10" t="s">
        <v>2800</v>
      </c>
      <c r="Z567" s="10" t="s">
        <v>76</v>
      </c>
      <c r="AA567" s="10" t="s">
        <v>93</v>
      </c>
      <c r="AB567" s="10" t="s">
        <v>344</v>
      </c>
      <c r="AC567" s="10" t="s">
        <v>68</v>
      </c>
      <c r="AD567" s="10" t="str">
        <f>IFERROR(VLOOKUP(B567,'Regiões Administrativas'!$A$1:$B$646,2,0),"")</f>
        <v>Campinas</v>
      </c>
      <c r="AE567" s="10">
        <f>IFERROR(VLOOKUP(Form_Responses[[#This Row],[Município]],'Regiões Administrativas'!$A$1:$I$646,3,0),"")</f>
        <v>15983</v>
      </c>
      <c r="AF567" s="10">
        <f>IFERROR(VLOOKUP(Form_Responses[[#This Row],[Município]],'Regiões Administrativas'!$A$1:$I$646,4,0),"")</f>
        <v>351905505000001</v>
      </c>
      <c r="AG567" s="10">
        <f>IFERROR(VLOOKUP(Form_Responses[[#This Row],[Município]],'Regiões Administrativas'!$A$1:$I$646,4,0),"")</f>
        <v>351905505000001</v>
      </c>
      <c r="AH567" s="10">
        <f>IFERROR(VLOOKUP(B567,'Regiões Administrativas'!$A$1:$I$646,5,0),"")</f>
        <v>3519055</v>
      </c>
      <c r="AI567" s="10">
        <f>IFERROR(VLOOKUP(B567,'Regiões Administrativas'!$A$1:$I$646,6,0),"")</f>
        <v>-47.059286899999996</v>
      </c>
      <c r="AJ567" s="10">
        <f>IFERROR(VLOOKUP(B567,'Regiões Administrativas'!$A$1:$I$646,8,0),"")</f>
        <v>604.95051799999999</v>
      </c>
      <c r="AK567" s="10" t="str">
        <f>IFERROR(VLOOKUP(Form_Responses[[#This Row],[Município]],'Regiões Administrativas'!$A$1:$I$646,9,0),"")</f>
        <v>1J6thS&lt;zQ&lt;lf</v>
      </c>
    </row>
    <row r="568" spans="1:37" ht="22.5" customHeight="1">
      <c r="A568" s="18">
        <v>46080.426758425921</v>
      </c>
      <c r="B568" s="10" t="s">
        <v>2801</v>
      </c>
      <c r="C568" s="10" t="s">
        <v>521</v>
      </c>
      <c r="D568" s="10" t="s">
        <v>2802</v>
      </c>
      <c r="E568" s="10" t="s">
        <v>2803</v>
      </c>
      <c r="F568" s="10" t="s">
        <v>2804</v>
      </c>
      <c r="G568" s="10" t="s">
        <v>2805</v>
      </c>
      <c r="I568" s="10" t="s">
        <v>43</v>
      </c>
      <c r="J568" s="16">
        <v>46255</v>
      </c>
      <c r="K568" s="16">
        <v>46256</v>
      </c>
      <c r="L568" s="17">
        <v>0.83333333333575865</v>
      </c>
      <c r="M568" s="17">
        <v>4.1666666664241347E-2</v>
      </c>
      <c r="N568" s="10" t="s">
        <v>44</v>
      </c>
      <c r="O568" s="10" t="s">
        <v>190</v>
      </c>
      <c r="P568" s="10" t="s">
        <v>63</v>
      </c>
      <c r="Q568" s="10" t="s">
        <v>47</v>
      </c>
      <c r="R568" s="10" t="s">
        <v>256</v>
      </c>
      <c r="S568" s="10">
        <v>11000</v>
      </c>
      <c r="T568" s="10">
        <v>10000</v>
      </c>
      <c r="U568" s="10">
        <v>10000</v>
      </c>
      <c r="V568" s="10">
        <v>10000</v>
      </c>
      <c r="W568" s="10" t="s">
        <v>2806</v>
      </c>
      <c r="X568" s="72" t="s">
        <v>2807</v>
      </c>
      <c r="Y568" s="10" t="s">
        <v>2808</v>
      </c>
      <c r="Z568" s="10" t="s">
        <v>224</v>
      </c>
      <c r="AA568" s="10" t="s">
        <v>93</v>
      </c>
      <c r="AB568" s="10" t="s">
        <v>66</v>
      </c>
      <c r="AC568" s="10" t="s">
        <v>68</v>
      </c>
      <c r="AD568" s="10" t="str">
        <f>IFERROR(VLOOKUP(B568,'Regiões Administrativas'!$A$1:$B$646,2,0),"")</f>
        <v>São José do Rio Preto</v>
      </c>
      <c r="AE568" s="10">
        <f>IFERROR(VLOOKUP(Form_Responses[[#This Row],[Município]],'Regiões Administrativas'!$A$1:$I$646,3,0),"")</f>
        <v>15768</v>
      </c>
      <c r="AF568" s="10">
        <f>IFERROR(VLOOKUP(Form_Responses[[#This Row],[Município]],'Regiões Administrativas'!$A$1:$I$646,4,0),"")</f>
        <v>351130005000001</v>
      </c>
      <c r="AG568" s="10">
        <f>IFERROR(VLOOKUP(Form_Responses[[#This Row],[Município]],'Regiões Administrativas'!$A$1:$I$646,4,0),"")</f>
        <v>351130005000001</v>
      </c>
      <c r="AH568" s="10">
        <f>IFERROR(VLOOKUP(B568,'Regiões Administrativas'!$A$1:$I$646,5,0),"")</f>
        <v>3511300</v>
      </c>
      <c r="AI568" s="10">
        <f>IFERROR(VLOOKUP(B568,'Regiões Administrativas'!$A$1:$I$646,6,0),"")</f>
        <v>-49.272841499999998</v>
      </c>
      <c r="AJ568" s="10">
        <f>IFERROR(VLOOKUP(B568,'Regiões Administrativas'!$A$1:$I$646,8,0),"")</f>
        <v>566.04621699999996</v>
      </c>
      <c r="AK568" s="10" t="str">
        <f>IFERROR(VLOOKUP(Form_Responses[[#This Row],[Município]],'Regiões Administrativas'!$A$1:$I$646,9,0),"")</f>
        <v>1J6RByDLlTPf</v>
      </c>
    </row>
    <row r="569" spans="1:37" ht="22.5" customHeight="1">
      <c r="A569" s="18">
        <v>46083.395624571756</v>
      </c>
      <c r="B569" s="10" t="s">
        <v>2795</v>
      </c>
      <c r="C569" s="10" t="s">
        <v>811</v>
      </c>
      <c r="D569" s="10" t="s">
        <v>2809</v>
      </c>
      <c r="E569" s="10" t="s">
        <v>2810</v>
      </c>
      <c r="G569" s="10" t="s">
        <v>2811</v>
      </c>
      <c r="I569" s="10" t="s">
        <v>128</v>
      </c>
      <c r="J569" s="16">
        <v>46108</v>
      </c>
      <c r="K569" s="16">
        <v>46117</v>
      </c>
      <c r="N569" s="10" t="s">
        <v>73</v>
      </c>
      <c r="O569" s="10" t="s">
        <v>221</v>
      </c>
      <c r="P569" s="10" t="s">
        <v>480</v>
      </c>
      <c r="Q569" s="10" t="s">
        <v>47</v>
      </c>
      <c r="R569" s="10" t="s">
        <v>48</v>
      </c>
      <c r="S569" s="10">
        <v>11000</v>
      </c>
      <c r="T569" s="10">
        <v>10000</v>
      </c>
      <c r="U569" s="10">
        <v>9500</v>
      </c>
      <c r="V569" s="10">
        <v>9000</v>
      </c>
      <c r="W569" s="10" t="s">
        <v>2799</v>
      </c>
      <c r="X569" s="10" t="s">
        <v>683</v>
      </c>
      <c r="Y569" s="10" t="s">
        <v>2800</v>
      </c>
      <c r="Z569" s="10" t="s">
        <v>76</v>
      </c>
      <c r="AA569" s="10" t="s">
        <v>244</v>
      </c>
      <c r="AB569" s="10" t="s">
        <v>66</v>
      </c>
      <c r="AC569" s="10" t="s">
        <v>68</v>
      </c>
      <c r="AD569" s="10" t="str">
        <f>IFERROR(VLOOKUP(B569,'Regiões Administrativas'!$A$1:$B$646,2,0),"")</f>
        <v>Campinas</v>
      </c>
      <c r="AE569" s="10">
        <f>IFERROR(VLOOKUP(Form_Responses[[#This Row],[Município]],'Regiões Administrativas'!$A$1:$I$646,3,0),"")</f>
        <v>15983</v>
      </c>
      <c r="AF569" s="10">
        <f>IFERROR(VLOOKUP(Form_Responses[[#This Row],[Município]],'Regiões Administrativas'!$A$1:$I$646,4,0),"")</f>
        <v>351905505000001</v>
      </c>
      <c r="AG569" s="10">
        <f>IFERROR(VLOOKUP(Form_Responses[[#This Row],[Município]],'Regiões Administrativas'!$A$1:$I$646,4,0),"")</f>
        <v>351905505000001</v>
      </c>
      <c r="AH569" s="10">
        <f>IFERROR(VLOOKUP(B569,'Regiões Administrativas'!$A$1:$I$646,5,0),"")</f>
        <v>3519055</v>
      </c>
      <c r="AI569" s="10">
        <f>IFERROR(VLOOKUP(B569,'Regiões Administrativas'!$A$1:$I$646,6,0),"")</f>
        <v>-47.059286899999996</v>
      </c>
      <c r="AJ569" s="10">
        <f>IFERROR(VLOOKUP(B569,'Regiões Administrativas'!$A$1:$I$646,8,0),"")</f>
        <v>604.95051799999999</v>
      </c>
      <c r="AK569" s="10" t="str">
        <f>IFERROR(VLOOKUP(Form_Responses[[#This Row],[Município]],'Regiões Administrativas'!$A$1:$I$646,9,0),"")</f>
        <v>1J6thS&lt;zQ&lt;lf</v>
      </c>
    </row>
    <row r="570" spans="1:37" ht="22.5" customHeight="1">
      <c r="A570" s="18">
        <v>46086.339142696757</v>
      </c>
      <c r="B570" s="10" t="s">
        <v>2812</v>
      </c>
      <c r="C570" s="10" t="s">
        <v>1356</v>
      </c>
      <c r="D570" s="10" t="s">
        <v>2813</v>
      </c>
      <c r="E570" s="10" t="s">
        <v>2814</v>
      </c>
      <c r="F570" s="10" t="s">
        <v>2815</v>
      </c>
      <c r="G570" s="10" t="s">
        <v>2816</v>
      </c>
      <c r="H570" s="72" t="s">
        <v>2817</v>
      </c>
      <c r="I570" s="10" t="s">
        <v>128</v>
      </c>
      <c r="J570" s="16">
        <v>46116</v>
      </c>
      <c r="K570" s="16">
        <v>46116</v>
      </c>
      <c r="L570" s="17">
        <v>0.95833333333575865</v>
      </c>
      <c r="M570" s="17">
        <v>2.0833333335758653E-2</v>
      </c>
      <c r="N570" s="10" t="s">
        <v>110</v>
      </c>
      <c r="O570" s="10" t="s">
        <v>99</v>
      </c>
      <c r="P570" s="10" t="s">
        <v>63</v>
      </c>
      <c r="Q570" s="10" t="s">
        <v>47</v>
      </c>
      <c r="R570" s="10" t="s">
        <v>48</v>
      </c>
      <c r="S570" s="10">
        <v>7000</v>
      </c>
      <c r="T570" s="10">
        <v>5000</v>
      </c>
      <c r="U570" s="10">
        <v>4500</v>
      </c>
      <c r="V570" s="10">
        <v>6500</v>
      </c>
      <c r="W570" s="10" t="s">
        <v>2741</v>
      </c>
      <c r="X570" s="10" t="s">
        <v>2391</v>
      </c>
      <c r="Y570" s="10" t="s">
        <v>2818</v>
      </c>
      <c r="Z570" s="10" t="s">
        <v>361</v>
      </c>
      <c r="AA570" s="10" t="s">
        <v>297</v>
      </c>
      <c r="AB570" s="10" t="s">
        <v>344</v>
      </c>
      <c r="AC570" s="10" t="s">
        <v>68</v>
      </c>
      <c r="AD570" s="10" t="str">
        <f>IFERROR(VLOOKUP(B570,'Regiões Administrativas'!$A$1:$B$646,2,0),"")</f>
        <v>São José do Rio Preto</v>
      </c>
      <c r="AE570" s="10">
        <f>IFERROR(VLOOKUP(Form_Responses[[#This Row],[Município]],'Regiões Administrativas'!$A$1:$I$646,3,0),"")</f>
        <v>17009</v>
      </c>
      <c r="AF570" s="10">
        <f>IFERROR(VLOOKUP(Form_Responses[[#This Row],[Município]],'Regiões Administrativas'!$A$1:$I$646,4,0),"")</f>
        <v>354480605000001</v>
      </c>
      <c r="AG570" s="10">
        <f>IFERROR(VLOOKUP(Form_Responses[[#This Row],[Município]],'Regiões Administrativas'!$A$1:$I$646,4,0),"")</f>
        <v>354480605000001</v>
      </c>
      <c r="AH570" s="10">
        <f>IFERROR(VLOOKUP(B570,'Regiões Administrativas'!$A$1:$I$646,5,0),"")</f>
        <v>3544806</v>
      </c>
      <c r="AI570" s="10">
        <f>IFERROR(VLOOKUP(B570,'Regiões Administrativas'!$A$1:$I$646,6,0),"")</f>
        <v>-49.498768699999999</v>
      </c>
      <c r="AJ570" s="10">
        <f>IFERROR(VLOOKUP(B570,'Regiões Administrativas'!$A$1:$I$646,8,0),"")</f>
        <v>444.49292700000001</v>
      </c>
      <c r="AK570" s="10" t="str">
        <f>IFERROR(VLOOKUP(Form_Responses[[#This Row],[Município]],'Regiões Administrativas'!$A$1:$I$646,9,0),"")</f>
        <v>1J6RcQ9HwwDp</v>
      </c>
    </row>
    <row r="571" spans="1:37" ht="22.5" customHeight="1">
      <c r="A571" s="18">
        <v>46086.345009722223</v>
      </c>
      <c r="B571" s="10" t="s">
        <v>2812</v>
      </c>
      <c r="C571" s="10" t="s">
        <v>1356</v>
      </c>
      <c r="D571" s="10" t="s">
        <v>943</v>
      </c>
      <c r="E571" s="10" t="s">
        <v>2819</v>
      </c>
      <c r="F571" s="10" t="s">
        <v>2201</v>
      </c>
      <c r="G571" s="10" t="s">
        <v>2820</v>
      </c>
      <c r="H571" s="72" t="s">
        <v>2817</v>
      </c>
      <c r="I571" s="10" t="s">
        <v>128</v>
      </c>
      <c r="J571" s="16">
        <v>46115</v>
      </c>
      <c r="K571" s="16">
        <v>46115</v>
      </c>
      <c r="L571" s="17">
        <v>0.75</v>
      </c>
      <c r="M571" s="17">
        <v>0.83333333333575865</v>
      </c>
      <c r="N571" s="10" t="s">
        <v>98</v>
      </c>
      <c r="O571" s="10" t="s">
        <v>221</v>
      </c>
      <c r="P571" s="10" t="s">
        <v>480</v>
      </c>
      <c r="Q571" s="10" t="s">
        <v>47</v>
      </c>
      <c r="R571" s="10" t="s">
        <v>48</v>
      </c>
      <c r="S571" s="10">
        <v>3500</v>
      </c>
      <c r="T571" s="10">
        <v>2000</v>
      </c>
      <c r="U571" s="10">
        <v>2000</v>
      </c>
      <c r="V571" s="10">
        <v>2000</v>
      </c>
      <c r="W571" s="10" t="s">
        <v>2821</v>
      </c>
      <c r="X571" s="10" t="s">
        <v>2822</v>
      </c>
      <c r="Y571" s="10" t="s">
        <v>2818</v>
      </c>
      <c r="Z571" s="10" t="s">
        <v>361</v>
      </c>
      <c r="AA571" s="10" t="s">
        <v>751</v>
      </c>
      <c r="AB571" s="10" t="s">
        <v>344</v>
      </c>
      <c r="AC571" s="10" t="s">
        <v>68</v>
      </c>
      <c r="AD571" s="10" t="str">
        <f>IFERROR(VLOOKUP(B571,'Regiões Administrativas'!$A$1:$B$646,2,0),"")</f>
        <v>São José do Rio Preto</v>
      </c>
      <c r="AE571" s="10">
        <f>IFERROR(VLOOKUP(Form_Responses[[#This Row],[Município]],'Regiões Administrativas'!$A$1:$I$646,3,0),"")</f>
        <v>17009</v>
      </c>
      <c r="AF571" s="10">
        <f>IFERROR(VLOOKUP(Form_Responses[[#This Row],[Município]],'Regiões Administrativas'!$A$1:$I$646,4,0),"")</f>
        <v>354480605000001</v>
      </c>
      <c r="AG571" s="10">
        <f>IFERROR(VLOOKUP(Form_Responses[[#This Row],[Município]],'Regiões Administrativas'!$A$1:$I$646,4,0),"")</f>
        <v>354480605000001</v>
      </c>
      <c r="AH571" s="10">
        <f>IFERROR(VLOOKUP(B571,'Regiões Administrativas'!$A$1:$I$646,5,0),"")</f>
        <v>3544806</v>
      </c>
      <c r="AI571" s="10">
        <f>IFERROR(VLOOKUP(B571,'Regiões Administrativas'!$A$1:$I$646,6,0),"")</f>
        <v>-49.498768699999999</v>
      </c>
      <c r="AJ571" s="10">
        <f>IFERROR(VLOOKUP(B571,'Regiões Administrativas'!$A$1:$I$646,8,0),"")</f>
        <v>444.49292700000001</v>
      </c>
      <c r="AK571" s="10" t="str">
        <f>IFERROR(VLOOKUP(Form_Responses[[#This Row],[Município]],'Regiões Administrativas'!$A$1:$I$646,9,0),"")</f>
        <v>1J6RcQ9HwwDp</v>
      </c>
    </row>
    <row r="572" spans="1:37" ht="22.5" customHeight="1">
      <c r="A572" s="18">
        <v>46086.35058706018</v>
      </c>
      <c r="B572" s="10" t="s">
        <v>2812</v>
      </c>
      <c r="C572" s="10" t="s">
        <v>1356</v>
      </c>
      <c r="D572" s="10" t="s">
        <v>2823</v>
      </c>
      <c r="E572" s="10" t="s">
        <v>2824</v>
      </c>
      <c r="F572" s="10" t="s">
        <v>2201</v>
      </c>
      <c r="G572" s="10" t="s">
        <v>2825</v>
      </c>
      <c r="H572" s="72" t="s">
        <v>2817</v>
      </c>
      <c r="I572" s="10" t="s">
        <v>72</v>
      </c>
      <c r="J572" s="16">
        <v>46220</v>
      </c>
      <c r="K572" s="16">
        <v>46221</v>
      </c>
      <c r="L572" s="17">
        <v>0.8125</v>
      </c>
      <c r="M572" s="17">
        <v>8.3333333335758653E-2</v>
      </c>
      <c r="N572" s="10" t="s">
        <v>44</v>
      </c>
      <c r="O572" s="10" t="s">
        <v>190</v>
      </c>
      <c r="P572" s="10" t="s">
        <v>63</v>
      </c>
      <c r="Q572" s="10" t="s">
        <v>365</v>
      </c>
      <c r="R572" s="10" t="s">
        <v>48</v>
      </c>
      <c r="S572" s="10">
        <v>3000</v>
      </c>
      <c r="T572" s="10">
        <v>0</v>
      </c>
      <c r="U572" s="10">
        <v>2500</v>
      </c>
      <c r="V572" s="10">
        <v>2500</v>
      </c>
      <c r="W572" s="10" t="s">
        <v>2741</v>
      </c>
      <c r="X572" s="10" t="s">
        <v>2822</v>
      </c>
      <c r="Y572" s="10" t="s">
        <v>2818</v>
      </c>
      <c r="Z572" s="10" t="s">
        <v>361</v>
      </c>
      <c r="AA572" s="10" t="s">
        <v>751</v>
      </c>
      <c r="AB572" s="10" t="s">
        <v>344</v>
      </c>
      <c r="AC572" s="10" t="s">
        <v>68</v>
      </c>
      <c r="AD572" s="10" t="str">
        <f>IFERROR(VLOOKUP(B572,'Regiões Administrativas'!$A$1:$B$646,2,0),"")</f>
        <v>São José do Rio Preto</v>
      </c>
      <c r="AE572" s="10">
        <f>IFERROR(VLOOKUP(Form_Responses[[#This Row],[Município]],'Regiões Administrativas'!$A$1:$I$646,3,0),"")</f>
        <v>17009</v>
      </c>
      <c r="AF572" s="10">
        <f>IFERROR(VLOOKUP(Form_Responses[[#This Row],[Município]],'Regiões Administrativas'!$A$1:$I$646,4,0),"")</f>
        <v>354480605000001</v>
      </c>
      <c r="AG572" s="10">
        <f>IFERROR(VLOOKUP(Form_Responses[[#This Row],[Município]],'Regiões Administrativas'!$A$1:$I$646,4,0),"")</f>
        <v>354480605000001</v>
      </c>
      <c r="AH572" s="10">
        <f>IFERROR(VLOOKUP(B572,'Regiões Administrativas'!$A$1:$I$646,5,0),"")</f>
        <v>3544806</v>
      </c>
      <c r="AI572" s="10">
        <f>IFERROR(VLOOKUP(B572,'Regiões Administrativas'!$A$1:$I$646,6,0),"")</f>
        <v>-49.498768699999999</v>
      </c>
      <c r="AJ572" s="10">
        <f>IFERROR(VLOOKUP(B572,'Regiões Administrativas'!$A$1:$I$646,8,0),"")</f>
        <v>444.49292700000001</v>
      </c>
      <c r="AK572" s="10" t="str">
        <f>IFERROR(VLOOKUP(Form_Responses[[#This Row],[Município]],'Regiões Administrativas'!$A$1:$I$646,9,0),"")</f>
        <v>1J6RcQ9HwwDp</v>
      </c>
    </row>
    <row r="573" spans="1:37" ht="22.5" customHeight="1">
      <c r="A573" s="18">
        <v>46086.356624004635</v>
      </c>
      <c r="B573" s="10" t="s">
        <v>2812</v>
      </c>
      <c r="C573" s="10" t="s">
        <v>1356</v>
      </c>
      <c r="D573" s="10" t="s">
        <v>2826</v>
      </c>
      <c r="E573" s="10" t="s">
        <v>2827</v>
      </c>
      <c r="F573" s="10" t="s">
        <v>2201</v>
      </c>
      <c r="G573" s="10" t="s">
        <v>2828</v>
      </c>
      <c r="H573" s="72" t="s">
        <v>2817</v>
      </c>
      <c r="I573" s="10" t="s">
        <v>81</v>
      </c>
      <c r="J573" s="16">
        <v>46269</v>
      </c>
      <c r="K573" s="16">
        <v>46271</v>
      </c>
      <c r="L573" s="17">
        <v>0.83333333333575865</v>
      </c>
      <c r="M573" s="17">
        <v>0.16666666666424135</v>
      </c>
      <c r="N573" s="10" t="s">
        <v>268</v>
      </c>
      <c r="O573" s="10" t="s">
        <v>234</v>
      </c>
      <c r="P573" s="10" t="s">
        <v>46</v>
      </c>
      <c r="Q573" s="10" t="s">
        <v>47</v>
      </c>
      <c r="R573" s="10" t="s">
        <v>48</v>
      </c>
      <c r="S573" s="10">
        <v>17000</v>
      </c>
      <c r="T573" s="10">
        <v>15000</v>
      </c>
      <c r="U573" s="10">
        <v>13500</v>
      </c>
      <c r="V573" s="10">
        <v>12000</v>
      </c>
      <c r="W573" s="10" t="s">
        <v>2741</v>
      </c>
      <c r="X573" s="10" t="s">
        <v>2822</v>
      </c>
      <c r="Y573" s="10" t="s">
        <v>2818</v>
      </c>
      <c r="Z573" s="10" t="s">
        <v>361</v>
      </c>
      <c r="AA573" s="10" t="s">
        <v>2829</v>
      </c>
      <c r="AB573" s="10" t="s">
        <v>344</v>
      </c>
      <c r="AC573" s="10" t="s">
        <v>68</v>
      </c>
      <c r="AD573" s="10" t="str">
        <f>IFERROR(VLOOKUP(B573,'Regiões Administrativas'!$A$1:$B$646,2,0),"")</f>
        <v>São José do Rio Preto</v>
      </c>
      <c r="AE573" s="10">
        <f>IFERROR(VLOOKUP(Form_Responses[[#This Row],[Município]],'Regiões Administrativas'!$A$1:$I$646,3,0),"")</f>
        <v>17009</v>
      </c>
      <c r="AF573" s="10">
        <f>IFERROR(VLOOKUP(Form_Responses[[#This Row],[Município]],'Regiões Administrativas'!$A$1:$I$646,4,0),"")</f>
        <v>354480605000001</v>
      </c>
      <c r="AG573" s="10">
        <f>IFERROR(VLOOKUP(Form_Responses[[#This Row],[Município]],'Regiões Administrativas'!$A$1:$I$646,4,0),"")</f>
        <v>354480605000001</v>
      </c>
      <c r="AH573" s="10">
        <f>IFERROR(VLOOKUP(B573,'Regiões Administrativas'!$A$1:$I$646,5,0),"")</f>
        <v>3544806</v>
      </c>
      <c r="AI573" s="10">
        <f>IFERROR(VLOOKUP(B573,'Regiões Administrativas'!$A$1:$I$646,6,0),"")</f>
        <v>-49.498768699999999</v>
      </c>
      <c r="AJ573" s="10">
        <f>IFERROR(VLOOKUP(B573,'Regiões Administrativas'!$A$1:$I$646,8,0),"")</f>
        <v>444.49292700000001</v>
      </c>
      <c r="AK573" s="10" t="str">
        <f>IFERROR(VLOOKUP(Form_Responses[[#This Row],[Município]],'Regiões Administrativas'!$A$1:$I$646,9,0),"")</f>
        <v>1J6RcQ9HwwDp</v>
      </c>
    </row>
    <row r="574" spans="1:37" ht="22.5" customHeight="1">
      <c r="A574" s="18">
        <v>46086.686275532411</v>
      </c>
      <c r="B574" s="10" t="s">
        <v>2073</v>
      </c>
      <c r="C574" s="10" t="s">
        <v>493</v>
      </c>
      <c r="D574" s="10" t="s">
        <v>2830</v>
      </c>
      <c r="E574" s="10" t="s">
        <v>2831</v>
      </c>
      <c r="G574" s="10" t="s">
        <v>2832</v>
      </c>
      <c r="I574" s="10" t="s">
        <v>162</v>
      </c>
      <c r="J574" s="16">
        <v>46375</v>
      </c>
      <c r="K574" s="16">
        <v>46380</v>
      </c>
      <c r="L574" s="17">
        <v>0.79166666666424135</v>
      </c>
      <c r="M574" s="17">
        <v>0.91666666666424135</v>
      </c>
      <c r="N574" s="10" t="s">
        <v>44</v>
      </c>
      <c r="O574" s="10" t="s">
        <v>45</v>
      </c>
      <c r="P574" s="10" t="s">
        <v>251</v>
      </c>
      <c r="Q574" s="10" t="s">
        <v>47</v>
      </c>
      <c r="R574" s="10" t="s">
        <v>74</v>
      </c>
      <c r="S574" s="10">
        <v>2000</v>
      </c>
      <c r="T574" s="10">
        <v>1000</v>
      </c>
      <c r="W574" s="10" t="s">
        <v>2077</v>
      </c>
      <c r="Y574" s="10" t="s">
        <v>2078</v>
      </c>
      <c r="Z574" s="10" t="s">
        <v>76</v>
      </c>
      <c r="AA574" s="10" t="s">
        <v>93</v>
      </c>
      <c r="AB574" s="10" t="s">
        <v>66</v>
      </c>
      <c r="AC574" s="10" t="s">
        <v>68</v>
      </c>
      <c r="AD574" s="10" t="str">
        <f>IFERROR(VLOOKUP(B574,'Regiões Administrativas'!$A$1:$B$646,2,0),"")</f>
        <v>Registro</v>
      </c>
      <c r="AE574" s="10">
        <f>IFERROR(VLOOKUP(Form_Responses[[#This Row],[Município]],'Regiões Administrativas'!$A$1:$I$646,3,0),"")</f>
        <v>15723</v>
      </c>
      <c r="AF574" s="10">
        <f>IFERROR(VLOOKUP(Form_Responses[[#This Row],[Município]],'Regiões Administrativas'!$A$1:$I$646,4,0),"")</f>
        <v>350990805000001</v>
      </c>
      <c r="AG574" s="10">
        <f>IFERROR(VLOOKUP(Form_Responses[[#This Row],[Município]],'Regiões Administrativas'!$A$1:$I$646,4,0),"")</f>
        <v>350990805000001</v>
      </c>
      <c r="AH574" s="10">
        <f>IFERROR(VLOOKUP(B574,'Regiões Administrativas'!$A$1:$I$646,5,0),"")</f>
        <v>3509908</v>
      </c>
      <c r="AI574" s="10">
        <f>IFERROR(VLOOKUP(B574,'Regiões Administrativas'!$A$1:$I$646,6,0),"")</f>
        <v>-47.928482799999998</v>
      </c>
      <c r="AJ574" s="10">
        <f>IFERROR(VLOOKUP(B574,'Regiões Administrativas'!$A$1:$I$646,8,0),"")</f>
        <v>7.8404660000000002</v>
      </c>
      <c r="AK574" s="10" t="str">
        <f>IFERROR(VLOOKUP(Form_Responses[[#This Row],[Município]],'Regiões Administrativas'!$A$1:$I$646,9,0),"")</f>
        <v>1J6U,h6oUiU-</v>
      </c>
    </row>
    <row r="575" spans="1:37" ht="22.5" customHeight="1">
      <c r="A575" s="18">
        <v>46090.46592923611</v>
      </c>
      <c r="B575" s="10" t="s">
        <v>2833</v>
      </c>
      <c r="C575" s="10" t="s">
        <v>2576</v>
      </c>
      <c r="D575" s="10" t="s">
        <v>2834</v>
      </c>
      <c r="E575" s="10" t="s">
        <v>2835</v>
      </c>
      <c r="G575" s="10" t="s">
        <v>2836</v>
      </c>
      <c r="I575" s="10" t="s">
        <v>43</v>
      </c>
      <c r="J575" s="16">
        <v>46241</v>
      </c>
      <c r="K575" s="16">
        <v>46241</v>
      </c>
      <c r="L575" s="17">
        <v>0.375</v>
      </c>
      <c r="M575" s="17">
        <v>0.625</v>
      </c>
      <c r="N575" s="10" t="s">
        <v>44</v>
      </c>
      <c r="O575" s="10" t="s">
        <v>190</v>
      </c>
      <c r="P575" s="10" t="s">
        <v>221</v>
      </c>
      <c r="Q575" s="10" t="s">
        <v>365</v>
      </c>
      <c r="R575" s="10" t="s">
        <v>48</v>
      </c>
      <c r="S575" s="10">
        <v>5500</v>
      </c>
      <c r="T575" s="10">
        <v>5500</v>
      </c>
      <c r="U575" s="10">
        <v>5000</v>
      </c>
      <c r="V575" s="10">
        <v>5000</v>
      </c>
      <c r="W575" s="10" t="s">
        <v>2837</v>
      </c>
      <c r="Y575" s="10" t="s">
        <v>2838</v>
      </c>
      <c r="Z575" s="10" t="s">
        <v>76</v>
      </c>
      <c r="AA575" s="10" t="s">
        <v>93</v>
      </c>
      <c r="AB575" s="10" t="s">
        <v>66</v>
      </c>
      <c r="AC575" s="10" t="s">
        <v>68</v>
      </c>
      <c r="AD575" s="10" t="str">
        <f>IFERROR(VLOOKUP(B575,'Regiões Administrativas'!$A$1:$B$646,2,0),"")</f>
        <v>Marília</v>
      </c>
      <c r="AE575" s="10">
        <f>IFERROR(VLOOKUP(Form_Responses[[#This Row],[Município]],'Regiões Administrativas'!$A$1:$I$646,3,0),"")</f>
        <v>16772</v>
      </c>
      <c r="AF575" s="10">
        <f>IFERROR(VLOOKUP(Form_Responses[[#This Row],[Município]],'Regiões Administrativas'!$A$1:$I$646,4,0),"")</f>
        <v>353715605000001</v>
      </c>
      <c r="AG575" s="10">
        <f>IFERROR(VLOOKUP(Form_Responses[[#This Row],[Município]],'Regiões Administrativas'!$A$1:$I$646,4,0),"")</f>
        <v>353715605000001</v>
      </c>
      <c r="AH575" s="10">
        <f>IFERROR(VLOOKUP(B575,'Regiões Administrativas'!$A$1:$I$646,5,0),"")</f>
        <v>3537156</v>
      </c>
      <c r="AI575" s="10">
        <f>IFERROR(VLOOKUP(B575,'Regiões Administrativas'!$A$1:$I$646,6,0),"")</f>
        <v>-50.792165699999998</v>
      </c>
      <c r="AJ575" s="10">
        <f>IFERROR(VLOOKUP(B575,'Regiões Administrativas'!$A$1:$I$646,8,0),"")</f>
        <v>351.82605000000001</v>
      </c>
      <c r="AK575" s="10" t="str">
        <f>IFERROR(VLOOKUP(Form_Responses[[#This Row],[Município]],'Regiões Administrativas'!$A$1:$I$646,9,0),"")</f>
        <v>1J6RKPSooWl&gt;</v>
      </c>
    </row>
    <row r="576" spans="1:37" ht="22.5" customHeight="1">
      <c r="A576" s="18">
        <v>46090.482700312496</v>
      </c>
      <c r="B576" s="10" t="s">
        <v>2833</v>
      </c>
      <c r="C576" s="10" t="s">
        <v>2576</v>
      </c>
      <c r="D576" s="10" t="s">
        <v>2839</v>
      </c>
      <c r="E576" s="10" t="s">
        <v>2840</v>
      </c>
      <c r="G576" s="10" t="s">
        <v>2841</v>
      </c>
      <c r="I576" s="10" t="s">
        <v>81</v>
      </c>
      <c r="J576" s="16">
        <v>46283</v>
      </c>
      <c r="K576" s="16">
        <v>46285</v>
      </c>
      <c r="L576" s="17">
        <v>0.79166666666424135</v>
      </c>
      <c r="M576" s="17">
        <v>0.99930555555329192</v>
      </c>
      <c r="N576" s="10" t="s">
        <v>110</v>
      </c>
      <c r="O576" s="10" t="s">
        <v>99</v>
      </c>
      <c r="P576" s="10" t="s">
        <v>99</v>
      </c>
      <c r="Q576" s="10" t="s">
        <v>365</v>
      </c>
      <c r="R576" s="10" t="s">
        <v>48</v>
      </c>
      <c r="S576" s="10">
        <v>7000</v>
      </c>
      <c r="T576" s="10">
        <v>7000</v>
      </c>
      <c r="U576" s="10">
        <v>6500</v>
      </c>
      <c r="V576" s="10">
        <v>6000</v>
      </c>
      <c r="W576" s="10" t="s">
        <v>2842</v>
      </c>
      <c r="X576" s="10" t="s">
        <v>2843</v>
      </c>
      <c r="Y576" s="10" t="s">
        <v>2838</v>
      </c>
      <c r="Z576" s="10" t="s">
        <v>76</v>
      </c>
      <c r="AA576" s="10" t="s">
        <v>225</v>
      </c>
      <c r="AB576" s="10" t="s">
        <v>66</v>
      </c>
      <c r="AC576" s="10" t="s">
        <v>68</v>
      </c>
      <c r="AD576" s="10" t="str">
        <f>IFERROR(VLOOKUP(B576,'Regiões Administrativas'!$A$1:$B$646,2,0),"")</f>
        <v>Marília</v>
      </c>
      <c r="AE576" s="10">
        <f>IFERROR(VLOOKUP(Form_Responses[[#This Row],[Município]],'Regiões Administrativas'!$A$1:$I$646,3,0),"")</f>
        <v>16772</v>
      </c>
      <c r="AF576" s="10">
        <f>IFERROR(VLOOKUP(Form_Responses[[#This Row],[Município]],'Regiões Administrativas'!$A$1:$I$646,4,0),"")</f>
        <v>353715605000001</v>
      </c>
      <c r="AG576" s="10">
        <f>IFERROR(VLOOKUP(Form_Responses[[#This Row],[Município]],'Regiões Administrativas'!$A$1:$I$646,4,0),"")</f>
        <v>353715605000001</v>
      </c>
      <c r="AH576" s="10">
        <f>IFERROR(VLOOKUP(B576,'Regiões Administrativas'!$A$1:$I$646,5,0),"")</f>
        <v>3537156</v>
      </c>
      <c r="AI576" s="10">
        <f>IFERROR(VLOOKUP(B576,'Regiões Administrativas'!$A$1:$I$646,6,0),"")</f>
        <v>-50.792165699999998</v>
      </c>
      <c r="AJ576" s="10">
        <f>IFERROR(VLOOKUP(B576,'Regiões Administrativas'!$A$1:$I$646,8,0),"")</f>
        <v>351.82605000000001</v>
      </c>
      <c r="AK576" s="10" t="str">
        <f>IFERROR(VLOOKUP(Form_Responses[[#This Row],[Município]],'Regiões Administrativas'!$A$1:$I$646,9,0),"")</f>
        <v>1J6RKPSooWl&gt;</v>
      </c>
    </row>
    <row r="577" spans="1:37" ht="22.5" customHeight="1">
      <c r="A577" s="18">
        <v>46090.491862476847</v>
      </c>
      <c r="B577" s="10" t="s">
        <v>2833</v>
      </c>
      <c r="C577" s="10" t="s">
        <v>2576</v>
      </c>
      <c r="D577" s="10" t="s">
        <v>2844</v>
      </c>
      <c r="E577" s="10" t="s">
        <v>2845</v>
      </c>
      <c r="G577" s="10" t="s">
        <v>2846</v>
      </c>
      <c r="I577" s="10" t="s">
        <v>72</v>
      </c>
      <c r="J577" s="16">
        <v>46227</v>
      </c>
      <c r="K577" s="16">
        <v>46229</v>
      </c>
      <c r="L577" s="17">
        <v>0.79166666666424135</v>
      </c>
      <c r="M577" s="17">
        <v>8.3333333335758653E-2</v>
      </c>
      <c r="N577" s="10" t="s">
        <v>73</v>
      </c>
      <c r="O577" s="10" t="s">
        <v>99</v>
      </c>
      <c r="P577" s="10" t="s">
        <v>99</v>
      </c>
      <c r="Q577" s="10" t="s">
        <v>365</v>
      </c>
      <c r="R577" s="10" t="s">
        <v>48</v>
      </c>
      <c r="S577" s="10">
        <v>10000</v>
      </c>
      <c r="T577" s="10">
        <v>0</v>
      </c>
      <c r="U577" s="10">
        <v>10000</v>
      </c>
      <c r="V577" s="10">
        <v>10000</v>
      </c>
      <c r="W577" s="10" t="s">
        <v>2847</v>
      </c>
      <c r="X577" s="10" t="s">
        <v>2848</v>
      </c>
      <c r="Y577" s="10" t="s">
        <v>2838</v>
      </c>
      <c r="Z577" s="10" t="s">
        <v>76</v>
      </c>
      <c r="AA577" s="10" t="s">
        <v>225</v>
      </c>
      <c r="AB577" s="10" t="s">
        <v>66</v>
      </c>
      <c r="AC577" s="10" t="s">
        <v>68</v>
      </c>
      <c r="AD577" s="10" t="str">
        <f>IFERROR(VLOOKUP(B577,'Regiões Administrativas'!$A$1:$B$646,2,0),"")</f>
        <v>Marília</v>
      </c>
      <c r="AE577" s="10">
        <f>IFERROR(VLOOKUP(Form_Responses[[#This Row],[Município]],'Regiões Administrativas'!$A$1:$I$646,3,0),"")</f>
        <v>16772</v>
      </c>
      <c r="AF577" s="10">
        <f>IFERROR(VLOOKUP(Form_Responses[[#This Row],[Município]],'Regiões Administrativas'!$A$1:$I$646,4,0),"")</f>
        <v>353715605000001</v>
      </c>
      <c r="AG577" s="10">
        <f>IFERROR(VLOOKUP(Form_Responses[[#This Row],[Município]],'Regiões Administrativas'!$A$1:$I$646,4,0),"")</f>
        <v>353715605000001</v>
      </c>
      <c r="AH577" s="10">
        <f>IFERROR(VLOOKUP(B577,'Regiões Administrativas'!$A$1:$I$646,5,0),"")</f>
        <v>3537156</v>
      </c>
      <c r="AI577" s="10">
        <f>IFERROR(VLOOKUP(B577,'Regiões Administrativas'!$A$1:$I$646,6,0),"")</f>
        <v>-50.792165699999998</v>
      </c>
      <c r="AJ577" s="10">
        <f>IFERROR(VLOOKUP(B577,'Regiões Administrativas'!$A$1:$I$646,8,0),"")</f>
        <v>351.82605000000001</v>
      </c>
      <c r="AK577" s="10" t="str">
        <f>IFERROR(VLOOKUP(Form_Responses[[#This Row],[Município]],'Regiões Administrativas'!$A$1:$I$646,9,0),"")</f>
        <v>1J6RKPSooWl&gt;</v>
      </c>
    </row>
    <row r="578" spans="1:37" ht="22.5" customHeight="1">
      <c r="A578" s="18">
        <v>46090.675891435181</v>
      </c>
      <c r="B578" s="10" t="s">
        <v>662</v>
      </c>
      <c r="C578" s="10" t="s">
        <v>216</v>
      </c>
      <c r="D578" s="10" t="s">
        <v>2849</v>
      </c>
      <c r="E578" s="10" t="s">
        <v>2850</v>
      </c>
      <c r="F578" s="10" t="s">
        <v>2424</v>
      </c>
      <c r="G578" s="10" t="s">
        <v>2425</v>
      </c>
      <c r="H578" s="72" t="s">
        <v>672</v>
      </c>
      <c r="I578" s="10" t="s">
        <v>128</v>
      </c>
      <c r="J578" s="16">
        <v>46131</v>
      </c>
      <c r="K578" s="16">
        <v>46131</v>
      </c>
      <c r="L578" s="17">
        <v>0.375</v>
      </c>
      <c r="M578" s="17">
        <v>0.70833333333575865</v>
      </c>
      <c r="N578" s="10" t="s">
        <v>268</v>
      </c>
      <c r="O578" s="10" t="s">
        <v>45</v>
      </c>
      <c r="P578" s="10" t="s">
        <v>63</v>
      </c>
      <c r="Q578" s="10" t="s">
        <v>47</v>
      </c>
      <c r="R578" s="10" t="s">
        <v>256</v>
      </c>
      <c r="S578" s="10">
        <v>3000</v>
      </c>
      <c r="T578" s="10">
        <v>3000</v>
      </c>
      <c r="U578" s="10">
        <v>3000</v>
      </c>
      <c r="V578" s="10">
        <v>3000</v>
      </c>
      <c r="W578" s="10" t="s">
        <v>2426</v>
      </c>
      <c r="X578" s="10" t="s">
        <v>683</v>
      </c>
      <c r="Y578" s="10" t="s">
        <v>668</v>
      </c>
      <c r="Z578" s="10" t="s">
        <v>76</v>
      </c>
      <c r="AA578" s="10" t="s">
        <v>93</v>
      </c>
      <c r="AB578" s="10" t="s">
        <v>66</v>
      </c>
      <c r="AC578" s="10" t="s">
        <v>68</v>
      </c>
      <c r="AD578" s="10" t="str">
        <f>IFERROR(VLOOKUP(B578,'Regiões Administrativas'!$A$1:$B$646,2,0),"")</f>
        <v>Santos</v>
      </c>
      <c r="AE578" s="10">
        <f>IFERROR(VLOOKUP(Form_Responses[[#This Row],[Município]],'Regiões Administrativas'!$A$1:$I$646,3,0),"")</f>
        <v>16898</v>
      </c>
      <c r="AF578" s="10">
        <f>IFERROR(VLOOKUP(Form_Responses[[#This Row],[Município]],'Regiões Administrativas'!$A$1:$I$646,4,0),"")</f>
        <v>354100005000001</v>
      </c>
      <c r="AG578" s="10">
        <f>IFERROR(VLOOKUP(Form_Responses[[#This Row],[Município]],'Regiões Administrativas'!$A$1:$I$646,4,0),"")</f>
        <v>354100005000001</v>
      </c>
      <c r="AH578" s="10">
        <f>IFERROR(VLOOKUP(B578,'Regiões Administrativas'!$A$1:$I$646,5,0),"")</f>
        <v>3541000</v>
      </c>
      <c r="AI578" s="10">
        <f>IFERROR(VLOOKUP(B578,'Regiões Administrativas'!$A$1:$I$646,6,0),"")</f>
        <v>-46.412049600000003</v>
      </c>
      <c r="AJ578" s="10">
        <f>IFERROR(VLOOKUP(B578,'Regiões Administrativas'!$A$1:$I$646,8,0),"")</f>
        <v>8.6821260000000002</v>
      </c>
      <c r="AK578" s="10" t="str">
        <f>IFERROR(VLOOKUP(Form_Responses[[#This Row],[Município]],'Regiões Administrativas'!$A$1:$I$646,9,0),"")</f>
        <v>1J6toXTzH9Kf</v>
      </c>
    </row>
    <row r="579" spans="1:37" ht="22.5" customHeight="1">
      <c r="A579" s="18">
        <v>46092.413450219909</v>
      </c>
      <c r="B579" s="10" t="s">
        <v>662</v>
      </c>
      <c r="C579" s="10" t="s">
        <v>216</v>
      </c>
      <c r="D579" s="10" t="s">
        <v>943</v>
      </c>
      <c r="E579" s="10" t="s">
        <v>2851</v>
      </c>
      <c r="F579" s="10" t="s">
        <v>2852</v>
      </c>
      <c r="G579" s="10" t="s">
        <v>2853</v>
      </c>
      <c r="H579" s="72" t="s">
        <v>2854</v>
      </c>
      <c r="I579" s="10" t="s">
        <v>128</v>
      </c>
      <c r="J579" s="16">
        <v>46113</v>
      </c>
      <c r="K579" s="16">
        <v>46116</v>
      </c>
      <c r="L579" s="17">
        <v>0.83333333333575865</v>
      </c>
      <c r="M579" s="17">
        <v>0.89583333333575865</v>
      </c>
      <c r="N579" s="10" t="s">
        <v>98</v>
      </c>
      <c r="O579" s="10" t="s">
        <v>221</v>
      </c>
      <c r="P579" s="10" t="s">
        <v>480</v>
      </c>
      <c r="Q579" s="10" t="s">
        <v>47</v>
      </c>
      <c r="R579" s="10" t="s">
        <v>74</v>
      </c>
      <c r="S579" s="10">
        <v>2052</v>
      </c>
      <c r="T579" s="10">
        <v>2052</v>
      </c>
      <c r="U579" s="10">
        <v>2052</v>
      </c>
      <c r="V579" s="10">
        <v>2052</v>
      </c>
      <c r="W579" s="10" t="s">
        <v>2855</v>
      </c>
      <c r="X579" s="10" t="s">
        <v>2856</v>
      </c>
      <c r="Y579" s="10" t="s">
        <v>2857</v>
      </c>
      <c r="Z579" s="10" t="s">
        <v>361</v>
      </c>
      <c r="AA579" s="10" t="s">
        <v>263</v>
      </c>
      <c r="AB579" s="10" t="s">
        <v>54</v>
      </c>
      <c r="AC579" s="10" t="s">
        <v>733</v>
      </c>
      <c r="AD579" s="10" t="str">
        <f>IFERROR(VLOOKUP(B579,'Regiões Administrativas'!$A$1:$B$646,2,0),"")</f>
        <v>Santos</v>
      </c>
      <c r="AE579" s="10">
        <f>IFERROR(VLOOKUP(Form_Responses[[#This Row],[Município]],'Regiões Administrativas'!$A$1:$I$646,3,0),"")</f>
        <v>16898</v>
      </c>
      <c r="AF579" s="10">
        <f>IFERROR(VLOOKUP(Form_Responses[[#This Row],[Município]],'Regiões Administrativas'!$A$1:$I$646,4,0),"")</f>
        <v>354100005000001</v>
      </c>
      <c r="AG579" s="10">
        <f>IFERROR(VLOOKUP(Form_Responses[[#This Row],[Município]],'Regiões Administrativas'!$A$1:$I$646,4,0),"")</f>
        <v>354100005000001</v>
      </c>
      <c r="AH579" s="10">
        <f>IFERROR(VLOOKUP(B579,'Regiões Administrativas'!$A$1:$I$646,5,0),"")</f>
        <v>3541000</v>
      </c>
      <c r="AI579" s="10">
        <f>IFERROR(VLOOKUP(B579,'Regiões Administrativas'!$A$1:$I$646,6,0),"")</f>
        <v>-46.412049600000003</v>
      </c>
      <c r="AJ579" s="10">
        <f>IFERROR(VLOOKUP(B579,'Regiões Administrativas'!$A$1:$I$646,8,0),"")</f>
        <v>8.6821260000000002</v>
      </c>
      <c r="AK579" s="10" t="str">
        <f>IFERROR(VLOOKUP(Form_Responses[[#This Row],[Município]],'Regiões Administrativas'!$A$1:$I$646,9,0),"")</f>
        <v>1J6toXTzH9Kf</v>
      </c>
    </row>
    <row r="580" spans="1:37" ht="22.5" customHeight="1">
      <c r="A580" s="18">
        <v>46092.581677662034</v>
      </c>
      <c r="B580" s="10" t="s">
        <v>1921</v>
      </c>
      <c r="C580" s="10" t="s">
        <v>1922</v>
      </c>
      <c r="D580" s="10" t="s">
        <v>2858</v>
      </c>
      <c r="E580" s="10" t="s">
        <v>2859</v>
      </c>
      <c r="F580" s="10" t="s">
        <v>2860</v>
      </c>
      <c r="G580" s="10" t="s">
        <v>1385</v>
      </c>
      <c r="H580" s="10" t="s">
        <v>2861</v>
      </c>
      <c r="I580" s="10" t="s">
        <v>267</v>
      </c>
      <c r="J580" s="16">
        <v>46405</v>
      </c>
      <c r="K580" s="16">
        <v>46407</v>
      </c>
      <c r="L580" s="17">
        <v>0.75</v>
      </c>
      <c r="M580" s="17">
        <v>4.1666666664241347E-2</v>
      </c>
      <c r="N580" s="10" t="s">
        <v>110</v>
      </c>
      <c r="O580" s="10" t="s">
        <v>45</v>
      </c>
      <c r="P580" s="10" t="s">
        <v>221</v>
      </c>
      <c r="Q580" s="10" t="s">
        <v>47</v>
      </c>
      <c r="R580" s="10" t="s">
        <v>74</v>
      </c>
      <c r="S580" s="19">
        <v>4000</v>
      </c>
      <c r="T580" s="19">
        <v>4000</v>
      </c>
      <c r="U580" s="19">
        <v>3000</v>
      </c>
      <c r="V580" s="19">
        <v>3000</v>
      </c>
      <c r="W580" s="10" t="s">
        <v>2862</v>
      </c>
      <c r="X580" s="10" t="s">
        <v>2863</v>
      </c>
      <c r="Y580" s="10" t="s">
        <v>2864</v>
      </c>
      <c r="Z580" s="10" t="s">
        <v>66</v>
      </c>
      <c r="AA580" s="10" t="s">
        <v>455</v>
      </c>
      <c r="AB580" s="10" t="s">
        <v>66</v>
      </c>
      <c r="AC580" s="10" t="s">
        <v>68</v>
      </c>
      <c r="AD580" s="10" t="str">
        <f>IFERROR(VLOOKUP(B580,'Regiões Administrativas'!$A$1:$B$646,2,0),"")</f>
        <v>Central</v>
      </c>
      <c r="AE580" s="10">
        <f>IFERROR(VLOOKUP(Form_Responses[[#This Row],[Município]],'Regiões Administrativas'!$A$1:$I$646,3,0),"")</f>
        <v>16609</v>
      </c>
      <c r="AF580" s="10">
        <f>IFERROR(VLOOKUP(Form_Responses[[#This Row],[Município]],'Regiões Administrativas'!$A$1:$I$646,4,0),"")</f>
        <v>353205805000001</v>
      </c>
      <c r="AG580" s="10">
        <f>IFERROR(VLOOKUP(Form_Responses[[#This Row],[Município]],'Regiões Administrativas'!$A$1:$I$646,4,0),"")</f>
        <v>353205805000001</v>
      </c>
      <c r="AH580" s="10">
        <f>IFERROR(VLOOKUP(B580,'Regiões Administrativas'!$A$1:$I$646,5,0),"")</f>
        <v>3532058</v>
      </c>
      <c r="AI580" s="10">
        <f>IFERROR(VLOOKUP(B580,'Regiões Administrativas'!$A$1:$I$646,6,0),"")</f>
        <v>-48.150661300000003</v>
      </c>
      <c r="AJ580" s="10">
        <f>IFERROR(VLOOKUP(B580,'Regiões Administrativas'!$A$1:$I$646,8,0),"")</f>
        <v>618.54385400000001</v>
      </c>
      <c r="AK580" s="10" t="str">
        <f>IFERROR(VLOOKUP(Form_Responses[[#This Row],[Município]],'Regiões Administrativas'!$A$1:$I$646,9,0),"")</f>
        <v>1J6REYe4;A6p</v>
      </c>
    </row>
    <row r="581" spans="1:37" ht="22.5" customHeight="1">
      <c r="A581" s="18">
        <v>46092.589764953707</v>
      </c>
      <c r="B581" s="10" t="s">
        <v>662</v>
      </c>
      <c r="C581" s="10" t="s">
        <v>216</v>
      </c>
      <c r="D581" s="10" t="s">
        <v>2865</v>
      </c>
      <c r="E581" s="10" t="s">
        <v>2866</v>
      </c>
      <c r="F581" s="10" t="s">
        <v>2867</v>
      </c>
      <c r="G581" s="10" t="s">
        <v>2868</v>
      </c>
      <c r="H581" s="72" t="s">
        <v>672</v>
      </c>
      <c r="I581" s="10" t="s">
        <v>128</v>
      </c>
      <c r="J581" s="16">
        <v>46131</v>
      </c>
      <c r="K581" s="16">
        <v>46131</v>
      </c>
      <c r="L581" s="17">
        <v>0.375</v>
      </c>
      <c r="M581" s="17">
        <v>0.70833333333575865</v>
      </c>
      <c r="N581" s="10" t="s">
        <v>268</v>
      </c>
      <c r="O581" s="10" t="s">
        <v>45</v>
      </c>
      <c r="P581" s="10" t="s">
        <v>63</v>
      </c>
      <c r="Q581" s="10" t="s">
        <v>47</v>
      </c>
      <c r="R581" s="10" t="s">
        <v>74</v>
      </c>
      <c r="S581" s="10">
        <v>3000</v>
      </c>
      <c r="T581" s="10">
        <v>3000</v>
      </c>
      <c r="U581" s="10">
        <v>3000</v>
      </c>
      <c r="V581" s="10">
        <v>3000</v>
      </c>
      <c r="W581" s="10" t="s">
        <v>2869</v>
      </c>
      <c r="X581" s="10" t="s">
        <v>2870</v>
      </c>
      <c r="Y581" s="10" t="s">
        <v>2871</v>
      </c>
      <c r="Z581" s="10" t="s">
        <v>76</v>
      </c>
      <c r="AA581" s="10" t="s">
        <v>93</v>
      </c>
      <c r="AB581" s="10" t="s">
        <v>66</v>
      </c>
      <c r="AC581" s="10" t="s">
        <v>68</v>
      </c>
      <c r="AD581" s="10" t="str">
        <f>IFERROR(VLOOKUP(B581,'Regiões Administrativas'!$A$1:$B$646,2,0),"")</f>
        <v>Santos</v>
      </c>
      <c r="AE581" s="10">
        <f>IFERROR(VLOOKUP(Form_Responses[[#This Row],[Município]],'Regiões Administrativas'!$A$1:$I$646,3,0),"")</f>
        <v>16898</v>
      </c>
      <c r="AF581" s="10">
        <f>IFERROR(VLOOKUP(Form_Responses[[#This Row],[Município]],'Regiões Administrativas'!$A$1:$I$646,4,0),"")</f>
        <v>354100005000001</v>
      </c>
      <c r="AG581" s="10">
        <f>IFERROR(VLOOKUP(Form_Responses[[#This Row],[Município]],'Regiões Administrativas'!$A$1:$I$646,4,0),"")</f>
        <v>354100005000001</v>
      </c>
      <c r="AH581" s="10">
        <f>IFERROR(VLOOKUP(B581,'Regiões Administrativas'!$A$1:$I$646,5,0),"")</f>
        <v>3541000</v>
      </c>
      <c r="AI581" s="10">
        <f>IFERROR(VLOOKUP(B581,'Regiões Administrativas'!$A$1:$I$646,6,0),"")</f>
        <v>-46.412049600000003</v>
      </c>
      <c r="AJ581" s="10">
        <f>IFERROR(VLOOKUP(B581,'Regiões Administrativas'!$A$1:$I$646,8,0),"")</f>
        <v>8.6821260000000002</v>
      </c>
      <c r="AK581" s="10" t="str">
        <f>IFERROR(VLOOKUP(Form_Responses[[#This Row],[Município]],'Regiões Administrativas'!$A$1:$I$646,9,0),"")</f>
        <v>1J6toXTzH9Kf</v>
      </c>
    </row>
    <row r="582" spans="1:37" ht="22.5" customHeight="1">
      <c r="A582" s="18">
        <v>46094.424949884255</v>
      </c>
      <c r="B582" s="10" t="s">
        <v>2872</v>
      </c>
      <c r="C582" s="10" t="s">
        <v>1933</v>
      </c>
      <c r="D582" s="10" t="s">
        <v>2873</v>
      </c>
      <c r="E582" s="10" t="s">
        <v>2874</v>
      </c>
      <c r="G582" s="10" t="s">
        <v>2875</v>
      </c>
      <c r="I582" s="10" t="s">
        <v>60</v>
      </c>
      <c r="J582" s="16">
        <v>46199</v>
      </c>
      <c r="K582" s="16">
        <v>46201</v>
      </c>
      <c r="L582" s="17">
        <v>0.875</v>
      </c>
      <c r="M582" s="17">
        <v>0.16666666666424135</v>
      </c>
      <c r="N582" s="10" t="s">
        <v>44</v>
      </c>
      <c r="O582" s="10" t="s">
        <v>45</v>
      </c>
      <c r="P582" s="10" t="s">
        <v>46</v>
      </c>
      <c r="Q582" s="10" t="s">
        <v>47</v>
      </c>
      <c r="R582" s="10" t="s">
        <v>74</v>
      </c>
      <c r="S582" s="10">
        <v>15000</v>
      </c>
      <c r="T582" s="10">
        <v>12000</v>
      </c>
      <c r="U582" s="10">
        <v>12000</v>
      </c>
      <c r="V582" s="10">
        <v>15000</v>
      </c>
      <c r="W582" s="10" t="s">
        <v>2876</v>
      </c>
      <c r="Y582" s="10" t="s">
        <v>2877</v>
      </c>
      <c r="Z582" s="10" t="s">
        <v>76</v>
      </c>
      <c r="AA582" s="10" t="s">
        <v>113</v>
      </c>
      <c r="AB582" s="10" t="s">
        <v>66</v>
      </c>
      <c r="AC582" s="10" t="s">
        <v>68</v>
      </c>
      <c r="AD582" s="10" t="str">
        <f>IFERROR(VLOOKUP(B582,'Regiões Administrativas'!$A$1:$B$646,2,0),"")</f>
        <v>Araçatuba</v>
      </c>
      <c r="AE582" s="10">
        <f>IFERROR(VLOOKUP(Form_Responses[[#This Row],[Município]],'Regiões Administrativas'!$A$1:$I$646,3,0),"")</f>
        <v>16641</v>
      </c>
      <c r="AF582" s="10">
        <f>IFERROR(VLOOKUP(Form_Responses[[#This Row],[Município]],'Regiões Administrativas'!$A$1:$I$646,4,0),"")</f>
        <v>353330405000001</v>
      </c>
      <c r="AG582" s="10">
        <f>IFERROR(VLOOKUP(Form_Responses[[#This Row],[Município]],'Regiões Administrativas'!$A$1:$I$646,4,0),"")</f>
        <v>353330405000001</v>
      </c>
      <c r="AH582" s="10">
        <f>IFERROR(VLOOKUP(B582,'Regiões Administrativas'!$A$1:$I$646,5,0),"")</f>
        <v>3533304</v>
      </c>
      <c r="AI582" s="10">
        <f>IFERROR(VLOOKUP(B582,'Regiões Administrativas'!$A$1:$I$646,6,0),"")</f>
        <v>-50.265827399999999</v>
      </c>
      <c r="AJ582" s="10">
        <f>IFERROR(VLOOKUP(B582,'Regiões Administrativas'!$A$1:$I$646,8,0),"")</f>
        <v>437.64648799999998</v>
      </c>
      <c r="AK582" s="10" t="str">
        <f>IFERROR(VLOOKUP(Form_Responses[[#This Row],[Município]],'Regiões Administrativas'!$A$1:$I$646,9,0),"")</f>
        <v>1J6RAjSn9mK-</v>
      </c>
    </row>
    <row r="583" spans="1:37" ht="22.5" customHeight="1">
      <c r="A583" s="18">
        <v>46094.74196939815</v>
      </c>
      <c r="B583" s="10" t="s">
        <v>979</v>
      </c>
      <c r="C583" s="10" t="s">
        <v>175</v>
      </c>
      <c r="D583" s="10" t="s">
        <v>2878</v>
      </c>
      <c r="E583" s="10" t="s">
        <v>2879</v>
      </c>
      <c r="G583" s="10" t="s">
        <v>2880</v>
      </c>
      <c r="I583" s="10" t="s">
        <v>109</v>
      </c>
      <c r="J583" s="16">
        <v>46101</v>
      </c>
      <c r="K583" s="16">
        <v>46102</v>
      </c>
      <c r="L583" s="17">
        <v>0.83333333333575865</v>
      </c>
      <c r="N583" s="10" t="s">
        <v>110</v>
      </c>
      <c r="O583" s="10" t="s">
        <v>45</v>
      </c>
      <c r="P583" s="10" t="s">
        <v>99</v>
      </c>
      <c r="Q583" s="10" t="s">
        <v>47</v>
      </c>
      <c r="R583" s="10" t="s">
        <v>74</v>
      </c>
      <c r="S583" s="10">
        <v>4000</v>
      </c>
      <c r="T583" s="10">
        <v>1500</v>
      </c>
      <c r="U583" s="10">
        <v>1200</v>
      </c>
      <c r="V583" s="10">
        <v>1000</v>
      </c>
      <c r="W583" s="10" t="s">
        <v>2881</v>
      </c>
      <c r="X583" s="10" t="s">
        <v>270</v>
      </c>
      <c r="Y583" s="10" t="s">
        <v>2882</v>
      </c>
      <c r="Z583" s="10" t="s">
        <v>76</v>
      </c>
      <c r="AA583" s="10" t="s">
        <v>67</v>
      </c>
      <c r="AB583" s="10" t="s">
        <v>66</v>
      </c>
      <c r="AC583" s="10" t="s">
        <v>68</v>
      </c>
      <c r="AD583" s="10" t="str">
        <f>IFERROR(VLOOKUP(B583,'Regiões Administrativas'!$A$1:$B$646,2,0),"")</f>
        <v>Registro</v>
      </c>
      <c r="AE583" s="10">
        <f>IFERROR(VLOOKUP(Form_Responses[[#This Row],[Município]],'Regiões Administrativas'!$A$1:$I$646,3,0),"")</f>
        <v>15544</v>
      </c>
      <c r="AF583" s="10">
        <f>IFERROR(VLOOKUP(Form_Responses[[#This Row],[Município]],'Regiões Administrativas'!$A$1:$I$646,4,0),"")</f>
        <v>350540105000001</v>
      </c>
      <c r="AG583" s="10">
        <f>IFERROR(VLOOKUP(Form_Responses[[#This Row],[Município]],'Regiões Administrativas'!$A$1:$I$646,4,0),"")</f>
        <v>350540105000001</v>
      </c>
      <c r="AH583" s="10">
        <f>IFERROR(VLOOKUP(B583,'Regiões Administrativas'!$A$1:$I$646,5,0),"")</f>
        <v>3505401</v>
      </c>
      <c r="AI583" s="10">
        <f>IFERROR(VLOOKUP(B583,'Regiões Administrativas'!$A$1:$I$646,6,0),"")</f>
        <v>-48.502343500000002</v>
      </c>
      <c r="AJ583" s="10">
        <f>IFERROR(VLOOKUP(B583,'Regiões Administrativas'!$A$1:$I$646,8,0),"")</f>
        <v>153.957954</v>
      </c>
      <c r="AK583" s="10" t="str">
        <f>IFERROR(VLOOKUP(Form_Responses[[#This Row],[Município]],'Regiões Administrativas'!$A$1:$I$646,9,0),"")</f>
        <v>1J6S9?hG4z1-</v>
      </c>
    </row>
    <row r="584" spans="1:37" ht="22.5" customHeight="1">
      <c r="A584" s="18">
        <v>46097.443105983795</v>
      </c>
      <c r="B584" s="10" t="s">
        <v>662</v>
      </c>
      <c r="C584" s="10" t="s">
        <v>216</v>
      </c>
      <c r="D584" s="10" t="s">
        <v>2883</v>
      </c>
      <c r="E584" s="10" t="s">
        <v>2884</v>
      </c>
      <c r="G584" s="10" t="s">
        <v>2885</v>
      </c>
      <c r="H584" s="72" t="s">
        <v>2886</v>
      </c>
      <c r="I584" s="10" t="s">
        <v>109</v>
      </c>
      <c r="J584" s="16">
        <v>46110</v>
      </c>
      <c r="K584" s="16">
        <v>46110</v>
      </c>
      <c r="L584" s="17">
        <v>0.41666666666424135</v>
      </c>
      <c r="M584" s="17">
        <v>0.75</v>
      </c>
      <c r="N584" s="10" t="s">
        <v>268</v>
      </c>
      <c r="O584" s="10" t="s">
        <v>190</v>
      </c>
      <c r="P584" s="10" t="s">
        <v>63</v>
      </c>
      <c r="Q584" s="10" t="s">
        <v>47</v>
      </c>
      <c r="R584" s="10" t="s">
        <v>74</v>
      </c>
      <c r="S584" s="10">
        <v>1200</v>
      </c>
      <c r="T584" s="10">
        <v>1125</v>
      </c>
      <c r="U584" s="10">
        <v>1000</v>
      </c>
      <c r="V584" s="10">
        <v>1000</v>
      </c>
      <c r="W584" s="10" t="s">
        <v>1127</v>
      </c>
      <c r="Y584" s="10" t="s">
        <v>2887</v>
      </c>
      <c r="Z584" s="10" t="s">
        <v>76</v>
      </c>
      <c r="AA584" s="10" t="s">
        <v>67</v>
      </c>
      <c r="AB584" s="10" t="s">
        <v>54</v>
      </c>
      <c r="AC584" s="10" t="s">
        <v>68</v>
      </c>
      <c r="AD584" s="10" t="str">
        <f>IFERROR(VLOOKUP(B584,'Regiões Administrativas'!$A$1:$B$646,2,0),"")</f>
        <v>Santos</v>
      </c>
      <c r="AE584" s="10">
        <f>IFERROR(VLOOKUP(Form_Responses[[#This Row],[Município]],'Regiões Administrativas'!$A$1:$I$646,3,0),"")</f>
        <v>16898</v>
      </c>
      <c r="AF584" s="10">
        <f>IFERROR(VLOOKUP(Form_Responses[[#This Row],[Município]],'Regiões Administrativas'!$A$1:$I$646,4,0),"")</f>
        <v>354100005000001</v>
      </c>
      <c r="AG584" s="10">
        <f>IFERROR(VLOOKUP(Form_Responses[[#This Row],[Município]],'Regiões Administrativas'!$A$1:$I$646,4,0),"")</f>
        <v>354100005000001</v>
      </c>
      <c r="AH584" s="10">
        <f>IFERROR(VLOOKUP(B584,'Regiões Administrativas'!$A$1:$I$646,5,0),"")</f>
        <v>3541000</v>
      </c>
      <c r="AI584" s="10">
        <f>IFERROR(VLOOKUP(B584,'Regiões Administrativas'!$A$1:$I$646,6,0),"")</f>
        <v>-46.412049600000003</v>
      </c>
      <c r="AJ584" s="10">
        <f>IFERROR(VLOOKUP(B584,'Regiões Administrativas'!$A$1:$I$646,8,0),"")</f>
        <v>8.6821260000000002</v>
      </c>
      <c r="AK584" s="10" t="str">
        <f>IFERROR(VLOOKUP(Form_Responses[[#This Row],[Município]],'Regiões Administrativas'!$A$1:$I$646,9,0),"")</f>
        <v>1J6toXTzH9Kf</v>
      </c>
    </row>
    <row r="585" spans="1:37" ht="22.5" customHeight="1">
      <c r="A585" s="18">
        <v>46097.563164988431</v>
      </c>
      <c r="B585" s="10" t="s">
        <v>662</v>
      </c>
      <c r="C585" s="10" t="s">
        <v>216</v>
      </c>
      <c r="D585" s="10" t="s">
        <v>2888</v>
      </c>
      <c r="E585" s="10" t="s">
        <v>2889</v>
      </c>
      <c r="G585" s="10" t="s">
        <v>2890</v>
      </c>
      <c r="H585" s="72" t="s">
        <v>2891</v>
      </c>
      <c r="I585" s="10" t="s">
        <v>128</v>
      </c>
      <c r="J585" s="16">
        <v>46135</v>
      </c>
      <c r="K585" s="16">
        <v>46138</v>
      </c>
      <c r="L585" s="17">
        <v>0.8125</v>
      </c>
      <c r="M585" s="17">
        <v>0.89583333333575865</v>
      </c>
      <c r="N585" s="10" t="s">
        <v>73</v>
      </c>
      <c r="O585" s="10" t="s">
        <v>45</v>
      </c>
      <c r="P585" s="10" t="s">
        <v>63</v>
      </c>
      <c r="Q585" s="10" t="s">
        <v>47</v>
      </c>
      <c r="R585" s="10" t="s">
        <v>74</v>
      </c>
      <c r="S585" s="19">
        <v>1200</v>
      </c>
      <c r="T585" s="10">
        <v>900</v>
      </c>
      <c r="U585" s="10">
        <v>100</v>
      </c>
      <c r="V585" s="10">
        <v>80</v>
      </c>
      <c r="W585" s="10" t="s">
        <v>2426</v>
      </c>
      <c r="X585" s="10" t="s">
        <v>2892</v>
      </c>
      <c r="Y585" s="10" t="s">
        <v>2893</v>
      </c>
      <c r="Z585" s="10" t="s">
        <v>76</v>
      </c>
      <c r="AA585" s="10" t="s">
        <v>2894</v>
      </c>
      <c r="AB585" s="10" t="s">
        <v>66</v>
      </c>
      <c r="AC585" s="10" t="s">
        <v>733</v>
      </c>
      <c r="AD585" s="10" t="str">
        <f>IFERROR(VLOOKUP(B585,'Regiões Administrativas'!$A$1:$B$646,2,0),"")</f>
        <v>Santos</v>
      </c>
      <c r="AE585" s="10">
        <f>IFERROR(VLOOKUP(Form_Responses[[#This Row],[Município]],'Regiões Administrativas'!$A$1:$I$646,3,0),"")</f>
        <v>16898</v>
      </c>
      <c r="AF585" s="10">
        <f>IFERROR(VLOOKUP(Form_Responses[[#This Row],[Município]],'Regiões Administrativas'!$A$1:$I$646,4,0),"")</f>
        <v>354100005000001</v>
      </c>
      <c r="AG585" s="10">
        <f>IFERROR(VLOOKUP(Form_Responses[[#This Row],[Município]],'Regiões Administrativas'!$A$1:$I$646,4,0),"")</f>
        <v>354100005000001</v>
      </c>
      <c r="AH585" s="10">
        <f>IFERROR(VLOOKUP(B585,'Regiões Administrativas'!$A$1:$I$646,5,0),"")</f>
        <v>3541000</v>
      </c>
      <c r="AI585" s="10">
        <f>IFERROR(VLOOKUP(B585,'Regiões Administrativas'!$A$1:$I$646,6,0),"")</f>
        <v>-46.412049600000003</v>
      </c>
      <c r="AJ585" s="10">
        <f>IFERROR(VLOOKUP(B585,'Regiões Administrativas'!$A$1:$I$646,8,0),"")</f>
        <v>8.6821260000000002</v>
      </c>
      <c r="AK585" s="10" t="str">
        <f>IFERROR(VLOOKUP(Form_Responses[[#This Row],[Município]],'Regiões Administrativas'!$A$1:$I$646,9,0),"")</f>
        <v>1J6toXTzH9Kf</v>
      </c>
    </row>
    <row r="586" spans="1:37" ht="22.5" customHeight="1">
      <c r="A586" s="18">
        <v>46098.462626180553</v>
      </c>
      <c r="B586" s="10" t="s">
        <v>2895</v>
      </c>
      <c r="C586" s="10" t="s">
        <v>521</v>
      </c>
      <c r="D586" s="10" t="s">
        <v>2896</v>
      </c>
      <c r="E586" s="10" t="s">
        <v>2897</v>
      </c>
      <c r="G586" s="10" t="s">
        <v>2898</v>
      </c>
      <c r="H586" s="72" t="s">
        <v>2899</v>
      </c>
      <c r="I586" s="10" t="s">
        <v>128</v>
      </c>
      <c r="J586" s="16">
        <v>46119</v>
      </c>
      <c r="K586" s="16">
        <v>46119</v>
      </c>
      <c r="L586" s="17">
        <v>0.75</v>
      </c>
      <c r="M586" s="17">
        <v>0.99930555555329192</v>
      </c>
      <c r="N586" s="10" t="s">
        <v>44</v>
      </c>
      <c r="O586" s="10" t="s">
        <v>45</v>
      </c>
      <c r="P586" s="10" t="s">
        <v>63</v>
      </c>
      <c r="Q586" s="10" t="s">
        <v>47</v>
      </c>
      <c r="R586" s="10" t="s">
        <v>230</v>
      </c>
      <c r="S586" s="10">
        <v>40000</v>
      </c>
      <c r="T586" s="21" t="s">
        <v>163</v>
      </c>
      <c r="U586" s="21" t="s">
        <v>163</v>
      </c>
      <c r="V586" s="21" t="s">
        <v>2900</v>
      </c>
      <c r="W586" s="10" t="s">
        <v>2901</v>
      </c>
      <c r="X586" s="72" t="s">
        <v>2902</v>
      </c>
      <c r="Y586" s="10" t="s">
        <v>2903</v>
      </c>
      <c r="Z586" s="10" t="s">
        <v>1116</v>
      </c>
      <c r="AA586" s="10" t="s">
        <v>623</v>
      </c>
      <c r="AB586" s="10" t="s">
        <v>207</v>
      </c>
      <c r="AC586" s="10" t="s">
        <v>733</v>
      </c>
      <c r="AD586" s="10" t="str">
        <f>IFERROR(VLOOKUP(B586,'Regiões Administrativas'!$A$1:$B$646,2,0),"")</f>
        <v>São José do Rio Preto</v>
      </c>
      <c r="AE586" s="10">
        <f>IFERROR(VLOOKUP(Form_Responses[[#This Row],[Município]],'Regiões Administrativas'!$A$1:$I$646,3,0),"")</f>
        <v>17173</v>
      </c>
      <c r="AF586" s="10">
        <f>IFERROR(VLOOKUP(Form_Responses[[#This Row],[Município]],'Regiões Administrativas'!$A$1:$I$646,4,0),"")</f>
        <v>354980505000001</v>
      </c>
      <c r="AG586" s="10">
        <f>IFERROR(VLOOKUP(Form_Responses[[#This Row],[Município]],'Regiões Administrativas'!$A$1:$I$646,4,0),"")</f>
        <v>354980505000001</v>
      </c>
      <c r="AH586" s="10">
        <f>IFERROR(VLOOKUP(B586,'Regiões Administrativas'!$A$1:$I$646,5,0),"")</f>
        <v>3549805</v>
      </c>
      <c r="AI586" s="10">
        <f>IFERROR(VLOOKUP(B586,'Regiões Administrativas'!$A$1:$I$646,6,0),"")</f>
        <v>-49.381347699999999</v>
      </c>
      <c r="AJ586" s="10">
        <f>IFERROR(VLOOKUP(B586,'Regiões Administrativas'!$A$1:$I$646,8,0),"")</f>
        <v>504.243066</v>
      </c>
      <c r="AK586" s="10" t="str">
        <f>IFERROR(VLOOKUP(Form_Responses[[#This Row],[Município]],'Regiões Administrativas'!$A$1:$I$646,9,0),"")</f>
        <v>1J6RBU@1W.?f</v>
      </c>
    </row>
    <row r="587" spans="1:37" ht="22.5" customHeight="1">
      <c r="A587" s="18">
        <v>46098.466405983796</v>
      </c>
      <c r="B587" s="10" t="s">
        <v>2895</v>
      </c>
      <c r="C587" s="10" t="s">
        <v>521</v>
      </c>
      <c r="D587" s="10" t="s">
        <v>2904</v>
      </c>
      <c r="E587" s="10" t="s">
        <v>2905</v>
      </c>
      <c r="G587" s="10" t="s">
        <v>2898</v>
      </c>
      <c r="H587" s="72" t="s">
        <v>2906</v>
      </c>
      <c r="I587" s="10" t="s">
        <v>109</v>
      </c>
      <c r="J587" s="16">
        <v>46100</v>
      </c>
      <c r="K587" s="16">
        <v>46100</v>
      </c>
      <c r="L587" s="17">
        <v>0.625</v>
      </c>
      <c r="M587" s="17">
        <v>0.91666666666424135</v>
      </c>
      <c r="N587" s="10" t="s">
        <v>110</v>
      </c>
      <c r="O587" s="10" t="s">
        <v>45</v>
      </c>
      <c r="P587" s="10" t="s">
        <v>99</v>
      </c>
      <c r="Q587" s="10" t="s">
        <v>47</v>
      </c>
      <c r="R587" s="10" t="s">
        <v>74</v>
      </c>
      <c r="S587" s="10">
        <v>30000</v>
      </c>
      <c r="T587" s="10">
        <v>25000</v>
      </c>
      <c r="U587" s="10">
        <v>10000</v>
      </c>
      <c r="V587" s="10">
        <v>12000</v>
      </c>
      <c r="W587" s="10" t="s">
        <v>2907</v>
      </c>
      <c r="Y587" s="10" t="s">
        <v>2903</v>
      </c>
      <c r="Z587" s="10" t="s">
        <v>1116</v>
      </c>
      <c r="AA587" s="10" t="s">
        <v>2908</v>
      </c>
      <c r="AB587" s="10" t="s">
        <v>207</v>
      </c>
      <c r="AC587" s="10" t="s">
        <v>68</v>
      </c>
      <c r="AD587" s="10" t="str">
        <f>IFERROR(VLOOKUP(B587,'Regiões Administrativas'!$A$1:$B$646,2,0),"")</f>
        <v>São José do Rio Preto</v>
      </c>
      <c r="AE587" s="10">
        <f>IFERROR(VLOOKUP(Form_Responses[[#This Row],[Município]],'Regiões Administrativas'!$A$1:$I$646,3,0),"")</f>
        <v>17173</v>
      </c>
      <c r="AF587" s="10">
        <f>IFERROR(VLOOKUP(Form_Responses[[#This Row],[Município]],'Regiões Administrativas'!$A$1:$I$646,4,0),"")</f>
        <v>354980505000001</v>
      </c>
      <c r="AG587" s="10">
        <f>IFERROR(VLOOKUP(Form_Responses[[#This Row],[Município]],'Regiões Administrativas'!$A$1:$I$646,4,0),"")</f>
        <v>354980505000001</v>
      </c>
      <c r="AH587" s="10">
        <f>IFERROR(VLOOKUP(B587,'Regiões Administrativas'!$A$1:$I$646,5,0),"")</f>
        <v>3549805</v>
      </c>
      <c r="AI587" s="10">
        <f>IFERROR(VLOOKUP(B587,'Regiões Administrativas'!$A$1:$I$646,6,0),"")</f>
        <v>-49.381347699999999</v>
      </c>
      <c r="AJ587" s="10">
        <f>IFERROR(VLOOKUP(B587,'Regiões Administrativas'!$A$1:$I$646,8,0),"")</f>
        <v>504.243066</v>
      </c>
      <c r="AK587" s="10" t="str">
        <f>IFERROR(VLOOKUP(Form_Responses[[#This Row],[Município]],'Regiões Administrativas'!$A$1:$I$646,9,0),"")</f>
        <v>1J6RBU@1W.?f</v>
      </c>
    </row>
    <row r="588" spans="1:37" ht="22.5" customHeight="1">
      <c r="A588" s="18">
        <v>46098.470546400466</v>
      </c>
      <c r="B588" s="10" t="s">
        <v>2895</v>
      </c>
      <c r="C588" s="10" t="s">
        <v>521</v>
      </c>
      <c r="D588" s="10" t="s">
        <v>2909</v>
      </c>
      <c r="E588" s="10" t="s">
        <v>2910</v>
      </c>
      <c r="G588" s="10" t="s">
        <v>2911</v>
      </c>
      <c r="H588" s="72" t="s">
        <v>2912</v>
      </c>
      <c r="I588" s="10" t="s">
        <v>72</v>
      </c>
      <c r="J588" s="16">
        <v>46219</v>
      </c>
      <c r="K588" s="16">
        <v>46228</v>
      </c>
      <c r="L588" s="17">
        <v>0.33333333333575865</v>
      </c>
      <c r="M588" s="17">
        <v>0.99930555555329192</v>
      </c>
      <c r="N588" s="10" t="s">
        <v>73</v>
      </c>
      <c r="O588" s="10" t="s">
        <v>45</v>
      </c>
      <c r="P588" s="10" t="s">
        <v>63</v>
      </c>
      <c r="Q588" s="10" t="s">
        <v>47</v>
      </c>
      <c r="R588" s="10" t="s">
        <v>230</v>
      </c>
      <c r="S588" s="10">
        <v>60000</v>
      </c>
      <c r="T588" s="10">
        <v>50000</v>
      </c>
      <c r="U588" s="10">
        <v>30000</v>
      </c>
      <c r="V588" s="10">
        <v>30000</v>
      </c>
      <c r="W588" s="10" t="s">
        <v>2907</v>
      </c>
      <c r="X588" s="72" t="s">
        <v>2912</v>
      </c>
      <c r="Y588" s="10" t="s">
        <v>2913</v>
      </c>
      <c r="Z588" s="10" t="s">
        <v>361</v>
      </c>
      <c r="AA588" s="10" t="s">
        <v>2914</v>
      </c>
      <c r="AB588" s="10" t="s">
        <v>318</v>
      </c>
      <c r="AC588" s="10" t="s">
        <v>68</v>
      </c>
      <c r="AD588" s="10" t="str">
        <f>IFERROR(VLOOKUP(B588,'Regiões Administrativas'!$A$1:$B$646,2,0),"")</f>
        <v>São José do Rio Preto</v>
      </c>
      <c r="AE588" s="10">
        <f>IFERROR(VLOOKUP(Form_Responses[[#This Row],[Município]],'Regiões Administrativas'!$A$1:$I$646,3,0),"")</f>
        <v>17173</v>
      </c>
      <c r="AF588" s="10">
        <f>IFERROR(VLOOKUP(Form_Responses[[#This Row],[Município]],'Regiões Administrativas'!$A$1:$I$646,4,0),"")</f>
        <v>354980505000001</v>
      </c>
      <c r="AG588" s="10">
        <f>IFERROR(VLOOKUP(Form_Responses[[#This Row],[Município]],'Regiões Administrativas'!$A$1:$I$646,4,0),"")</f>
        <v>354980505000001</v>
      </c>
      <c r="AH588" s="10">
        <f>IFERROR(VLOOKUP(B588,'Regiões Administrativas'!$A$1:$I$646,5,0),"")</f>
        <v>3549805</v>
      </c>
      <c r="AI588" s="10">
        <f>IFERROR(VLOOKUP(B588,'Regiões Administrativas'!$A$1:$I$646,6,0),"")</f>
        <v>-49.381347699999999</v>
      </c>
      <c r="AJ588" s="10">
        <f>IFERROR(VLOOKUP(B588,'Regiões Administrativas'!$A$1:$I$646,8,0),"")</f>
        <v>504.243066</v>
      </c>
      <c r="AK588" s="10" t="str">
        <f>IFERROR(VLOOKUP(Form_Responses[[#This Row],[Município]],'Regiões Administrativas'!$A$1:$I$646,9,0),"")</f>
        <v>1J6RBU@1W.?f</v>
      </c>
    </row>
    <row r="589" spans="1:37" ht="22.5" customHeight="1">
      <c r="A589" s="18">
        <v>46098.646788344908</v>
      </c>
      <c r="B589" s="10" t="s">
        <v>1235</v>
      </c>
      <c r="C589" s="10" t="s">
        <v>1236</v>
      </c>
      <c r="D589" s="10" t="s">
        <v>2915</v>
      </c>
      <c r="E589" s="10" t="s">
        <v>2916</v>
      </c>
      <c r="G589" s="10" t="s">
        <v>2917</v>
      </c>
      <c r="I589" s="10" t="s">
        <v>220</v>
      </c>
      <c r="J589" s="16">
        <v>46173</v>
      </c>
      <c r="K589" s="16">
        <v>46173</v>
      </c>
      <c r="L589" s="17">
        <v>0.375</v>
      </c>
      <c r="N589" s="10" t="s">
        <v>61</v>
      </c>
      <c r="O589" s="10" t="s">
        <v>310</v>
      </c>
      <c r="P589" s="10" t="s">
        <v>63</v>
      </c>
      <c r="Q589" s="10" t="s">
        <v>47</v>
      </c>
      <c r="R589" s="10" t="s">
        <v>48</v>
      </c>
      <c r="S589" s="10">
        <v>800</v>
      </c>
      <c r="T589" s="10">
        <v>500</v>
      </c>
      <c r="U589" s="10">
        <v>500</v>
      </c>
      <c r="V589" s="10">
        <v>500</v>
      </c>
      <c r="W589" s="10" t="s">
        <v>2918</v>
      </c>
      <c r="Y589" s="10" t="s">
        <v>2601</v>
      </c>
      <c r="Z589" s="10" t="s">
        <v>66</v>
      </c>
      <c r="AA589" s="10" t="s">
        <v>66</v>
      </c>
      <c r="AB589" s="10" t="s">
        <v>66</v>
      </c>
      <c r="AC589" s="10" t="s">
        <v>94</v>
      </c>
      <c r="AD589" s="10" t="str">
        <f>IFERROR(VLOOKUP(B589,'Regiões Administrativas'!$A$1:$B$646,2,0),"")</f>
        <v>RMSP</v>
      </c>
      <c r="AE589" s="10">
        <f>IFERROR(VLOOKUP(Form_Responses[[#This Row],[Município]],'Regiões Administrativas'!$A$1:$I$646,3,0),"")</f>
        <v>15696</v>
      </c>
      <c r="AF589" s="10">
        <f>IFERROR(VLOOKUP(Form_Responses[[#This Row],[Município]],'Regiões Administrativas'!$A$1:$I$646,4,0),"")</f>
        <v>350920505000001</v>
      </c>
      <c r="AG589" s="10">
        <f>IFERROR(VLOOKUP(Form_Responses[[#This Row],[Município]],'Regiões Administrativas'!$A$1:$I$646,4,0),"")</f>
        <v>350920505000001</v>
      </c>
      <c r="AH589" s="10">
        <f>IFERROR(VLOOKUP(B589,'Regiões Administrativas'!$A$1:$I$646,5,0),"")</f>
        <v>3509205</v>
      </c>
      <c r="AI589" s="10">
        <f>IFERROR(VLOOKUP(B589,'Regiões Administrativas'!$A$1:$I$646,6,0),"")</f>
        <v>-46.8829201</v>
      </c>
      <c r="AJ589" s="10">
        <f>IFERROR(VLOOKUP(B589,'Regiões Administrativas'!$A$1:$I$646,8,0),"")</f>
        <v>867.050792</v>
      </c>
      <c r="AK589" s="10" t="str">
        <f>IFERROR(VLOOKUP(Form_Responses[[#This Row],[Município]],'Regiões Administrativas'!$A$1:$I$646,9,0),"")</f>
        <v>1J6tLz2ReX+f</v>
      </c>
    </row>
    <row r="590" spans="1:37" ht="22.5" customHeight="1">
      <c r="A590" s="18">
        <v>46098.696899212962</v>
      </c>
      <c r="B590" s="10" t="s">
        <v>2919</v>
      </c>
      <c r="C590" s="10" t="s">
        <v>811</v>
      </c>
      <c r="D590" s="10" t="s">
        <v>2920</v>
      </c>
      <c r="E590" s="10" t="s">
        <v>2921</v>
      </c>
      <c r="G590" s="10" t="s">
        <v>2922</v>
      </c>
      <c r="I590" s="10" t="s">
        <v>220</v>
      </c>
      <c r="J590" s="16">
        <v>46150</v>
      </c>
      <c r="K590" s="16">
        <v>46152</v>
      </c>
      <c r="L590" s="17">
        <v>0.70833333333575865</v>
      </c>
      <c r="M590" s="17">
        <v>8.3333333335758653E-2</v>
      </c>
      <c r="N590" s="10" t="s">
        <v>73</v>
      </c>
      <c r="O590" s="10" t="s">
        <v>99</v>
      </c>
      <c r="P590" s="10" t="s">
        <v>99</v>
      </c>
      <c r="Q590" s="10" t="s">
        <v>47</v>
      </c>
      <c r="R590" s="10" t="s">
        <v>48</v>
      </c>
      <c r="S590" s="10">
        <v>8000</v>
      </c>
      <c r="T590" s="10">
        <v>7000</v>
      </c>
      <c r="U590" s="10">
        <v>6000</v>
      </c>
      <c r="V590" s="10">
        <v>3000</v>
      </c>
      <c r="W590" s="10" t="s">
        <v>2923</v>
      </c>
      <c r="Y590" s="10" t="s">
        <v>2924</v>
      </c>
      <c r="Z590" s="10" t="s">
        <v>76</v>
      </c>
      <c r="AA590" s="10" t="s">
        <v>225</v>
      </c>
      <c r="AB590" s="10" t="s">
        <v>66</v>
      </c>
      <c r="AC590" s="10" t="s">
        <v>68</v>
      </c>
      <c r="AD590" s="10" t="str">
        <f>IFERROR(VLOOKUP(B590,'Regiões Administrativas'!$A$1:$B$646,2,0),"")</f>
        <v>Campinas</v>
      </c>
      <c r="AE590" s="10">
        <f>IFERROR(VLOOKUP(Form_Responses[[#This Row],[Município]],'Regiões Administrativas'!$A$1:$I$646,3,0),"")</f>
        <v>16769</v>
      </c>
      <c r="AF590" s="10">
        <f>IFERROR(VLOOKUP(Form_Responses[[#This Row],[Município]],'Regiões Administrativas'!$A$1:$I$646,4,0),"")</f>
        <v>353710705000001</v>
      </c>
      <c r="AG590" s="10">
        <f>IFERROR(VLOOKUP(Form_Responses[[#This Row],[Município]],'Regiões Administrativas'!$A$1:$I$646,4,0),"")</f>
        <v>353710705000001</v>
      </c>
      <c r="AH590" s="10">
        <f>IFERROR(VLOOKUP(B590,'Regiões Administrativas'!$A$1:$I$646,5,0),"")</f>
        <v>3537107</v>
      </c>
      <c r="AI590" s="10">
        <f>IFERROR(VLOOKUP(B590,'Regiões Administrativas'!$A$1:$I$646,6,0),"")</f>
        <v>-46.8978021</v>
      </c>
      <c r="AJ590" s="10">
        <f>IFERROR(VLOOKUP(B590,'Regiões Administrativas'!$A$1:$I$646,8,0),"")</f>
        <v>600.41107999999997</v>
      </c>
      <c r="AK590" s="10" t="str">
        <f>IFERROR(VLOOKUP(Form_Responses[[#This Row],[Município]],'Regiões Administrativas'!$A$1:$I$646,9,0),"")</f>
        <v>1J6thyvLG*B&gt;</v>
      </c>
    </row>
    <row r="591" spans="1:37" ht="22.5" customHeight="1">
      <c r="A591" s="18">
        <v>46098.707585775468</v>
      </c>
      <c r="B591" s="10" t="s">
        <v>1377</v>
      </c>
      <c r="C591" s="10" t="s">
        <v>1236</v>
      </c>
      <c r="D591" s="10" t="s">
        <v>2925</v>
      </c>
      <c r="E591" s="10" t="s">
        <v>2926</v>
      </c>
      <c r="G591" s="10" t="s">
        <v>2927</v>
      </c>
      <c r="H591" s="72" t="s">
        <v>2928</v>
      </c>
      <c r="I591" s="10" t="s">
        <v>109</v>
      </c>
      <c r="J591" s="16">
        <v>46108</v>
      </c>
      <c r="K591" s="16">
        <v>46117</v>
      </c>
      <c r="L591" s="17">
        <v>0.70833333333575865</v>
      </c>
      <c r="M591" s="17">
        <v>0.91666666666424135</v>
      </c>
      <c r="N591" s="10" t="s">
        <v>44</v>
      </c>
      <c r="O591" s="10" t="s">
        <v>99</v>
      </c>
      <c r="P591" s="10" t="s">
        <v>480</v>
      </c>
      <c r="Q591" s="10" t="s">
        <v>47</v>
      </c>
      <c r="R591" s="10" t="s">
        <v>74</v>
      </c>
      <c r="S591" s="10">
        <v>5000</v>
      </c>
      <c r="T591" s="10">
        <v>4000</v>
      </c>
      <c r="U591" s="10">
        <v>5000</v>
      </c>
      <c r="V591" s="10">
        <v>4000</v>
      </c>
      <c r="W591" s="10" t="s">
        <v>2929</v>
      </c>
      <c r="Y591" s="10" t="s">
        <v>1382</v>
      </c>
      <c r="Z591" s="10" t="s">
        <v>224</v>
      </c>
      <c r="AA591" s="10" t="s">
        <v>113</v>
      </c>
      <c r="AB591" s="10" t="s">
        <v>54</v>
      </c>
      <c r="AC591" s="10" t="s">
        <v>68</v>
      </c>
      <c r="AD591" s="10" t="str">
        <f>IFERROR(VLOOKUP(B591,'Regiões Administrativas'!$A$1:$B$646,2,0),"")</f>
        <v>RMSP</v>
      </c>
      <c r="AE591" s="10">
        <f>IFERROR(VLOOKUP(Form_Responses[[#This Row],[Município]],'Regiões Administrativas'!$A$1:$I$646,3,0),"")</f>
        <v>15685</v>
      </c>
      <c r="AF591" s="10">
        <f>IFERROR(VLOOKUP(Form_Responses[[#This Row],[Município]],'Regiões Administrativas'!$A$1:$I$646,4,0),"")</f>
        <v>350900705000001</v>
      </c>
      <c r="AG591" s="10">
        <f>IFERROR(VLOOKUP(Form_Responses[[#This Row],[Município]],'Regiões Administrativas'!$A$1:$I$646,4,0),"")</f>
        <v>350900705000001</v>
      </c>
      <c r="AH591" s="10">
        <f>IFERROR(VLOOKUP(B591,'Regiões Administrativas'!$A$1:$I$646,5,0),"")</f>
        <v>3509007</v>
      </c>
      <c r="AI591" s="10">
        <f>IFERROR(VLOOKUP(B591,'Regiões Administrativas'!$A$1:$I$646,6,0),"")</f>
        <v>-46.744101399999998</v>
      </c>
      <c r="AJ591" s="10">
        <f>IFERROR(VLOOKUP(B591,'Regiões Administrativas'!$A$1:$I$646,8,0),"")</f>
        <v>763.63096599999994</v>
      </c>
      <c r="AK591" s="10" t="str">
        <f>IFERROR(VLOOKUP(Form_Responses[[#This Row],[Município]],'Regiões Administrativas'!$A$1:$I$646,9,0),"")</f>
        <v>1J6tnM1r_HY-</v>
      </c>
    </row>
    <row r="592" spans="1:37" ht="22.5" customHeight="1">
      <c r="A592" s="18">
        <v>46098.71579908565</v>
      </c>
      <c r="B592" s="10" t="s">
        <v>1377</v>
      </c>
      <c r="C592" s="10" t="s">
        <v>1236</v>
      </c>
      <c r="D592" s="10" t="s">
        <v>2930</v>
      </c>
      <c r="E592" s="10" t="s">
        <v>2931</v>
      </c>
      <c r="G592" s="10" t="s">
        <v>2927</v>
      </c>
      <c r="H592" s="72" t="s">
        <v>2928</v>
      </c>
      <c r="I592" s="10" t="s">
        <v>128</v>
      </c>
      <c r="J592" s="16">
        <v>46115</v>
      </c>
      <c r="K592" s="16">
        <v>46115</v>
      </c>
      <c r="L592" s="17">
        <v>0.83333333333575865</v>
      </c>
      <c r="M592" s="17">
        <v>0.91666666666424135</v>
      </c>
      <c r="N592" s="10" t="s">
        <v>44</v>
      </c>
      <c r="O592" s="10" t="s">
        <v>45</v>
      </c>
      <c r="P592" s="10" t="s">
        <v>480</v>
      </c>
      <c r="Q592" s="10" t="s">
        <v>47</v>
      </c>
      <c r="R592" s="10" t="s">
        <v>74</v>
      </c>
      <c r="S592" s="10">
        <v>5000</v>
      </c>
      <c r="T592" s="10">
        <v>4000</v>
      </c>
      <c r="U592" s="10">
        <v>5000</v>
      </c>
      <c r="V592" s="10">
        <v>4000</v>
      </c>
      <c r="W592" s="10" t="s">
        <v>2929</v>
      </c>
      <c r="Y592" s="10" t="s">
        <v>1382</v>
      </c>
      <c r="Z592" s="10" t="s">
        <v>224</v>
      </c>
      <c r="AA592" s="10" t="s">
        <v>113</v>
      </c>
      <c r="AB592" s="10" t="s">
        <v>54</v>
      </c>
      <c r="AC592" s="10" t="s">
        <v>68</v>
      </c>
      <c r="AD592" s="10" t="str">
        <f>IFERROR(VLOOKUP(B592,'Regiões Administrativas'!$A$1:$B$646,2,0),"")</f>
        <v>RMSP</v>
      </c>
      <c r="AE592" s="10">
        <f>IFERROR(VLOOKUP(Form_Responses[[#This Row],[Município]],'Regiões Administrativas'!$A$1:$I$646,3,0),"")</f>
        <v>15685</v>
      </c>
      <c r="AF592" s="10">
        <f>IFERROR(VLOOKUP(Form_Responses[[#This Row],[Município]],'Regiões Administrativas'!$A$1:$I$646,4,0),"")</f>
        <v>350900705000001</v>
      </c>
      <c r="AG592" s="10">
        <f>IFERROR(VLOOKUP(Form_Responses[[#This Row],[Município]],'Regiões Administrativas'!$A$1:$I$646,4,0),"")</f>
        <v>350900705000001</v>
      </c>
      <c r="AH592" s="10">
        <f>IFERROR(VLOOKUP(B592,'Regiões Administrativas'!$A$1:$I$646,5,0),"")</f>
        <v>3509007</v>
      </c>
      <c r="AI592" s="10">
        <f>IFERROR(VLOOKUP(B592,'Regiões Administrativas'!$A$1:$I$646,6,0),"")</f>
        <v>-46.744101399999998</v>
      </c>
      <c r="AJ592" s="10">
        <f>IFERROR(VLOOKUP(B592,'Regiões Administrativas'!$A$1:$I$646,8,0),"")</f>
        <v>763.63096599999994</v>
      </c>
      <c r="AK592" s="10" t="str">
        <f>IFERROR(VLOOKUP(Form_Responses[[#This Row],[Município]],'Regiões Administrativas'!$A$1:$I$646,9,0),"")</f>
        <v>1J6tnM1r_HY-</v>
      </c>
    </row>
    <row r="593" spans="1:37" ht="22.5" customHeight="1">
      <c r="A593" s="18">
        <v>46099.413315150465</v>
      </c>
      <c r="B593" s="10" t="s">
        <v>2932</v>
      </c>
      <c r="C593" s="10" t="s">
        <v>582</v>
      </c>
      <c r="D593" s="10" t="s">
        <v>2933</v>
      </c>
      <c r="E593" s="10" t="s">
        <v>2934</v>
      </c>
      <c r="G593" s="10" t="s">
        <v>2935</v>
      </c>
      <c r="I593" s="10" t="s">
        <v>109</v>
      </c>
      <c r="J593" s="16">
        <v>46103</v>
      </c>
      <c r="K593" s="16">
        <v>46103</v>
      </c>
      <c r="L593" s="17">
        <v>0.33333333333575865</v>
      </c>
      <c r="M593" s="17">
        <v>0.45833333333575865</v>
      </c>
      <c r="N593" s="10" t="s">
        <v>98</v>
      </c>
      <c r="O593" s="10" t="s">
        <v>221</v>
      </c>
      <c r="P593" s="10" t="s">
        <v>221</v>
      </c>
      <c r="Q593" s="10" t="s">
        <v>47</v>
      </c>
      <c r="R593" s="10" t="s">
        <v>74</v>
      </c>
      <c r="S593" s="10">
        <v>200</v>
      </c>
      <c r="T593" s="10">
        <v>150</v>
      </c>
      <c r="U593" s="10">
        <v>100</v>
      </c>
      <c r="W593" s="10" t="s">
        <v>2935</v>
      </c>
      <c r="Y593" s="10" t="s">
        <v>2936</v>
      </c>
      <c r="Z593" s="10" t="s">
        <v>1116</v>
      </c>
      <c r="AA593" s="10" t="s">
        <v>2937</v>
      </c>
      <c r="AB593" s="10" t="s">
        <v>66</v>
      </c>
      <c r="AC593" s="10" t="s">
        <v>68</v>
      </c>
      <c r="AD593" s="10" t="str">
        <f>IFERROR(VLOOKUP(B593,'Regiões Administrativas'!$A$1:$B$646,2,0),"")</f>
        <v>Bauru</v>
      </c>
      <c r="AE593" s="10">
        <f>IFERROR(VLOOKUP(Form_Responses[[#This Row],[Município]],'Regiões Administrativas'!$A$1:$I$646,3,0),"")</f>
        <v>15344</v>
      </c>
      <c r="AF593" s="10">
        <f>IFERROR(VLOOKUP(Form_Responses[[#This Row],[Município]],'Regiões Administrativas'!$A$1:$I$646,4,0),"")</f>
        <v>350070905000001</v>
      </c>
      <c r="AG593" s="10">
        <f>IFERROR(VLOOKUP(Form_Responses[[#This Row],[Município]],'Regiões Administrativas'!$A$1:$I$646,4,0),"")</f>
        <v>350070905000001</v>
      </c>
      <c r="AH593" s="10">
        <f>IFERROR(VLOOKUP(B593,'Regiões Administrativas'!$A$1:$I$646,5,0),"")</f>
        <v>3500709</v>
      </c>
      <c r="AI593" s="10">
        <f>IFERROR(VLOOKUP(B593,'Regiões Administrativas'!$A$1:$I$646,6,0),"")</f>
        <v>-48.990156300000002</v>
      </c>
      <c r="AJ593" s="10">
        <f>IFERROR(VLOOKUP(B593,'Regiões Administrativas'!$A$1:$I$646,8,0),"")</f>
        <v>601.38437399999998</v>
      </c>
      <c r="AK593" s="10" t="str">
        <f>IFERROR(VLOOKUP(Form_Responses[[#This Row],[Município]],'Regiões Administrativas'!$A$1:$I$646,9,0),"")</f>
        <v>1J6RU=B:H*Jp</v>
      </c>
    </row>
    <row r="594" spans="1:37" ht="22.5" customHeight="1">
      <c r="A594" s="18">
        <v>46099.446199722224</v>
      </c>
      <c r="B594" s="10" t="s">
        <v>2938</v>
      </c>
      <c r="C594" s="10" t="s">
        <v>417</v>
      </c>
      <c r="D594" s="10" t="s">
        <v>90</v>
      </c>
      <c r="E594" s="10" t="s">
        <v>2939</v>
      </c>
      <c r="G594" s="10" t="s">
        <v>2940</v>
      </c>
      <c r="I594" s="10" t="s">
        <v>89</v>
      </c>
      <c r="L594" s="17">
        <v>0.79166666666424135</v>
      </c>
      <c r="M594" s="17">
        <v>8.3333333335758653E-2</v>
      </c>
      <c r="N594" s="10" t="s">
        <v>44</v>
      </c>
      <c r="O594" s="10" t="s">
        <v>45</v>
      </c>
      <c r="P594" s="10" t="s">
        <v>90</v>
      </c>
      <c r="Q594" s="10" t="s">
        <v>47</v>
      </c>
      <c r="R594" s="10" t="s">
        <v>74</v>
      </c>
      <c r="S594" s="10">
        <v>5000</v>
      </c>
      <c r="T594" s="10">
        <v>5000</v>
      </c>
      <c r="U594" s="10">
        <v>5000</v>
      </c>
      <c r="V594" s="10">
        <v>5000</v>
      </c>
      <c r="W594" s="10" t="s">
        <v>2941</v>
      </c>
      <c r="Y594" s="10" t="s">
        <v>2942</v>
      </c>
      <c r="Z594" s="10" t="s">
        <v>361</v>
      </c>
      <c r="AA594" s="10" t="s">
        <v>156</v>
      </c>
      <c r="AB594" s="10" t="s">
        <v>66</v>
      </c>
      <c r="AC594" s="10" t="s">
        <v>68</v>
      </c>
      <c r="AD594" s="10" t="str">
        <f>IFERROR(VLOOKUP(B594,'Regiões Administrativas'!$A$1:$B$646,2,0),"")</f>
        <v>São José dos Campos</v>
      </c>
      <c r="AE594" s="10">
        <f>IFERROR(VLOOKUP(Form_Responses[[#This Row],[Município]],'Regiões Administrativas'!$A$1:$I$646,3,0),"")</f>
        <v>16797</v>
      </c>
      <c r="AF594" s="10">
        <f>IFERROR(VLOOKUP(Form_Responses[[#This Row],[Município]],'Regiões Administrativas'!$A$1:$I$646,4,0),"")</f>
        <v>353850105000001</v>
      </c>
      <c r="AG594" s="10">
        <f>IFERROR(VLOOKUP(Form_Responses[[#This Row],[Município]],'Regiões Administrativas'!$A$1:$I$646,4,0),"")</f>
        <v>353850105000001</v>
      </c>
      <c r="AH594" s="10">
        <f>IFERROR(VLOOKUP(B594,'Regiões Administrativas'!$A$1:$I$646,5,0),"")</f>
        <v>3538501</v>
      </c>
      <c r="AI594" s="10">
        <f>IFERROR(VLOOKUP(B594,'Regiões Administrativas'!$A$1:$I$646,6,0),"")</f>
        <v>-45.183569400000003</v>
      </c>
      <c r="AJ594" s="10">
        <f>IFERROR(VLOOKUP(B594,'Regiões Administrativas'!$A$1:$I$646,8,0),"")</f>
        <v>638.54311600000005</v>
      </c>
      <c r="AK594" s="10" t="str">
        <f>IFERROR(VLOOKUP(Form_Responses[[#This Row],[Município]],'Regiões Administrativas'!$A$1:$I$646,9,0),"")</f>
        <v>1J6trU:U^ovp</v>
      </c>
    </row>
    <row r="595" spans="1:37" ht="22.5" customHeight="1">
      <c r="A595" s="18">
        <v>46100.570762951393</v>
      </c>
      <c r="B595" s="10" t="s">
        <v>2943</v>
      </c>
      <c r="C595" s="10" t="s">
        <v>85</v>
      </c>
      <c r="D595" s="10" t="s">
        <v>2944</v>
      </c>
      <c r="E595" s="10" t="s">
        <v>2945</v>
      </c>
      <c r="G595" s="10" t="s">
        <v>2946</v>
      </c>
      <c r="H595" s="72" t="s">
        <v>2947</v>
      </c>
      <c r="I595" s="10" t="s">
        <v>72</v>
      </c>
      <c r="J595" s="16">
        <v>46112</v>
      </c>
      <c r="K595" s="16">
        <v>46113</v>
      </c>
      <c r="N595" s="10" t="s">
        <v>268</v>
      </c>
      <c r="O595" s="10" t="s">
        <v>142</v>
      </c>
      <c r="P595" s="10" t="s">
        <v>63</v>
      </c>
      <c r="Q595" s="10" t="s">
        <v>47</v>
      </c>
      <c r="R595" s="10" t="s">
        <v>48</v>
      </c>
      <c r="S595" s="10">
        <v>3000</v>
      </c>
      <c r="T595" s="10">
        <v>3000</v>
      </c>
      <c r="W595" s="10" t="s">
        <v>2948</v>
      </c>
      <c r="X595" s="72" t="s">
        <v>2947</v>
      </c>
      <c r="Y595" s="10" t="s">
        <v>2949</v>
      </c>
      <c r="Z595" s="10" t="s">
        <v>76</v>
      </c>
      <c r="AA595" s="10" t="s">
        <v>113</v>
      </c>
      <c r="AB595" s="10" t="s">
        <v>66</v>
      </c>
      <c r="AC595" s="10" t="s">
        <v>68</v>
      </c>
      <c r="AD595" s="10" t="str">
        <f>IFERROR(VLOOKUP(B595,'Regiões Administrativas'!$A$1:$B$646,2,0),"")</f>
        <v>Campinas</v>
      </c>
      <c r="AE595" s="10">
        <f>IFERROR(VLOOKUP(Form_Responses[[#This Row],[Município]],'Regiões Administrativas'!$A$1:$I$646,3,0),"")</f>
        <v>15888</v>
      </c>
      <c r="AF595" s="10">
        <f>IFERROR(VLOOKUP(Form_Responses[[#This Row],[Município]],'Regiões Administrativas'!$A$1:$I$646,4,0),"")</f>
        <v>351518605000001</v>
      </c>
      <c r="AG595" s="10">
        <f>IFERROR(VLOOKUP(Form_Responses[[#This Row],[Município]],'Regiões Administrativas'!$A$1:$I$646,4,0),"")</f>
        <v>351518605000001</v>
      </c>
      <c r="AH595" s="10">
        <f>IFERROR(VLOOKUP(B595,'Regiões Administrativas'!$A$1:$I$646,5,0),"")</f>
        <v>3515186</v>
      </c>
      <c r="AI595" s="10">
        <f>IFERROR(VLOOKUP(B595,'Regiões Administrativas'!$A$1:$I$646,6,0),"")</f>
        <v>-46.745514300000004</v>
      </c>
      <c r="AJ595" s="10">
        <f>IFERROR(VLOOKUP(B595,'Regiões Administrativas'!$A$1:$I$646,8,0),"")</f>
        <v>877.591227</v>
      </c>
      <c r="AK595" s="10" t="str">
        <f>IFERROR(VLOOKUP(Form_Responses[[#This Row],[Município]],'Regiões Administrativas'!$A$1:$I$646,9,0),"")</f>
        <v>1J6tiMQiTKcp</v>
      </c>
    </row>
    <row r="596" spans="1:37" ht="22.5" customHeight="1">
      <c r="A596" s="18">
        <v>46100.58179517361</v>
      </c>
      <c r="B596" s="10" t="s">
        <v>2943</v>
      </c>
      <c r="C596" s="10" t="s">
        <v>85</v>
      </c>
      <c r="D596" s="10" t="s">
        <v>2950</v>
      </c>
      <c r="E596" s="10" t="s">
        <v>2951</v>
      </c>
      <c r="G596" s="10" t="s">
        <v>2952</v>
      </c>
      <c r="H596" s="10" t="s">
        <v>2953</v>
      </c>
      <c r="I596" s="10" t="s">
        <v>72</v>
      </c>
      <c r="J596" s="16">
        <v>46221</v>
      </c>
      <c r="K596" s="16">
        <v>46222</v>
      </c>
      <c r="N596" s="10" t="s">
        <v>61</v>
      </c>
      <c r="O596" s="10" t="s">
        <v>62</v>
      </c>
      <c r="P596" s="10" t="s">
        <v>63</v>
      </c>
      <c r="Q596" s="10" t="s">
        <v>47</v>
      </c>
      <c r="R596" s="10" t="s">
        <v>230</v>
      </c>
      <c r="S596" s="19">
        <v>5000</v>
      </c>
      <c r="T596" s="10">
        <v>3000</v>
      </c>
      <c r="U596" s="10">
        <v>3000</v>
      </c>
      <c r="W596" s="10" t="s">
        <v>2954</v>
      </c>
      <c r="X596" s="10" t="s">
        <v>2953</v>
      </c>
      <c r="Y596" s="10" t="s">
        <v>2953</v>
      </c>
      <c r="Z596" s="10" t="s">
        <v>66</v>
      </c>
      <c r="AA596" s="10" t="s">
        <v>66</v>
      </c>
      <c r="AB596" s="10" t="s">
        <v>66</v>
      </c>
      <c r="AC596" s="10" t="s">
        <v>68</v>
      </c>
      <c r="AD596" s="10" t="str">
        <f>IFERROR(VLOOKUP(B596,'Regiões Administrativas'!$A$1:$B$646,2,0),"")</f>
        <v>Campinas</v>
      </c>
      <c r="AE596" s="10">
        <f>IFERROR(VLOOKUP(Form_Responses[[#This Row],[Município]],'Regiões Administrativas'!$A$1:$I$646,3,0),"")</f>
        <v>15888</v>
      </c>
      <c r="AF596" s="10">
        <f>IFERROR(VLOOKUP(Form_Responses[[#This Row],[Município]],'Regiões Administrativas'!$A$1:$I$646,4,0),"")</f>
        <v>351518605000001</v>
      </c>
      <c r="AG596" s="10">
        <f>IFERROR(VLOOKUP(Form_Responses[[#This Row],[Município]],'Regiões Administrativas'!$A$1:$I$646,4,0),"")</f>
        <v>351518605000001</v>
      </c>
      <c r="AH596" s="10">
        <f>IFERROR(VLOOKUP(B596,'Regiões Administrativas'!$A$1:$I$646,5,0),"")</f>
        <v>3515186</v>
      </c>
      <c r="AI596" s="10">
        <f>IFERROR(VLOOKUP(B596,'Regiões Administrativas'!$A$1:$I$646,6,0),"")</f>
        <v>-46.745514300000004</v>
      </c>
      <c r="AJ596" s="10">
        <f>IFERROR(VLOOKUP(B596,'Regiões Administrativas'!$A$1:$I$646,8,0),"")</f>
        <v>877.591227</v>
      </c>
      <c r="AK596" s="10" t="str">
        <f>IFERROR(VLOOKUP(Form_Responses[[#This Row],[Município]],'Regiões Administrativas'!$A$1:$I$646,9,0),"")</f>
        <v>1J6tiMQiTKcp</v>
      </c>
    </row>
    <row r="597" spans="1:37" ht="22.5" customHeight="1">
      <c r="A597" s="18">
        <v>46100.585802118054</v>
      </c>
      <c r="B597" s="10" t="s">
        <v>2943</v>
      </c>
      <c r="C597" s="10" t="s">
        <v>85</v>
      </c>
      <c r="D597" s="10" t="s">
        <v>2955</v>
      </c>
      <c r="E597" s="10" t="s">
        <v>2956</v>
      </c>
      <c r="G597" s="10" t="s">
        <v>2957</v>
      </c>
      <c r="H597" s="72" t="s">
        <v>2958</v>
      </c>
      <c r="I597" s="10" t="s">
        <v>60</v>
      </c>
      <c r="J597" s="16">
        <v>46193</v>
      </c>
      <c r="K597" s="16">
        <v>46194</v>
      </c>
      <c r="N597" s="10" t="s">
        <v>268</v>
      </c>
      <c r="O597" s="10" t="s">
        <v>45</v>
      </c>
      <c r="P597" s="10" t="s">
        <v>63</v>
      </c>
      <c r="Q597" s="10" t="s">
        <v>47</v>
      </c>
      <c r="R597" s="10" t="s">
        <v>48</v>
      </c>
      <c r="S597" s="10">
        <v>4000</v>
      </c>
      <c r="T597" s="10">
        <v>3000</v>
      </c>
      <c r="U597" s="10">
        <v>2500</v>
      </c>
      <c r="W597" s="10" t="s">
        <v>2959</v>
      </c>
      <c r="X597" s="72" t="s">
        <v>2958</v>
      </c>
      <c r="Y597" s="72" t="s">
        <v>2958</v>
      </c>
      <c r="Z597" s="10" t="s">
        <v>992</v>
      </c>
      <c r="AA597" s="10" t="s">
        <v>66</v>
      </c>
      <c r="AB597" s="10" t="s">
        <v>66</v>
      </c>
      <c r="AC597" s="10" t="s">
        <v>68</v>
      </c>
      <c r="AD597" s="10" t="str">
        <f>IFERROR(VLOOKUP(B597,'Regiões Administrativas'!$A$1:$B$646,2,0),"")</f>
        <v>Campinas</v>
      </c>
      <c r="AE597" s="10">
        <f>IFERROR(VLOOKUP(Form_Responses[[#This Row],[Município]],'Regiões Administrativas'!$A$1:$I$646,3,0),"")</f>
        <v>15888</v>
      </c>
      <c r="AF597" s="10">
        <f>IFERROR(VLOOKUP(Form_Responses[[#This Row],[Município]],'Regiões Administrativas'!$A$1:$I$646,4,0),"")</f>
        <v>351518605000001</v>
      </c>
      <c r="AG597" s="10">
        <f>IFERROR(VLOOKUP(Form_Responses[[#This Row],[Município]],'Regiões Administrativas'!$A$1:$I$646,4,0),"")</f>
        <v>351518605000001</v>
      </c>
      <c r="AH597" s="10">
        <f>IFERROR(VLOOKUP(B597,'Regiões Administrativas'!$A$1:$I$646,5,0),"")</f>
        <v>3515186</v>
      </c>
      <c r="AI597" s="10">
        <f>IFERROR(VLOOKUP(B597,'Regiões Administrativas'!$A$1:$I$646,6,0),"")</f>
        <v>-46.745514300000004</v>
      </c>
      <c r="AJ597" s="10">
        <f>IFERROR(VLOOKUP(B597,'Regiões Administrativas'!$A$1:$I$646,8,0),"")</f>
        <v>877.591227</v>
      </c>
      <c r="AK597" s="10" t="str">
        <f>IFERROR(VLOOKUP(Form_Responses[[#This Row],[Município]],'Regiões Administrativas'!$A$1:$I$646,9,0),"")</f>
        <v>1J6tiMQiTKcp</v>
      </c>
    </row>
    <row r="598" spans="1:37" ht="21" customHeight="1">
      <c r="A598" s="18">
        <v>46100.59037716435</v>
      </c>
      <c r="B598" s="10" t="s">
        <v>2943</v>
      </c>
      <c r="C598" s="10" t="s">
        <v>85</v>
      </c>
      <c r="D598" s="10" t="s">
        <v>2960</v>
      </c>
      <c r="E598" s="10" t="s">
        <v>2961</v>
      </c>
      <c r="G598" s="10" t="s">
        <v>2962</v>
      </c>
      <c r="I598" s="10" t="s">
        <v>81</v>
      </c>
      <c r="J598" s="16">
        <v>46290</v>
      </c>
      <c r="K598" s="16">
        <v>46290</v>
      </c>
      <c r="L598" s="17">
        <v>0.375</v>
      </c>
      <c r="M598" s="17">
        <v>0.75</v>
      </c>
      <c r="N598" s="10" t="s">
        <v>641</v>
      </c>
      <c r="O598" s="10" t="s">
        <v>642</v>
      </c>
      <c r="P598" s="10" t="s">
        <v>63</v>
      </c>
      <c r="Q598" s="10" t="s">
        <v>47</v>
      </c>
      <c r="R598" s="10" t="s">
        <v>48</v>
      </c>
      <c r="S598" s="10">
        <v>300</v>
      </c>
      <c r="T598" s="10">
        <v>250</v>
      </c>
      <c r="W598" s="10" t="s">
        <v>2963</v>
      </c>
      <c r="Y598" s="10" t="s">
        <v>2964</v>
      </c>
      <c r="Z598" s="10" t="s">
        <v>76</v>
      </c>
      <c r="AA598" s="10" t="s">
        <v>66</v>
      </c>
      <c r="AB598" s="10" t="s">
        <v>66</v>
      </c>
      <c r="AC598" s="10" t="s">
        <v>68</v>
      </c>
      <c r="AD598" s="10" t="str">
        <f>IFERROR(VLOOKUP(B598,'Regiões Administrativas'!$A$1:$B$646,2,0),"")</f>
        <v>Campinas</v>
      </c>
      <c r="AE598" s="10">
        <f>IFERROR(VLOOKUP(Form_Responses[[#This Row],[Município]],'Regiões Administrativas'!$A$1:$I$646,3,0),"")</f>
        <v>15888</v>
      </c>
      <c r="AF598" s="10">
        <f>IFERROR(VLOOKUP(Form_Responses[[#This Row],[Município]],'Regiões Administrativas'!$A$1:$I$646,4,0),"")</f>
        <v>351518605000001</v>
      </c>
      <c r="AG598" s="10">
        <f>IFERROR(VLOOKUP(Form_Responses[[#This Row],[Município]],'Regiões Administrativas'!$A$1:$I$646,4,0),"")</f>
        <v>351518605000001</v>
      </c>
      <c r="AH598" s="10">
        <f>IFERROR(VLOOKUP(B598,'Regiões Administrativas'!$A$1:$I$646,5,0),"")</f>
        <v>3515186</v>
      </c>
      <c r="AI598" s="10">
        <f>IFERROR(VLOOKUP(B598,'Regiões Administrativas'!$A$1:$I$646,6,0),"")</f>
        <v>-46.745514300000004</v>
      </c>
      <c r="AJ598" s="10">
        <f>IFERROR(VLOOKUP(B598,'Regiões Administrativas'!$A$1:$I$646,8,0),"")</f>
        <v>877.591227</v>
      </c>
      <c r="AK598" s="10" t="str">
        <f>IFERROR(VLOOKUP(Form_Responses[[#This Row],[Município]],'Regiões Administrativas'!$A$1:$I$646,9,0),"")</f>
        <v>1J6tiMQiTKcp</v>
      </c>
    </row>
    <row r="599" spans="1:37" ht="22.5" customHeight="1">
      <c r="A599" s="18">
        <v>46100.595444733801</v>
      </c>
      <c r="B599" s="10" t="s">
        <v>2943</v>
      </c>
      <c r="C599" s="10" t="s">
        <v>85</v>
      </c>
      <c r="D599" s="10" t="s">
        <v>2965</v>
      </c>
      <c r="E599" s="10" t="s">
        <v>2966</v>
      </c>
      <c r="G599" s="10" t="s">
        <v>2967</v>
      </c>
      <c r="I599" s="10" t="s">
        <v>220</v>
      </c>
      <c r="J599" s="16">
        <v>46143</v>
      </c>
      <c r="K599" s="16">
        <v>46143</v>
      </c>
      <c r="L599" s="17">
        <v>0.5</v>
      </c>
      <c r="M599" s="17">
        <v>0.91666666666424135</v>
      </c>
      <c r="N599" s="10" t="s">
        <v>268</v>
      </c>
      <c r="O599" s="10" t="s">
        <v>190</v>
      </c>
      <c r="P599" s="10" t="s">
        <v>63</v>
      </c>
      <c r="Q599" s="10" t="s">
        <v>47</v>
      </c>
      <c r="R599" s="10" t="s">
        <v>74</v>
      </c>
      <c r="S599" s="10">
        <v>10000</v>
      </c>
      <c r="W599" s="10" t="s">
        <v>2968</v>
      </c>
      <c r="Y599" s="10" t="s">
        <v>2964</v>
      </c>
      <c r="Z599" s="10" t="s">
        <v>76</v>
      </c>
      <c r="AA599" s="10" t="s">
        <v>2969</v>
      </c>
      <c r="AB599" s="10" t="s">
        <v>66</v>
      </c>
      <c r="AC599" s="10" t="s">
        <v>68</v>
      </c>
      <c r="AD599" s="10" t="str">
        <f>IFERROR(VLOOKUP(B599,'Regiões Administrativas'!$A$1:$B$646,2,0),"")</f>
        <v>Campinas</v>
      </c>
      <c r="AE599" s="10">
        <f>IFERROR(VLOOKUP(Form_Responses[[#This Row],[Município]],'Regiões Administrativas'!$A$1:$I$646,3,0),"")</f>
        <v>15888</v>
      </c>
      <c r="AF599" s="10">
        <f>IFERROR(VLOOKUP(Form_Responses[[#This Row],[Município]],'Regiões Administrativas'!$A$1:$I$646,4,0),"")</f>
        <v>351518605000001</v>
      </c>
      <c r="AG599" s="10">
        <f>IFERROR(VLOOKUP(Form_Responses[[#This Row],[Município]],'Regiões Administrativas'!$A$1:$I$646,4,0),"")</f>
        <v>351518605000001</v>
      </c>
      <c r="AH599" s="10">
        <f>IFERROR(VLOOKUP(B599,'Regiões Administrativas'!$A$1:$I$646,5,0),"")</f>
        <v>3515186</v>
      </c>
      <c r="AI599" s="10">
        <f>IFERROR(VLOOKUP(B599,'Regiões Administrativas'!$A$1:$I$646,6,0),"")</f>
        <v>-46.745514300000004</v>
      </c>
      <c r="AJ599" s="10">
        <f>IFERROR(VLOOKUP(B599,'Regiões Administrativas'!$A$1:$I$646,8,0),"")</f>
        <v>877.591227</v>
      </c>
      <c r="AK599" s="10" t="str">
        <f>IFERROR(VLOOKUP(Form_Responses[[#This Row],[Município]],'Regiões Administrativas'!$A$1:$I$646,9,0),"")</f>
        <v>1J6tiMQiTKcp</v>
      </c>
    </row>
    <row r="600" spans="1:37" ht="22.5" customHeight="1">
      <c r="A600" s="18">
        <v>46100.604448993057</v>
      </c>
      <c r="B600" s="10" t="s">
        <v>2970</v>
      </c>
      <c r="C600" s="10" t="s">
        <v>272</v>
      </c>
      <c r="D600" s="10" t="s">
        <v>2930</v>
      </c>
      <c r="E600" s="10" t="s">
        <v>2971</v>
      </c>
      <c r="G600" s="10" t="s">
        <v>2972</v>
      </c>
      <c r="H600" s="72" t="s">
        <v>2973</v>
      </c>
      <c r="I600" s="10" t="s">
        <v>128</v>
      </c>
      <c r="J600" s="16">
        <v>46115</v>
      </c>
      <c r="K600" s="16">
        <v>46115</v>
      </c>
      <c r="L600" s="17">
        <v>0.79166666666424135</v>
      </c>
      <c r="M600" s="17">
        <v>0.875</v>
      </c>
      <c r="N600" s="10" t="s">
        <v>44</v>
      </c>
      <c r="O600" s="10" t="s">
        <v>221</v>
      </c>
      <c r="P600" s="10" t="s">
        <v>480</v>
      </c>
      <c r="Q600" s="10" t="s">
        <v>47</v>
      </c>
      <c r="R600" s="10" t="s">
        <v>74</v>
      </c>
      <c r="S600" s="19">
        <v>15000</v>
      </c>
      <c r="T600" s="19">
        <v>15000</v>
      </c>
      <c r="U600" s="19">
        <v>15000</v>
      </c>
      <c r="V600" s="19">
        <v>15000</v>
      </c>
      <c r="W600" s="10" t="s">
        <v>2974</v>
      </c>
      <c r="X600" s="10" t="s">
        <v>2975</v>
      </c>
      <c r="Y600" s="10" t="s">
        <v>2976</v>
      </c>
      <c r="Z600" s="10" t="s">
        <v>76</v>
      </c>
      <c r="AA600" s="10" t="s">
        <v>2977</v>
      </c>
      <c r="AB600" s="10" t="s">
        <v>66</v>
      </c>
      <c r="AC600" s="10" t="s">
        <v>68</v>
      </c>
      <c r="AD600" s="10" t="str">
        <f>IFERROR(VLOOKUP(B600,'Regiões Administrativas'!$A$1:$B$646,2,0),"")</f>
        <v>RMSP</v>
      </c>
      <c r="AE600" s="10">
        <f>IFERROR(VLOOKUP(Form_Responses[[#This Row],[Município]],'Regiões Administrativas'!$A$1:$I$646,3,0),"")</f>
        <v>15880</v>
      </c>
      <c r="AF600" s="10">
        <f>IFERROR(VLOOKUP(Form_Responses[[#This Row],[Município]],'Regiões Administrativas'!$A$1:$I$646,4,0),"")</f>
        <v>351500405000001</v>
      </c>
      <c r="AG600" s="10">
        <f>IFERROR(VLOOKUP(Form_Responses[[#This Row],[Município]],'Regiões Administrativas'!$A$1:$I$646,4,0),"")</f>
        <v>351500405000001</v>
      </c>
      <c r="AH600" s="10">
        <f>IFERROR(VLOOKUP(B600,'Regiões Administrativas'!$A$1:$I$646,5,0),"")</f>
        <v>3515004</v>
      </c>
      <c r="AI600" s="10">
        <f>IFERROR(VLOOKUP(B600,'Regiões Administrativas'!$A$1:$I$646,6,0),"")</f>
        <v>-46.850859999999997</v>
      </c>
      <c r="AJ600" s="10">
        <f>IFERROR(VLOOKUP(B600,'Regiões Administrativas'!$A$1:$I$646,8,0),"")</f>
        <v>791.83497699999998</v>
      </c>
      <c r="AK600" s="10" t="str">
        <f>IFERROR(VLOOKUP(Form_Responses[[#This Row],[Município]],'Regiões Administrativas'!$A$1:$I$646,9,0),"")</f>
        <v>1J6to\M*G*yp</v>
      </c>
    </row>
    <row r="601" spans="1:37" ht="22.5" customHeight="1">
      <c r="A601" s="18">
        <v>46100.632819131948</v>
      </c>
      <c r="B601" s="10" t="s">
        <v>1085</v>
      </c>
      <c r="C601" s="10" t="s">
        <v>426</v>
      </c>
      <c r="D601" s="10" t="s">
        <v>2978</v>
      </c>
      <c r="E601" s="10" t="s">
        <v>2979</v>
      </c>
      <c r="F601" s="10" t="s">
        <v>2980</v>
      </c>
      <c r="G601" s="10" t="s">
        <v>2981</v>
      </c>
      <c r="H601" s="72" t="s">
        <v>2982</v>
      </c>
      <c r="I601" s="10" t="s">
        <v>60</v>
      </c>
      <c r="J601" s="16">
        <v>46197</v>
      </c>
      <c r="K601" s="16">
        <v>46200</v>
      </c>
      <c r="L601" s="17">
        <v>0.75</v>
      </c>
      <c r="M601" s="17">
        <v>8.3333333335758653E-2</v>
      </c>
      <c r="N601" s="10" t="s">
        <v>73</v>
      </c>
      <c r="O601" s="10" t="s">
        <v>45</v>
      </c>
      <c r="P601" s="10" t="s">
        <v>135</v>
      </c>
      <c r="Q601" s="10" t="s">
        <v>47</v>
      </c>
      <c r="R601" s="10" t="s">
        <v>48</v>
      </c>
      <c r="S601" s="19">
        <v>150000</v>
      </c>
      <c r="T601" s="19">
        <v>120000</v>
      </c>
      <c r="U601" s="19">
        <v>116000</v>
      </c>
      <c r="V601" s="19">
        <v>115000</v>
      </c>
      <c r="W601" s="10" t="s">
        <v>1091</v>
      </c>
      <c r="Y601" s="10" t="s">
        <v>1092</v>
      </c>
      <c r="Z601" s="10" t="s">
        <v>52</v>
      </c>
      <c r="AA601" s="10" t="s">
        <v>1149</v>
      </c>
      <c r="AB601" s="10" t="s">
        <v>2788</v>
      </c>
      <c r="AC601" s="10" t="s">
        <v>68</v>
      </c>
      <c r="AD601" s="10" t="str">
        <f>IFERROR(VLOOKUP(B601,'Regiões Administrativas'!$A$1:$B$646,2,0),"")</f>
        <v>Presidente Prudente</v>
      </c>
      <c r="AE601" s="10">
        <f>IFERROR(VLOOKUP(Form_Responses[[#This Row],[Município]],'Regiões Administrativas'!$A$1:$I$646,3,0),"")</f>
        <v>16828</v>
      </c>
      <c r="AF601" s="10">
        <f>IFERROR(VLOOKUP(Form_Responses[[#This Row],[Município]],'Regiões Administrativas'!$A$1:$I$646,4,0),"")</f>
        <v>353920205000001</v>
      </c>
      <c r="AG601" s="10">
        <f>IFERROR(VLOOKUP(Form_Responses[[#This Row],[Município]],'Regiões Administrativas'!$A$1:$I$646,4,0),"")</f>
        <v>353920205000001</v>
      </c>
      <c r="AH601" s="10">
        <f>IFERROR(VLOOKUP(B601,'Regiões Administrativas'!$A$1:$I$646,5,0),"")</f>
        <v>3539202</v>
      </c>
      <c r="AI601" s="10">
        <f>IFERROR(VLOOKUP(B601,'Regiões Administrativas'!$A$1:$I$646,6,0),"")</f>
        <v>-51.499584300000002</v>
      </c>
      <c r="AJ601" s="10">
        <f>IFERROR(VLOOKUP(B601,'Regiões Administrativas'!$A$1:$I$646,8,0),"")</f>
        <v>486.94915099999997</v>
      </c>
      <c r="AK601" s="10" t="str">
        <f>IFERROR(VLOOKUP(Form_Responses[[#This Row],[Município]],'Regiões Administrativas'!$A$1:$I$646,9,0),"")</f>
        <v>1J6Rj:h7=R@-</v>
      </c>
    </row>
    <row r="602" spans="1:37" ht="22.5" customHeight="1">
      <c r="A602" s="18">
        <v>46101.34972564815</v>
      </c>
      <c r="B602" s="10" t="s">
        <v>655</v>
      </c>
      <c r="C602" s="10" t="s">
        <v>656</v>
      </c>
      <c r="D602" s="10" t="s">
        <v>2983</v>
      </c>
      <c r="E602" s="10" t="s">
        <v>2984</v>
      </c>
      <c r="G602" s="10" t="s">
        <v>659</v>
      </c>
      <c r="I602" s="10" t="s">
        <v>60</v>
      </c>
      <c r="J602" s="16">
        <v>46174</v>
      </c>
      <c r="K602" s="16">
        <v>46202</v>
      </c>
      <c r="L602" s="17">
        <v>0.75</v>
      </c>
      <c r="M602" s="17">
        <v>0.91666666666424135</v>
      </c>
      <c r="N602" s="10" t="s">
        <v>44</v>
      </c>
      <c r="O602" s="10" t="s">
        <v>221</v>
      </c>
      <c r="P602" s="10" t="s">
        <v>221</v>
      </c>
      <c r="Q602" s="10" t="s">
        <v>47</v>
      </c>
      <c r="R602" s="10" t="s">
        <v>74</v>
      </c>
      <c r="S602" s="10">
        <v>20000</v>
      </c>
      <c r="T602" s="10">
        <v>20000</v>
      </c>
      <c r="U602" s="10">
        <v>19000</v>
      </c>
      <c r="V602" s="10">
        <v>19000</v>
      </c>
      <c r="W602" s="10" t="s">
        <v>2985</v>
      </c>
      <c r="Y602" s="10" t="s">
        <v>661</v>
      </c>
      <c r="Z602" s="10" t="s">
        <v>76</v>
      </c>
      <c r="AA602" s="10" t="s">
        <v>2986</v>
      </c>
      <c r="AB602" s="10" t="s">
        <v>66</v>
      </c>
      <c r="AC602" s="10" t="s">
        <v>68</v>
      </c>
      <c r="AD602" s="10" t="str">
        <f>IFERROR(VLOOKUP(B602,'Regiões Administrativas'!$A$1:$B$646,2,0),"")</f>
        <v>Itapeva</v>
      </c>
      <c r="AE602" s="10">
        <f>IFERROR(VLOOKUP(Form_Responses[[#This Row],[Município]],'Regiões Administrativas'!$A$1:$I$646,3,0),"")</f>
        <v>16130</v>
      </c>
      <c r="AF602" s="10">
        <f>IFERROR(VLOOKUP(Form_Responses[[#This Row],[Município]],'Regiões Administrativas'!$A$1:$I$646,4,0),"")</f>
        <v>352320605000001</v>
      </c>
      <c r="AG602" s="10">
        <f>IFERROR(VLOOKUP(Form_Responses[[#This Row],[Município]],'Regiões Administrativas'!$A$1:$I$646,4,0),"")</f>
        <v>352320605000001</v>
      </c>
      <c r="AH602" s="10">
        <f>IFERROR(VLOOKUP(B602,'Regiões Administrativas'!$A$1:$I$646,5,0),"")</f>
        <v>3523206</v>
      </c>
      <c r="AI602" s="10">
        <f>IFERROR(VLOOKUP(B602,'Regiões Administrativas'!$A$1:$I$646,6,0),"")</f>
        <v>-49.336119699999998</v>
      </c>
      <c r="AJ602" s="10">
        <f>IFERROR(VLOOKUP(B602,'Regiões Administrativas'!$A$1:$I$646,8,0),"")</f>
        <v>734.12665600000003</v>
      </c>
      <c r="AK602" s="10" t="str">
        <f>IFERROR(VLOOKUP(Form_Responses[[#This Row],[Município]],'Regiões Administrativas'!$A$1:$I$646,9,0),"")</f>
        <v>1J6S29)Jh3)p</v>
      </c>
    </row>
    <row r="603" spans="1:37" ht="22.5" customHeight="1">
      <c r="A603" s="18">
        <v>46101.35527424769</v>
      </c>
      <c r="B603" s="10" t="s">
        <v>655</v>
      </c>
      <c r="C603" s="10" t="s">
        <v>656</v>
      </c>
      <c r="D603" s="10" t="s">
        <v>2987</v>
      </c>
      <c r="E603" s="10" t="s">
        <v>2988</v>
      </c>
      <c r="G603" s="10" t="s">
        <v>2989</v>
      </c>
      <c r="I603" s="10" t="s">
        <v>43</v>
      </c>
      <c r="J603" s="16">
        <v>46261</v>
      </c>
      <c r="K603" s="16">
        <v>46264</v>
      </c>
      <c r="N603" s="10" t="s">
        <v>44</v>
      </c>
      <c r="O603" s="10" t="s">
        <v>45</v>
      </c>
      <c r="P603" s="10" t="s">
        <v>46</v>
      </c>
      <c r="Q603" s="10" t="s">
        <v>47</v>
      </c>
      <c r="R603" s="10" t="s">
        <v>74</v>
      </c>
      <c r="S603" s="10">
        <v>50000</v>
      </c>
      <c r="T603" s="10">
        <v>50000</v>
      </c>
      <c r="U603" s="10">
        <v>48000</v>
      </c>
      <c r="V603" s="10">
        <v>48000</v>
      </c>
      <c r="W603" s="10" t="s">
        <v>2990</v>
      </c>
      <c r="Y603" s="10" t="s">
        <v>661</v>
      </c>
      <c r="Z603" s="10" t="s">
        <v>66</v>
      </c>
      <c r="AA603" s="10" t="s">
        <v>66</v>
      </c>
      <c r="AB603" s="10" t="s">
        <v>66</v>
      </c>
      <c r="AC603" s="10" t="s">
        <v>68</v>
      </c>
      <c r="AD603" s="10" t="str">
        <f>IFERROR(VLOOKUP(B603,'Regiões Administrativas'!$A$1:$B$646,2,0),"")</f>
        <v>Itapeva</v>
      </c>
      <c r="AE603" s="10">
        <f>IFERROR(VLOOKUP(Form_Responses[[#This Row],[Município]],'Regiões Administrativas'!$A$1:$I$646,3,0),"")</f>
        <v>16130</v>
      </c>
      <c r="AF603" s="10">
        <f>IFERROR(VLOOKUP(Form_Responses[[#This Row],[Município]],'Regiões Administrativas'!$A$1:$I$646,4,0),"")</f>
        <v>352320605000001</v>
      </c>
      <c r="AG603" s="10">
        <f>IFERROR(VLOOKUP(Form_Responses[[#This Row],[Município]],'Regiões Administrativas'!$A$1:$I$646,4,0),"")</f>
        <v>352320605000001</v>
      </c>
      <c r="AH603" s="10">
        <f>IFERROR(VLOOKUP(B603,'Regiões Administrativas'!$A$1:$I$646,5,0),"")</f>
        <v>3523206</v>
      </c>
      <c r="AI603" s="10">
        <f>IFERROR(VLOOKUP(B603,'Regiões Administrativas'!$A$1:$I$646,6,0),"")</f>
        <v>-49.336119699999998</v>
      </c>
      <c r="AJ603" s="10">
        <f>IFERROR(VLOOKUP(B603,'Regiões Administrativas'!$A$1:$I$646,8,0),"")</f>
        <v>734.12665600000003</v>
      </c>
      <c r="AK603" s="10" t="str">
        <f>IFERROR(VLOOKUP(Form_Responses[[#This Row],[Município]],'Regiões Administrativas'!$A$1:$I$646,9,0),"")</f>
        <v>1J6S29)Jh3)p</v>
      </c>
    </row>
    <row r="604" spans="1:37" ht="22.5" customHeight="1">
      <c r="A604" s="18">
        <v>46101.361919641204</v>
      </c>
      <c r="B604" s="10" t="s">
        <v>655</v>
      </c>
      <c r="C604" s="10" t="s">
        <v>656</v>
      </c>
      <c r="D604" s="10" t="s">
        <v>2991</v>
      </c>
      <c r="E604" s="10" t="s">
        <v>2992</v>
      </c>
      <c r="G604" s="10" t="s">
        <v>2993</v>
      </c>
      <c r="I604" s="10" t="s">
        <v>197</v>
      </c>
      <c r="L604" s="17">
        <v>0.5</v>
      </c>
      <c r="M604" s="17">
        <v>0.91666666666424135</v>
      </c>
      <c r="N604" s="10" t="s">
        <v>268</v>
      </c>
      <c r="O604" s="10" t="s">
        <v>190</v>
      </c>
      <c r="P604" s="10" t="s">
        <v>99</v>
      </c>
      <c r="Q604" s="10" t="s">
        <v>47</v>
      </c>
      <c r="R604" s="10" t="s">
        <v>74</v>
      </c>
      <c r="S604" s="10">
        <v>10000</v>
      </c>
      <c r="T604" s="10">
        <v>10000</v>
      </c>
      <c r="U604" s="10">
        <v>95000</v>
      </c>
      <c r="V604" s="10">
        <v>9000</v>
      </c>
      <c r="W604" s="10" t="s">
        <v>2994</v>
      </c>
      <c r="Y604" s="10" t="s">
        <v>661</v>
      </c>
      <c r="Z604" s="10" t="s">
        <v>66</v>
      </c>
      <c r="AA604" s="10" t="s">
        <v>66</v>
      </c>
      <c r="AB604" s="10" t="s">
        <v>66</v>
      </c>
      <c r="AC604" s="10" t="s">
        <v>68</v>
      </c>
      <c r="AD604" s="10" t="str">
        <f>IFERROR(VLOOKUP(B604,'Regiões Administrativas'!$A$1:$B$646,2,0),"")</f>
        <v>Itapeva</v>
      </c>
      <c r="AE604" s="10">
        <f>IFERROR(VLOOKUP(Form_Responses[[#This Row],[Município]],'Regiões Administrativas'!$A$1:$I$646,3,0),"")</f>
        <v>16130</v>
      </c>
      <c r="AF604" s="10">
        <f>IFERROR(VLOOKUP(Form_Responses[[#This Row],[Município]],'Regiões Administrativas'!$A$1:$I$646,4,0),"")</f>
        <v>352320605000001</v>
      </c>
      <c r="AG604" s="10">
        <f>IFERROR(VLOOKUP(Form_Responses[[#This Row],[Município]],'Regiões Administrativas'!$A$1:$I$646,4,0),"")</f>
        <v>352320605000001</v>
      </c>
      <c r="AH604" s="10">
        <f>IFERROR(VLOOKUP(B604,'Regiões Administrativas'!$A$1:$I$646,5,0),"")</f>
        <v>3523206</v>
      </c>
      <c r="AI604" s="10">
        <f>IFERROR(VLOOKUP(B604,'Regiões Administrativas'!$A$1:$I$646,6,0),"")</f>
        <v>-49.336119699999998</v>
      </c>
      <c r="AJ604" s="10">
        <f>IFERROR(VLOOKUP(B604,'Regiões Administrativas'!$A$1:$I$646,8,0),"")</f>
        <v>734.12665600000003</v>
      </c>
      <c r="AK604" s="10" t="str">
        <f>IFERROR(VLOOKUP(Form_Responses[[#This Row],[Município]],'Regiões Administrativas'!$A$1:$I$646,9,0),"")</f>
        <v>1J6S29)Jh3)p</v>
      </c>
    </row>
    <row r="605" spans="1:37" ht="22.5" customHeight="1">
      <c r="A605" s="18">
        <v>46101.366953657409</v>
      </c>
      <c r="B605" s="10" t="s">
        <v>655</v>
      </c>
      <c r="C605" s="10" t="s">
        <v>656</v>
      </c>
      <c r="D605" s="10" t="s">
        <v>2995</v>
      </c>
      <c r="E605" s="10" t="s">
        <v>2996</v>
      </c>
      <c r="G605" s="10" t="s">
        <v>2997</v>
      </c>
      <c r="I605" s="10" t="s">
        <v>267</v>
      </c>
      <c r="L605" s="17">
        <v>0.58333333333575865</v>
      </c>
      <c r="M605" s="17">
        <v>0.95833333333575865</v>
      </c>
      <c r="N605" s="10" t="s">
        <v>268</v>
      </c>
      <c r="O605" s="10" t="s">
        <v>142</v>
      </c>
      <c r="P605" s="10" t="s">
        <v>99</v>
      </c>
      <c r="Q605" s="10" t="s">
        <v>47</v>
      </c>
      <c r="R605" s="10" t="s">
        <v>256</v>
      </c>
      <c r="S605" s="10">
        <v>10000</v>
      </c>
      <c r="W605" s="10" t="s">
        <v>2998</v>
      </c>
      <c r="Y605" s="10" t="s">
        <v>661</v>
      </c>
      <c r="Z605" s="10" t="s">
        <v>76</v>
      </c>
      <c r="AA605" s="10" t="s">
        <v>66</v>
      </c>
      <c r="AB605" s="10" t="s">
        <v>66</v>
      </c>
      <c r="AC605" s="10" t="s">
        <v>68</v>
      </c>
      <c r="AD605" s="10" t="str">
        <f>IFERROR(VLOOKUP(B605,'Regiões Administrativas'!$A$1:$B$646,2,0),"")</f>
        <v>Itapeva</v>
      </c>
      <c r="AE605" s="10">
        <f>IFERROR(VLOOKUP(Form_Responses[[#This Row],[Município]],'Regiões Administrativas'!$A$1:$I$646,3,0),"")</f>
        <v>16130</v>
      </c>
      <c r="AF605" s="10">
        <f>IFERROR(VLOOKUP(Form_Responses[[#This Row],[Município]],'Regiões Administrativas'!$A$1:$I$646,4,0),"")</f>
        <v>352320605000001</v>
      </c>
      <c r="AG605" s="10">
        <f>IFERROR(VLOOKUP(Form_Responses[[#This Row],[Município]],'Regiões Administrativas'!$A$1:$I$646,4,0),"")</f>
        <v>352320605000001</v>
      </c>
      <c r="AH605" s="10">
        <f>IFERROR(VLOOKUP(B605,'Regiões Administrativas'!$A$1:$I$646,5,0),"")</f>
        <v>3523206</v>
      </c>
      <c r="AI605" s="10">
        <f>IFERROR(VLOOKUP(B605,'Regiões Administrativas'!$A$1:$I$646,6,0),"")</f>
        <v>-49.336119699999998</v>
      </c>
      <c r="AJ605" s="10">
        <f>IFERROR(VLOOKUP(B605,'Regiões Administrativas'!$A$1:$I$646,8,0),"")</f>
        <v>734.12665600000003</v>
      </c>
      <c r="AK605" s="10" t="str">
        <f>IFERROR(VLOOKUP(Form_Responses[[#This Row],[Município]],'Regiões Administrativas'!$A$1:$I$646,9,0),"")</f>
        <v>1J6S29)Jh3)p</v>
      </c>
    </row>
    <row r="606" spans="1:37" ht="22.5" customHeight="1">
      <c r="A606" s="18">
        <v>46101.372217222219</v>
      </c>
      <c r="B606" s="10" t="s">
        <v>655</v>
      </c>
      <c r="C606" s="10" t="s">
        <v>656</v>
      </c>
      <c r="D606" s="10" t="s">
        <v>980</v>
      </c>
      <c r="E606" s="10" t="s">
        <v>2999</v>
      </c>
      <c r="G606" s="10" t="s">
        <v>3000</v>
      </c>
      <c r="I606" s="10" t="s">
        <v>267</v>
      </c>
      <c r="L606" s="17">
        <v>0.5</v>
      </c>
      <c r="M606" s="17">
        <v>0.95833333333575865</v>
      </c>
      <c r="N606" s="10" t="s">
        <v>44</v>
      </c>
      <c r="O606" s="10" t="s">
        <v>190</v>
      </c>
      <c r="P606" s="10" t="s">
        <v>99</v>
      </c>
      <c r="Q606" s="10" t="s">
        <v>47</v>
      </c>
      <c r="R606" s="10" t="s">
        <v>256</v>
      </c>
      <c r="S606" s="10">
        <v>10000</v>
      </c>
      <c r="W606" s="10" t="s">
        <v>3001</v>
      </c>
      <c r="Y606" s="10" t="s">
        <v>661</v>
      </c>
      <c r="Z606" s="10" t="s">
        <v>76</v>
      </c>
      <c r="AA606" s="10" t="s">
        <v>66</v>
      </c>
      <c r="AB606" s="10" t="s">
        <v>66</v>
      </c>
      <c r="AC606" s="10" t="s">
        <v>68</v>
      </c>
      <c r="AD606" s="10" t="str">
        <f>IFERROR(VLOOKUP(B606,'Regiões Administrativas'!$A$1:$B$646,2,0),"")</f>
        <v>Itapeva</v>
      </c>
      <c r="AE606" s="10">
        <f>IFERROR(VLOOKUP(Form_Responses[[#This Row],[Município]],'Regiões Administrativas'!$A$1:$I$646,3,0),"")</f>
        <v>16130</v>
      </c>
      <c r="AF606" s="10">
        <f>IFERROR(VLOOKUP(Form_Responses[[#This Row],[Município]],'Regiões Administrativas'!$A$1:$I$646,4,0),"")</f>
        <v>352320605000001</v>
      </c>
      <c r="AG606" s="10">
        <f>IFERROR(VLOOKUP(Form_Responses[[#This Row],[Município]],'Regiões Administrativas'!$A$1:$I$646,4,0),"")</f>
        <v>352320605000001</v>
      </c>
      <c r="AH606" s="10">
        <f>IFERROR(VLOOKUP(B606,'Regiões Administrativas'!$A$1:$I$646,5,0),"")</f>
        <v>3523206</v>
      </c>
      <c r="AI606" s="10">
        <f>IFERROR(VLOOKUP(B606,'Regiões Administrativas'!$A$1:$I$646,6,0),"")</f>
        <v>-49.336119699999998</v>
      </c>
      <c r="AJ606" s="10">
        <f>IFERROR(VLOOKUP(B606,'Regiões Administrativas'!$A$1:$I$646,8,0),"")</f>
        <v>734.12665600000003</v>
      </c>
      <c r="AK606" s="10" t="str">
        <f>IFERROR(VLOOKUP(Form_Responses[[#This Row],[Município]],'Regiões Administrativas'!$A$1:$I$646,9,0),"")</f>
        <v>1J6S29)Jh3)p</v>
      </c>
    </row>
    <row r="607" spans="1:37" ht="27.75" customHeight="1">
      <c r="A607" s="18">
        <v>46101.372951562502</v>
      </c>
      <c r="B607" s="10" t="s">
        <v>3002</v>
      </c>
      <c r="C607" s="10" t="s">
        <v>1543</v>
      </c>
      <c r="D607" s="10" t="s">
        <v>3003</v>
      </c>
      <c r="E607" s="10" t="s">
        <v>3004</v>
      </c>
      <c r="F607" s="19">
        <v>10731</v>
      </c>
      <c r="G607" s="10" t="s">
        <v>3005</v>
      </c>
      <c r="I607" s="10" t="s">
        <v>60</v>
      </c>
      <c r="J607" s="16">
        <v>46185</v>
      </c>
      <c r="K607" s="16">
        <v>46208</v>
      </c>
      <c r="L607" s="17">
        <v>0.8125</v>
      </c>
      <c r="M607" s="17">
        <v>8.3333333335758653E-2</v>
      </c>
      <c r="N607" s="10" t="s">
        <v>44</v>
      </c>
      <c r="O607" s="10" t="s">
        <v>221</v>
      </c>
      <c r="P607" s="10" t="s">
        <v>135</v>
      </c>
      <c r="Q607" s="10" t="s">
        <v>47</v>
      </c>
      <c r="R607" s="10" t="s">
        <v>74</v>
      </c>
      <c r="S607" s="19">
        <v>20000</v>
      </c>
      <c r="T607" s="19">
        <v>9000</v>
      </c>
      <c r="U607" s="19">
        <v>25000</v>
      </c>
      <c r="V607" s="19">
        <v>21000</v>
      </c>
      <c r="W607" s="10" t="s">
        <v>3006</v>
      </c>
      <c r="Y607" s="10" t="s">
        <v>3007</v>
      </c>
      <c r="Z607" s="10" t="s">
        <v>76</v>
      </c>
      <c r="AA607" s="10" t="s">
        <v>206</v>
      </c>
      <c r="AB607" s="10" t="s">
        <v>66</v>
      </c>
      <c r="AC607" s="10" t="s">
        <v>68</v>
      </c>
      <c r="AD607" s="10" t="str">
        <f>IFERROR(VLOOKUP(B607,'Regiões Administrativas'!$A$1:$B$646,2,0),"")</f>
        <v>Bauru</v>
      </c>
      <c r="AE607" s="10">
        <f>IFERROR(VLOOKUP(Form_Responses[[#This Row],[Município]],'Regiões Administrativas'!$A$1:$I$646,3,0),"")</f>
        <v>15943</v>
      </c>
      <c r="AF607" s="10">
        <f>IFERROR(VLOOKUP(Form_Responses[[#This Row],[Município]],'Regiões Administrativas'!$A$1:$I$646,4,0),"")</f>
        <v>351720805000001</v>
      </c>
      <c r="AG607" s="10">
        <f>IFERROR(VLOOKUP(Form_Responses[[#This Row],[Município]],'Regiões Administrativas'!$A$1:$I$646,4,0),"")</f>
        <v>351720805000001</v>
      </c>
      <c r="AH607" s="10">
        <f>IFERROR(VLOOKUP(B607,'Regiões Administrativas'!$A$1:$I$646,5,0),"")</f>
        <v>3517208</v>
      </c>
      <c r="AI607" s="10">
        <f>IFERROR(VLOOKUP(B607,'Regiões Administrativas'!$A$1:$I$646,6,0),"")</f>
        <v>-49.7987617</v>
      </c>
      <c r="AJ607" s="10">
        <f>IFERROR(VLOOKUP(B607,'Regiões Administrativas'!$A$1:$I$646,8,0),"")</f>
        <v>455.64137699999998</v>
      </c>
      <c r="AK607" s="10" t="str">
        <f>IFERROR(VLOOKUP(Form_Responses[[#This Row],[Município]],'Regiões Administrativas'!$A$1:$I$646,9,0),"")</f>
        <v>1J6Rcmz\u:zf</v>
      </c>
    </row>
    <row r="608" spans="1:37" ht="22.5" customHeight="1">
      <c r="A608" s="18">
        <v>46101.376565381943</v>
      </c>
      <c r="B608" s="10" t="s">
        <v>655</v>
      </c>
      <c r="C608" s="10" t="s">
        <v>656</v>
      </c>
      <c r="D608" s="10" t="s">
        <v>3008</v>
      </c>
      <c r="E608" s="10" t="s">
        <v>3009</v>
      </c>
      <c r="G608" s="10" t="s">
        <v>1441</v>
      </c>
      <c r="I608" s="10" t="s">
        <v>267</v>
      </c>
      <c r="J608" s="16">
        <v>46052</v>
      </c>
      <c r="K608" s="16">
        <v>46054</v>
      </c>
      <c r="L608" s="17">
        <v>0.58333333333575865</v>
      </c>
      <c r="M608" s="17">
        <v>0.95833333333575865</v>
      </c>
      <c r="N608" s="10" t="s">
        <v>44</v>
      </c>
      <c r="O608" s="10" t="s">
        <v>190</v>
      </c>
      <c r="P608" s="10" t="s">
        <v>235</v>
      </c>
      <c r="Q608" s="10" t="s">
        <v>47</v>
      </c>
      <c r="R608" s="10" t="s">
        <v>74</v>
      </c>
      <c r="S608" s="10">
        <v>20000</v>
      </c>
      <c r="W608" s="10" t="s">
        <v>2990</v>
      </c>
      <c r="Y608" s="10" t="s">
        <v>661</v>
      </c>
      <c r="Z608" s="10" t="s">
        <v>76</v>
      </c>
      <c r="AA608" s="10" t="s">
        <v>2986</v>
      </c>
      <c r="AB608" s="10" t="s">
        <v>66</v>
      </c>
      <c r="AC608" s="10" t="s">
        <v>68</v>
      </c>
      <c r="AD608" s="10" t="str">
        <f>IFERROR(VLOOKUP(B608,'Regiões Administrativas'!$A$1:$B$646,2,0),"")</f>
        <v>Itapeva</v>
      </c>
      <c r="AE608" s="10">
        <f>IFERROR(VLOOKUP(Form_Responses[[#This Row],[Município]],'Regiões Administrativas'!$A$1:$I$646,3,0),"")</f>
        <v>16130</v>
      </c>
      <c r="AF608" s="10">
        <f>IFERROR(VLOOKUP(Form_Responses[[#This Row],[Município]],'Regiões Administrativas'!$A$1:$I$646,4,0),"")</f>
        <v>352320605000001</v>
      </c>
      <c r="AG608" s="10">
        <f>IFERROR(VLOOKUP(Form_Responses[[#This Row],[Município]],'Regiões Administrativas'!$A$1:$I$646,4,0),"")</f>
        <v>352320605000001</v>
      </c>
      <c r="AH608" s="10">
        <f>IFERROR(VLOOKUP(B608,'Regiões Administrativas'!$A$1:$I$646,5,0),"")</f>
        <v>3523206</v>
      </c>
      <c r="AI608" s="10">
        <f>IFERROR(VLOOKUP(B608,'Regiões Administrativas'!$A$1:$I$646,6,0),"")</f>
        <v>-49.336119699999998</v>
      </c>
      <c r="AJ608" s="10">
        <f>IFERROR(VLOOKUP(B608,'Regiões Administrativas'!$A$1:$I$646,8,0),"")</f>
        <v>734.12665600000003</v>
      </c>
      <c r="AK608" s="10" t="str">
        <f>IFERROR(VLOOKUP(Form_Responses[[#This Row],[Município]],'Regiões Administrativas'!$A$1:$I$646,9,0),"")</f>
        <v>1J6S29)Jh3)p</v>
      </c>
    </row>
    <row r="609" spans="1:37" ht="22.5" customHeight="1">
      <c r="A609" s="18">
        <v>46101.380691840277</v>
      </c>
      <c r="B609" s="10" t="s">
        <v>655</v>
      </c>
      <c r="C609" s="10" t="s">
        <v>656</v>
      </c>
      <c r="D609" s="10" t="s">
        <v>90</v>
      </c>
      <c r="E609" s="10" t="s">
        <v>3010</v>
      </c>
      <c r="G609" s="10" t="s">
        <v>659</v>
      </c>
      <c r="I609" s="10" t="s">
        <v>89</v>
      </c>
      <c r="N609" s="10" t="s">
        <v>421</v>
      </c>
      <c r="O609" s="10" t="s">
        <v>45</v>
      </c>
      <c r="P609" s="10" t="s">
        <v>90</v>
      </c>
      <c r="Q609" s="10" t="s">
        <v>47</v>
      </c>
      <c r="R609" s="10" t="s">
        <v>74</v>
      </c>
      <c r="S609" s="10">
        <v>20000</v>
      </c>
      <c r="T609" s="10">
        <v>20000</v>
      </c>
      <c r="U609" s="10">
        <v>18000</v>
      </c>
      <c r="W609" s="10" t="s">
        <v>2990</v>
      </c>
      <c r="Y609" s="10" t="s">
        <v>661</v>
      </c>
      <c r="Z609" s="10" t="s">
        <v>76</v>
      </c>
      <c r="AA609" s="10" t="s">
        <v>66</v>
      </c>
      <c r="AB609" s="10" t="s">
        <v>66</v>
      </c>
      <c r="AC609" s="10" t="s">
        <v>68</v>
      </c>
      <c r="AD609" s="10" t="str">
        <f>IFERROR(VLOOKUP(B609,'Regiões Administrativas'!$A$1:$B$646,2,0),"")</f>
        <v>Itapeva</v>
      </c>
      <c r="AE609" s="10">
        <f>IFERROR(VLOOKUP(Form_Responses[[#This Row],[Município]],'Regiões Administrativas'!$A$1:$I$646,3,0),"")</f>
        <v>16130</v>
      </c>
      <c r="AF609" s="10">
        <f>IFERROR(VLOOKUP(Form_Responses[[#This Row],[Município]],'Regiões Administrativas'!$A$1:$I$646,4,0),"")</f>
        <v>352320605000001</v>
      </c>
      <c r="AG609" s="10">
        <f>IFERROR(VLOOKUP(Form_Responses[[#This Row],[Município]],'Regiões Administrativas'!$A$1:$I$646,4,0),"")</f>
        <v>352320605000001</v>
      </c>
      <c r="AH609" s="10">
        <f>IFERROR(VLOOKUP(B609,'Regiões Administrativas'!$A$1:$I$646,5,0),"")</f>
        <v>3523206</v>
      </c>
      <c r="AI609" s="10">
        <f>IFERROR(VLOOKUP(B609,'Regiões Administrativas'!$A$1:$I$646,6,0),"")</f>
        <v>-49.336119699999998</v>
      </c>
      <c r="AJ609" s="10">
        <f>IFERROR(VLOOKUP(B609,'Regiões Administrativas'!$A$1:$I$646,8,0),"")</f>
        <v>734.12665600000003</v>
      </c>
      <c r="AK609" s="10" t="str">
        <f>IFERROR(VLOOKUP(Form_Responses[[#This Row],[Município]],'Regiões Administrativas'!$A$1:$I$646,9,0),"")</f>
        <v>1J6S29)Jh3)p</v>
      </c>
    </row>
    <row r="610" spans="1:37" ht="22.5" customHeight="1">
      <c r="A610" s="18">
        <v>46101.412095497682</v>
      </c>
      <c r="B610" s="10" t="s">
        <v>790</v>
      </c>
      <c r="C610" s="10" t="s">
        <v>791</v>
      </c>
      <c r="D610" s="10" t="s">
        <v>3011</v>
      </c>
      <c r="E610" s="10" t="s">
        <v>3012</v>
      </c>
      <c r="G610" s="10" t="s">
        <v>3013</v>
      </c>
      <c r="I610" s="10" t="s">
        <v>109</v>
      </c>
      <c r="J610" s="16">
        <v>46102</v>
      </c>
      <c r="K610" s="16">
        <v>46103</v>
      </c>
      <c r="L610" s="17">
        <v>0.45833333333575865</v>
      </c>
      <c r="M610" s="17">
        <v>0.95833333333575865</v>
      </c>
      <c r="N610" s="10" t="s">
        <v>44</v>
      </c>
      <c r="O610" s="10" t="s">
        <v>190</v>
      </c>
      <c r="P610" s="10" t="s">
        <v>63</v>
      </c>
      <c r="Q610" s="10" t="s">
        <v>47</v>
      </c>
      <c r="R610" s="10" t="s">
        <v>74</v>
      </c>
      <c r="S610" s="19">
        <v>3000</v>
      </c>
      <c r="W610" s="10" t="s">
        <v>3014</v>
      </c>
      <c r="Y610" s="10" t="s">
        <v>795</v>
      </c>
      <c r="Z610" s="10" t="s">
        <v>66</v>
      </c>
      <c r="AA610" s="10" t="s">
        <v>66</v>
      </c>
      <c r="AB610" s="10" t="s">
        <v>66</v>
      </c>
      <c r="AC610" s="10" t="s">
        <v>68</v>
      </c>
      <c r="AD610" s="10" t="str">
        <f>IFERROR(VLOOKUP(B610,'Regiões Administrativas'!$A$1:$B$646,2,0),"")</f>
        <v>Campinas</v>
      </c>
      <c r="AE610" s="10">
        <f>IFERROR(VLOOKUP(Form_Responses[[#This Row],[Município]],'Regiões Administrativas'!$A$1:$I$646,3,0),"")</f>
        <v>15710</v>
      </c>
      <c r="AF610" s="10">
        <f>IFERROR(VLOOKUP(Form_Responses[[#This Row],[Município]],'Regiões Administrativas'!$A$1:$I$646,4,0),"")</f>
        <v>350950205000001</v>
      </c>
      <c r="AG610" s="10">
        <f>IFERROR(VLOOKUP(Form_Responses[[#This Row],[Município]],'Regiões Administrativas'!$A$1:$I$646,4,0),"")</f>
        <v>350950205000001</v>
      </c>
      <c r="AH610" s="10">
        <f>IFERROR(VLOOKUP(B610,'Regiões Administrativas'!$A$1:$I$646,5,0),"")</f>
        <v>3509502</v>
      </c>
      <c r="AI610" s="10">
        <f>IFERROR(VLOOKUP(B610,'Regiões Administrativas'!$A$1:$I$646,6,0),"")</f>
        <v>-47.060156300000003</v>
      </c>
      <c r="AJ610" s="10">
        <f>IFERROR(VLOOKUP(B610,'Regiões Administrativas'!$A$1:$I$646,8,0),"")</f>
        <v>688.98713699999996</v>
      </c>
      <c r="AK610" s="10" t="str">
        <f>IFERROR(VLOOKUP(Form_Responses[[#This Row],[Município]],'Regiões Administrativas'!$A$1:$I$646,9,0),"")</f>
        <v>1J6tL4:8Z?Sf</v>
      </c>
    </row>
    <row r="611" spans="1:37" ht="22.5" customHeight="1">
      <c r="A611" s="18">
        <v>46101.42218361111</v>
      </c>
      <c r="B611" s="10" t="s">
        <v>790</v>
      </c>
      <c r="C611" s="10" t="s">
        <v>791</v>
      </c>
      <c r="D611" s="10" t="s">
        <v>3015</v>
      </c>
      <c r="E611" s="10" t="s">
        <v>3016</v>
      </c>
      <c r="G611" s="10" t="s">
        <v>3017</v>
      </c>
      <c r="I611" s="10" t="s">
        <v>128</v>
      </c>
      <c r="J611" s="16">
        <v>46115</v>
      </c>
      <c r="K611" s="16">
        <v>46115</v>
      </c>
      <c r="L611" s="17">
        <v>0.75</v>
      </c>
      <c r="M611" s="17">
        <v>0.95833333333575865</v>
      </c>
      <c r="N611" s="10" t="s">
        <v>44</v>
      </c>
      <c r="O611" s="10" t="s">
        <v>221</v>
      </c>
      <c r="P611" s="10" t="s">
        <v>302</v>
      </c>
      <c r="Q611" s="10" t="s">
        <v>47</v>
      </c>
      <c r="R611" s="10" t="s">
        <v>74</v>
      </c>
      <c r="S611" s="19">
        <v>20000</v>
      </c>
      <c r="T611" s="19">
        <v>18000</v>
      </c>
      <c r="W611" s="10" t="s">
        <v>3018</v>
      </c>
      <c r="Y611" s="10" t="s">
        <v>795</v>
      </c>
      <c r="Z611" s="10" t="s">
        <v>66</v>
      </c>
      <c r="AA611" s="10" t="s">
        <v>66</v>
      </c>
      <c r="AB611" s="10" t="s">
        <v>66</v>
      </c>
      <c r="AC611" s="10" t="s">
        <v>68</v>
      </c>
      <c r="AD611" s="10" t="str">
        <f>IFERROR(VLOOKUP(B611,'Regiões Administrativas'!$A$1:$B$646,2,0),"")</f>
        <v>Campinas</v>
      </c>
      <c r="AE611" s="10">
        <f>IFERROR(VLOOKUP(Form_Responses[[#This Row],[Município]],'Regiões Administrativas'!$A$1:$I$646,3,0),"")</f>
        <v>15710</v>
      </c>
      <c r="AF611" s="10">
        <f>IFERROR(VLOOKUP(Form_Responses[[#This Row],[Município]],'Regiões Administrativas'!$A$1:$I$646,4,0),"")</f>
        <v>350950205000001</v>
      </c>
      <c r="AG611" s="10">
        <f>IFERROR(VLOOKUP(Form_Responses[[#This Row],[Município]],'Regiões Administrativas'!$A$1:$I$646,4,0),"")</f>
        <v>350950205000001</v>
      </c>
      <c r="AH611" s="10">
        <f>IFERROR(VLOOKUP(B611,'Regiões Administrativas'!$A$1:$I$646,5,0),"")</f>
        <v>3509502</v>
      </c>
      <c r="AI611" s="10">
        <f>IFERROR(VLOOKUP(B611,'Regiões Administrativas'!$A$1:$I$646,6,0),"")</f>
        <v>-47.060156300000003</v>
      </c>
      <c r="AJ611" s="10">
        <f>IFERROR(VLOOKUP(B611,'Regiões Administrativas'!$A$1:$I$646,8,0),"")</f>
        <v>688.98713699999996</v>
      </c>
      <c r="AK611" s="10" t="str">
        <f>IFERROR(VLOOKUP(Form_Responses[[#This Row],[Município]],'Regiões Administrativas'!$A$1:$I$646,9,0),"")</f>
        <v>1J6tL4:8Z?Sf</v>
      </c>
    </row>
    <row r="612" spans="1:37" ht="22.5" customHeight="1">
      <c r="A612" s="18">
        <v>46101.433139247689</v>
      </c>
      <c r="B612" s="10" t="s">
        <v>790</v>
      </c>
      <c r="C612" s="10" t="s">
        <v>791</v>
      </c>
      <c r="D612" s="10" t="s">
        <v>3019</v>
      </c>
      <c r="E612" s="10" t="s">
        <v>3020</v>
      </c>
      <c r="G612" s="10" t="s">
        <v>3021</v>
      </c>
      <c r="I612" s="10" t="s">
        <v>128</v>
      </c>
      <c r="J612" s="16">
        <v>46115</v>
      </c>
      <c r="K612" s="16">
        <v>46115</v>
      </c>
      <c r="L612" s="17">
        <v>0.41666666666424135</v>
      </c>
      <c r="M612" s="17">
        <v>0.70833333333575865</v>
      </c>
      <c r="N612" s="10" t="s">
        <v>44</v>
      </c>
      <c r="O612" s="10" t="s">
        <v>45</v>
      </c>
      <c r="P612" s="10" t="s">
        <v>302</v>
      </c>
      <c r="Q612" s="10" t="s">
        <v>47</v>
      </c>
      <c r="R612" s="10" t="s">
        <v>74</v>
      </c>
      <c r="S612" s="19">
        <v>3000</v>
      </c>
      <c r="W612" s="10" t="s">
        <v>3022</v>
      </c>
      <c r="Y612" s="10" t="s">
        <v>795</v>
      </c>
      <c r="Z612" s="10" t="s">
        <v>66</v>
      </c>
      <c r="AA612" s="10" t="s">
        <v>66</v>
      </c>
      <c r="AB612" s="10" t="s">
        <v>66</v>
      </c>
      <c r="AC612" s="10" t="s">
        <v>68</v>
      </c>
      <c r="AD612" s="10" t="str">
        <f>IFERROR(VLOOKUP(B612,'Regiões Administrativas'!$A$1:$B$646,2,0),"")</f>
        <v>Campinas</v>
      </c>
      <c r="AE612" s="10">
        <f>IFERROR(VLOOKUP(Form_Responses[[#This Row],[Município]],'Regiões Administrativas'!$A$1:$I$646,3,0),"")</f>
        <v>15710</v>
      </c>
      <c r="AF612" s="10">
        <f>IFERROR(VLOOKUP(Form_Responses[[#This Row],[Município]],'Regiões Administrativas'!$A$1:$I$646,4,0),"")</f>
        <v>350950205000001</v>
      </c>
      <c r="AG612" s="10">
        <f>IFERROR(VLOOKUP(Form_Responses[[#This Row],[Município]],'Regiões Administrativas'!$A$1:$I$646,4,0),"")</f>
        <v>350950205000001</v>
      </c>
      <c r="AH612" s="10">
        <f>IFERROR(VLOOKUP(B612,'Regiões Administrativas'!$A$1:$I$646,5,0),"")</f>
        <v>3509502</v>
      </c>
      <c r="AI612" s="10">
        <f>IFERROR(VLOOKUP(B612,'Regiões Administrativas'!$A$1:$I$646,6,0),"")</f>
        <v>-47.060156300000003</v>
      </c>
      <c r="AJ612" s="10">
        <f>IFERROR(VLOOKUP(B612,'Regiões Administrativas'!$A$1:$I$646,8,0),"")</f>
        <v>688.98713699999996</v>
      </c>
      <c r="AK612" s="10" t="str">
        <f>IFERROR(VLOOKUP(Form_Responses[[#This Row],[Município]],'Regiões Administrativas'!$A$1:$I$646,9,0),"")</f>
        <v>1J6tL4:8Z?Sf</v>
      </c>
    </row>
    <row r="613" spans="1:37" ht="22.5" customHeight="1">
      <c r="A613" s="18">
        <v>46101.452549583337</v>
      </c>
      <c r="B613" s="10" t="s">
        <v>1247</v>
      </c>
      <c r="C613" s="10" t="s">
        <v>115</v>
      </c>
      <c r="D613" s="10" t="s">
        <v>3023</v>
      </c>
      <c r="E613" s="10" t="s">
        <v>3024</v>
      </c>
      <c r="G613" s="10" t="s">
        <v>3025</v>
      </c>
      <c r="I613" s="10" t="s">
        <v>109</v>
      </c>
      <c r="J613" s="16">
        <v>46109</v>
      </c>
      <c r="K613" s="16">
        <v>46109</v>
      </c>
      <c r="L613" s="17">
        <v>0.83333333333575865</v>
      </c>
      <c r="M613" s="17">
        <v>0</v>
      </c>
      <c r="N613" s="10" t="s">
        <v>44</v>
      </c>
      <c r="O613" s="10" t="s">
        <v>142</v>
      </c>
      <c r="P613" s="10" t="s">
        <v>63</v>
      </c>
      <c r="Q613" s="10" t="s">
        <v>47</v>
      </c>
      <c r="R613" s="10" t="s">
        <v>74</v>
      </c>
      <c r="S613" s="10">
        <v>2000</v>
      </c>
      <c r="T613" s="10">
        <v>0</v>
      </c>
      <c r="U613" s="10">
        <v>0</v>
      </c>
      <c r="V613" s="10">
        <v>0</v>
      </c>
      <c r="W613" s="10" t="s">
        <v>3026</v>
      </c>
      <c r="Y613" s="10" t="s">
        <v>3027</v>
      </c>
      <c r="Z613" s="10" t="s">
        <v>76</v>
      </c>
      <c r="AA613" s="10" t="s">
        <v>67</v>
      </c>
      <c r="AB613" s="10" t="s">
        <v>66</v>
      </c>
      <c r="AC613" s="10" t="s">
        <v>55</v>
      </c>
      <c r="AD613" s="10" t="str">
        <f>IFERROR(VLOOKUP(B613,'Regiões Administrativas'!$A$1:$B$646,2,0),"")</f>
        <v>Itapeva</v>
      </c>
      <c r="AE613" s="10">
        <f>IFERROR(VLOOKUP(Form_Responses[[#This Row],[Município]],'Regiões Administrativas'!$A$1:$I$646,3,0),"")</f>
        <v>16818</v>
      </c>
      <c r="AF613" s="10">
        <f>IFERROR(VLOOKUP(Form_Responses[[#This Row],[Município]],'Regiões Administrativas'!$A$1:$I$646,4,0),"")</f>
        <v>353880805000001</v>
      </c>
      <c r="AG613" s="10">
        <f>IFERROR(VLOOKUP(Form_Responses[[#This Row],[Município]],'Regiões Administrativas'!$A$1:$I$646,4,0),"")</f>
        <v>353880805000001</v>
      </c>
      <c r="AH613" s="10">
        <f>IFERROR(VLOOKUP(B613,'Regiões Administrativas'!$A$1:$I$646,5,0),"")</f>
        <v>3538808</v>
      </c>
      <c r="AI613" s="10">
        <f>IFERROR(VLOOKUP(B613,'Regiões Administrativas'!$A$1:$I$646,6,0),"")</f>
        <v>-49.383974500000001</v>
      </c>
      <c r="AJ613" s="10">
        <f>IFERROR(VLOOKUP(B613,'Regiões Administrativas'!$A$1:$I$646,8,0),"")</f>
        <v>555.89249900000004</v>
      </c>
      <c r="AK613" s="10" t="str">
        <f>IFERROR(VLOOKUP(Form_Responses[[#This Row],[Município]],'Regiões Administrativas'!$A$1:$I$646,9,0),"")</f>
        <v>1J6RWtOj+j^f</v>
      </c>
    </row>
    <row r="614" spans="1:37" ht="22.5" customHeight="1">
      <c r="A614" s="18">
        <v>46101.454887546293</v>
      </c>
      <c r="B614" s="10" t="s">
        <v>790</v>
      </c>
      <c r="C614" s="10" t="s">
        <v>791</v>
      </c>
      <c r="D614" s="10" t="s">
        <v>3028</v>
      </c>
      <c r="E614" s="10" t="s">
        <v>3029</v>
      </c>
      <c r="G614" s="10" t="s">
        <v>794</v>
      </c>
      <c r="H614" s="72" t="s">
        <v>3030</v>
      </c>
      <c r="I614" s="10" t="s">
        <v>128</v>
      </c>
      <c r="J614" s="16">
        <v>46122</v>
      </c>
      <c r="K614" s="16">
        <v>46145</v>
      </c>
      <c r="L614" s="17">
        <v>0.70833333333575865</v>
      </c>
      <c r="M614" s="17">
        <v>0.91666666666424135</v>
      </c>
      <c r="N614" s="10" t="s">
        <v>73</v>
      </c>
      <c r="O614" s="10" t="s">
        <v>190</v>
      </c>
      <c r="P614" s="10" t="s">
        <v>63</v>
      </c>
      <c r="Q614" s="10" t="s">
        <v>47</v>
      </c>
      <c r="R614" s="10" t="s">
        <v>74</v>
      </c>
      <c r="S614" s="19">
        <v>6000</v>
      </c>
      <c r="W614" s="10" t="s">
        <v>3031</v>
      </c>
      <c r="Y614" s="10" t="s">
        <v>795</v>
      </c>
      <c r="Z614" s="10" t="s">
        <v>992</v>
      </c>
      <c r="AA614" s="10" t="s">
        <v>66</v>
      </c>
      <c r="AB614" s="10" t="s">
        <v>66</v>
      </c>
      <c r="AC614" s="10" t="s">
        <v>68</v>
      </c>
      <c r="AD614" s="10" t="str">
        <f>IFERROR(VLOOKUP(B614,'Regiões Administrativas'!$A$1:$B$646,2,0),"")</f>
        <v>Campinas</v>
      </c>
      <c r="AE614" s="10">
        <f>IFERROR(VLOOKUP(Form_Responses[[#This Row],[Município]],'Regiões Administrativas'!$A$1:$I$646,3,0),"")</f>
        <v>15710</v>
      </c>
      <c r="AF614" s="10">
        <f>IFERROR(VLOOKUP(Form_Responses[[#This Row],[Município]],'Regiões Administrativas'!$A$1:$I$646,4,0),"")</f>
        <v>350950205000001</v>
      </c>
      <c r="AG614" s="10">
        <f>IFERROR(VLOOKUP(Form_Responses[[#This Row],[Município]],'Regiões Administrativas'!$A$1:$I$646,4,0),"")</f>
        <v>350950205000001</v>
      </c>
      <c r="AH614" s="10">
        <f>IFERROR(VLOOKUP(B614,'Regiões Administrativas'!$A$1:$I$646,5,0),"")</f>
        <v>3509502</v>
      </c>
      <c r="AI614" s="10">
        <f>IFERROR(VLOOKUP(B614,'Regiões Administrativas'!$A$1:$I$646,6,0),"")</f>
        <v>-47.060156300000003</v>
      </c>
      <c r="AJ614" s="10">
        <f>IFERROR(VLOOKUP(B614,'Regiões Administrativas'!$A$1:$I$646,8,0),"")</f>
        <v>688.98713699999996</v>
      </c>
      <c r="AK614" s="10" t="str">
        <f>IFERROR(VLOOKUP(Form_Responses[[#This Row],[Município]],'Regiões Administrativas'!$A$1:$I$646,9,0),"")</f>
        <v>1J6tL4:8Z?Sf</v>
      </c>
    </row>
    <row r="615" spans="1:37" ht="22.5" customHeight="1">
      <c r="A615" s="18">
        <v>46101.458626631946</v>
      </c>
      <c r="B615" s="10" t="s">
        <v>790</v>
      </c>
      <c r="C615" s="10" t="s">
        <v>791</v>
      </c>
      <c r="D615" s="10" t="s">
        <v>3032</v>
      </c>
      <c r="E615" s="10" t="s">
        <v>3033</v>
      </c>
      <c r="G615" s="10" t="s">
        <v>3034</v>
      </c>
      <c r="I615" s="10" t="s">
        <v>128</v>
      </c>
      <c r="J615" s="16">
        <v>46122</v>
      </c>
      <c r="K615" s="16">
        <v>46124</v>
      </c>
      <c r="L615" s="17">
        <v>0.45833333333575865</v>
      </c>
      <c r="M615" s="17">
        <v>0.91666666666424135</v>
      </c>
      <c r="N615" s="10" t="s">
        <v>73</v>
      </c>
      <c r="O615" s="10" t="s">
        <v>190</v>
      </c>
      <c r="P615" s="10" t="s">
        <v>63</v>
      </c>
      <c r="Q615" s="10" t="s">
        <v>365</v>
      </c>
      <c r="R615" s="10" t="s">
        <v>74</v>
      </c>
      <c r="S615" s="19">
        <v>10000</v>
      </c>
      <c r="W615" s="10" t="s">
        <v>3035</v>
      </c>
      <c r="Y615" s="10" t="s">
        <v>3036</v>
      </c>
      <c r="Z615" s="10" t="s">
        <v>66</v>
      </c>
      <c r="AA615" s="10" t="s">
        <v>66</v>
      </c>
      <c r="AB615" s="10" t="s">
        <v>66</v>
      </c>
      <c r="AC615" s="10" t="s">
        <v>68</v>
      </c>
      <c r="AD615" s="10" t="str">
        <f>IFERROR(VLOOKUP(B615,'Regiões Administrativas'!$A$1:$B$646,2,0),"")</f>
        <v>Campinas</v>
      </c>
      <c r="AE615" s="10">
        <f>IFERROR(VLOOKUP(Form_Responses[[#This Row],[Município]],'Regiões Administrativas'!$A$1:$I$646,3,0),"")</f>
        <v>15710</v>
      </c>
      <c r="AF615" s="10">
        <f>IFERROR(VLOOKUP(Form_Responses[[#This Row],[Município]],'Regiões Administrativas'!$A$1:$I$646,4,0),"")</f>
        <v>350950205000001</v>
      </c>
      <c r="AG615" s="10">
        <f>IFERROR(VLOOKUP(Form_Responses[[#This Row],[Município]],'Regiões Administrativas'!$A$1:$I$646,4,0),"")</f>
        <v>350950205000001</v>
      </c>
      <c r="AH615" s="10">
        <f>IFERROR(VLOOKUP(B615,'Regiões Administrativas'!$A$1:$I$646,5,0),"")</f>
        <v>3509502</v>
      </c>
      <c r="AI615" s="10">
        <f>IFERROR(VLOOKUP(B615,'Regiões Administrativas'!$A$1:$I$646,6,0),"")</f>
        <v>-47.060156300000003</v>
      </c>
      <c r="AJ615" s="10">
        <f>IFERROR(VLOOKUP(B615,'Regiões Administrativas'!$A$1:$I$646,8,0),"")</f>
        <v>688.98713699999996</v>
      </c>
      <c r="AK615" s="10" t="str">
        <f>IFERROR(VLOOKUP(Form_Responses[[#This Row],[Município]],'Regiões Administrativas'!$A$1:$I$646,9,0),"")</f>
        <v>1J6tL4:8Z?Sf</v>
      </c>
    </row>
    <row r="616" spans="1:37" ht="22.5" customHeight="1">
      <c r="A616" s="18">
        <v>46101.465925208337</v>
      </c>
      <c r="B616" s="10" t="s">
        <v>790</v>
      </c>
      <c r="C616" s="10" t="s">
        <v>791</v>
      </c>
      <c r="D616" s="10" t="s">
        <v>3037</v>
      </c>
      <c r="E616" s="10" t="s">
        <v>3038</v>
      </c>
      <c r="G616" s="10" t="s">
        <v>3039</v>
      </c>
      <c r="I616" s="10" t="s">
        <v>128</v>
      </c>
      <c r="J616" s="16">
        <v>46116</v>
      </c>
      <c r="K616" s="16">
        <v>46116</v>
      </c>
      <c r="L616" s="17">
        <v>0.375</v>
      </c>
      <c r="M616" s="17">
        <v>0.70833333333575865</v>
      </c>
      <c r="N616" s="10" t="s">
        <v>44</v>
      </c>
      <c r="O616" s="10" t="s">
        <v>45</v>
      </c>
      <c r="P616" s="10" t="s">
        <v>221</v>
      </c>
      <c r="Q616" s="10" t="s">
        <v>47</v>
      </c>
      <c r="R616" s="10" t="s">
        <v>74</v>
      </c>
      <c r="S616" s="19">
        <v>2000</v>
      </c>
      <c r="W616" s="10" t="s">
        <v>3040</v>
      </c>
      <c r="Y616" s="10" t="s">
        <v>795</v>
      </c>
      <c r="Z616" s="10" t="s">
        <v>66</v>
      </c>
      <c r="AA616" s="10" t="s">
        <v>66</v>
      </c>
      <c r="AB616" s="10" t="s">
        <v>66</v>
      </c>
      <c r="AC616" s="10" t="s">
        <v>68</v>
      </c>
      <c r="AD616" s="10" t="str">
        <f>IFERROR(VLOOKUP(B616,'Regiões Administrativas'!$A$1:$B$646,2,0),"")</f>
        <v>Campinas</v>
      </c>
      <c r="AE616" s="10">
        <f>IFERROR(VLOOKUP(Form_Responses[[#This Row],[Município]],'Regiões Administrativas'!$A$1:$I$646,3,0),"")</f>
        <v>15710</v>
      </c>
      <c r="AF616" s="10">
        <f>IFERROR(VLOOKUP(Form_Responses[[#This Row],[Município]],'Regiões Administrativas'!$A$1:$I$646,4,0),"")</f>
        <v>350950205000001</v>
      </c>
      <c r="AG616" s="10">
        <f>IFERROR(VLOOKUP(Form_Responses[[#This Row],[Município]],'Regiões Administrativas'!$A$1:$I$646,4,0),"")</f>
        <v>350950205000001</v>
      </c>
      <c r="AH616" s="10">
        <f>IFERROR(VLOOKUP(B616,'Regiões Administrativas'!$A$1:$I$646,5,0),"")</f>
        <v>3509502</v>
      </c>
      <c r="AI616" s="10">
        <f>IFERROR(VLOOKUP(B616,'Regiões Administrativas'!$A$1:$I$646,6,0),"")</f>
        <v>-47.060156300000003</v>
      </c>
      <c r="AJ616" s="10">
        <f>IFERROR(VLOOKUP(B616,'Regiões Administrativas'!$A$1:$I$646,8,0),"")</f>
        <v>688.98713699999996</v>
      </c>
      <c r="AK616" s="10" t="str">
        <f>IFERROR(VLOOKUP(Form_Responses[[#This Row],[Município]],'Regiões Administrativas'!$A$1:$I$646,9,0),"")</f>
        <v>1J6tL4:8Z?Sf</v>
      </c>
    </row>
    <row r="617" spans="1:37" ht="22.5" customHeight="1">
      <c r="A617" s="18">
        <v>46101.467585520833</v>
      </c>
      <c r="B617" s="10" t="s">
        <v>1247</v>
      </c>
      <c r="C617" s="10" t="s">
        <v>115</v>
      </c>
      <c r="D617" s="10" t="s">
        <v>3041</v>
      </c>
      <c r="E617" s="10" t="s">
        <v>3042</v>
      </c>
      <c r="G617" s="10" t="s">
        <v>3043</v>
      </c>
      <c r="I617" s="10" t="s">
        <v>128</v>
      </c>
      <c r="J617" s="16">
        <v>46143</v>
      </c>
      <c r="K617" s="16">
        <v>46145</v>
      </c>
      <c r="L617" s="17">
        <v>0.33333333333575865</v>
      </c>
      <c r="M617" s="17">
        <v>0.70833333333575865</v>
      </c>
      <c r="N617" s="10" t="s">
        <v>61</v>
      </c>
      <c r="O617" s="10" t="s">
        <v>62</v>
      </c>
      <c r="P617" s="10" t="s">
        <v>63</v>
      </c>
      <c r="Q617" s="10" t="s">
        <v>47</v>
      </c>
      <c r="R617" s="10" t="s">
        <v>48</v>
      </c>
      <c r="S617" s="19">
        <v>2500</v>
      </c>
      <c r="T617" s="19">
        <v>2000</v>
      </c>
      <c r="U617" s="10">
        <v>0</v>
      </c>
      <c r="V617" s="10">
        <v>0</v>
      </c>
      <c r="W617" s="10" t="s">
        <v>3044</v>
      </c>
      <c r="Y617" s="72" t="s">
        <v>3045</v>
      </c>
      <c r="Z617" s="10" t="s">
        <v>66</v>
      </c>
      <c r="AA617" s="10" t="s">
        <v>225</v>
      </c>
      <c r="AB617" s="10" t="s">
        <v>66</v>
      </c>
      <c r="AC617" s="10" t="s">
        <v>68</v>
      </c>
      <c r="AD617" s="10" t="str">
        <f>IFERROR(VLOOKUP(B617,'Regiões Administrativas'!$A$1:$B$646,2,0),"")</f>
        <v>Itapeva</v>
      </c>
      <c r="AE617" s="10">
        <f>IFERROR(VLOOKUP(Form_Responses[[#This Row],[Município]],'Regiões Administrativas'!$A$1:$I$646,3,0),"")</f>
        <v>16818</v>
      </c>
      <c r="AF617" s="10">
        <f>IFERROR(VLOOKUP(Form_Responses[[#This Row],[Município]],'Regiões Administrativas'!$A$1:$I$646,4,0),"")</f>
        <v>353880805000001</v>
      </c>
      <c r="AG617" s="10">
        <f>IFERROR(VLOOKUP(Form_Responses[[#This Row],[Município]],'Regiões Administrativas'!$A$1:$I$646,4,0),"")</f>
        <v>353880805000001</v>
      </c>
      <c r="AH617" s="10">
        <f>IFERROR(VLOOKUP(B617,'Regiões Administrativas'!$A$1:$I$646,5,0),"")</f>
        <v>3538808</v>
      </c>
      <c r="AI617" s="10">
        <f>IFERROR(VLOOKUP(B617,'Regiões Administrativas'!$A$1:$I$646,6,0),"")</f>
        <v>-49.383974500000001</v>
      </c>
      <c r="AJ617" s="10">
        <f>IFERROR(VLOOKUP(B617,'Regiões Administrativas'!$A$1:$I$646,8,0),"")</f>
        <v>555.89249900000004</v>
      </c>
      <c r="AK617" s="10" t="str">
        <f>IFERROR(VLOOKUP(Form_Responses[[#This Row],[Município]],'Regiões Administrativas'!$A$1:$I$646,9,0),"")</f>
        <v>1J6RWtOj+j^f</v>
      </c>
    </row>
    <row r="618" spans="1:37" ht="22.5" customHeight="1">
      <c r="A618" s="18">
        <v>46101.469987615739</v>
      </c>
      <c r="B618" s="10" t="s">
        <v>790</v>
      </c>
      <c r="C618" s="10" t="s">
        <v>791</v>
      </c>
      <c r="D618" s="10" t="s">
        <v>3046</v>
      </c>
      <c r="E618" s="10" t="s">
        <v>3047</v>
      </c>
      <c r="G618" s="10" t="s">
        <v>3048</v>
      </c>
      <c r="I618" s="10" t="s">
        <v>220</v>
      </c>
      <c r="J618" s="16">
        <v>46142</v>
      </c>
      <c r="K618" s="16">
        <v>46145</v>
      </c>
      <c r="L618" s="17">
        <v>0.5</v>
      </c>
      <c r="M618" s="17">
        <v>0.91666666666424135</v>
      </c>
      <c r="N618" s="10" t="s">
        <v>44</v>
      </c>
      <c r="O618" s="10" t="s">
        <v>190</v>
      </c>
      <c r="P618" s="10" t="s">
        <v>63</v>
      </c>
      <c r="Q618" s="10" t="s">
        <v>47</v>
      </c>
      <c r="R618" s="10" t="s">
        <v>74</v>
      </c>
      <c r="S618" s="19">
        <v>6000</v>
      </c>
      <c r="W618" s="10" t="s">
        <v>3049</v>
      </c>
      <c r="Y618" s="10" t="s">
        <v>795</v>
      </c>
      <c r="Z618" s="10" t="s">
        <v>66</v>
      </c>
      <c r="AA618" s="10" t="s">
        <v>66</v>
      </c>
      <c r="AB618" s="10" t="s">
        <v>66</v>
      </c>
      <c r="AC618" s="10" t="s">
        <v>68</v>
      </c>
      <c r="AD618" s="10" t="str">
        <f>IFERROR(VLOOKUP(B618,'Regiões Administrativas'!$A$1:$B$646,2,0),"")</f>
        <v>Campinas</v>
      </c>
      <c r="AE618" s="10">
        <f>IFERROR(VLOOKUP(Form_Responses[[#This Row],[Município]],'Regiões Administrativas'!$A$1:$I$646,3,0),"")</f>
        <v>15710</v>
      </c>
      <c r="AF618" s="10">
        <f>IFERROR(VLOOKUP(Form_Responses[[#This Row],[Município]],'Regiões Administrativas'!$A$1:$I$646,4,0),"")</f>
        <v>350950205000001</v>
      </c>
      <c r="AG618" s="10">
        <f>IFERROR(VLOOKUP(Form_Responses[[#This Row],[Município]],'Regiões Administrativas'!$A$1:$I$646,4,0),"")</f>
        <v>350950205000001</v>
      </c>
      <c r="AH618" s="10">
        <f>IFERROR(VLOOKUP(B618,'Regiões Administrativas'!$A$1:$I$646,5,0),"")</f>
        <v>3509502</v>
      </c>
      <c r="AI618" s="10">
        <f>IFERROR(VLOOKUP(B618,'Regiões Administrativas'!$A$1:$I$646,6,0),"")</f>
        <v>-47.060156300000003</v>
      </c>
      <c r="AJ618" s="10">
        <f>IFERROR(VLOOKUP(B618,'Regiões Administrativas'!$A$1:$I$646,8,0),"")</f>
        <v>688.98713699999996</v>
      </c>
      <c r="AK618" s="10" t="str">
        <f>IFERROR(VLOOKUP(Form_Responses[[#This Row],[Município]],'Regiões Administrativas'!$A$1:$I$646,9,0),"")</f>
        <v>1J6tL4:8Z?Sf</v>
      </c>
    </row>
    <row r="619" spans="1:37" ht="22.5" customHeight="1">
      <c r="A619" s="18">
        <v>46101.471599965276</v>
      </c>
      <c r="B619" s="10" t="s">
        <v>3050</v>
      </c>
      <c r="C619" s="10" t="s">
        <v>791</v>
      </c>
      <c r="D619" s="10" t="s">
        <v>3051</v>
      </c>
      <c r="E619" s="10" t="s">
        <v>3052</v>
      </c>
      <c r="G619" s="10" t="s">
        <v>3053</v>
      </c>
      <c r="I619" s="10" t="s">
        <v>109</v>
      </c>
      <c r="J619" s="16">
        <v>46110</v>
      </c>
      <c r="N619" s="10" t="s">
        <v>44</v>
      </c>
      <c r="O619" s="10" t="s">
        <v>45</v>
      </c>
      <c r="P619" s="10" t="s">
        <v>63</v>
      </c>
      <c r="Q619" s="10" t="s">
        <v>47</v>
      </c>
      <c r="R619" s="10" t="s">
        <v>256</v>
      </c>
      <c r="S619" s="10">
        <v>2000</v>
      </c>
      <c r="T619" s="10">
        <v>2000</v>
      </c>
      <c r="W619" s="10" t="s">
        <v>3054</v>
      </c>
      <c r="Y619" s="72" t="s">
        <v>3055</v>
      </c>
      <c r="Z619" s="10" t="s">
        <v>76</v>
      </c>
      <c r="AA619" s="10" t="s">
        <v>113</v>
      </c>
      <c r="AB619" s="10" t="s">
        <v>66</v>
      </c>
      <c r="AC619" s="10" t="s">
        <v>68</v>
      </c>
      <c r="AD619" s="10" t="str">
        <f>IFERROR(VLOOKUP(B619,'Regiões Administrativas'!$A$1:$B$646,2,0),"")</f>
        <v>Campinas</v>
      </c>
      <c r="AE619" s="10">
        <f>IFERROR(VLOOKUP(Form_Responses[[#This Row],[Município]],'Regiões Administrativas'!$A$1:$I$646,3,0),"")</f>
        <v>15370</v>
      </c>
      <c r="AF619" s="10">
        <f>IFERROR(VLOOKUP(Form_Responses[[#This Row],[Município]],'Regiões Administrativas'!$A$1:$I$646,4,0),"")</f>
        <v>350160805000001</v>
      </c>
      <c r="AG619" s="10">
        <f>IFERROR(VLOOKUP(Form_Responses[[#This Row],[Município]],'Regiões Administrativas'!$A$1:$I$646,4,0),"")</f>
        <v>350160805000001</v>
      </c>
      <c r="AH619" s="10">
        <f>IFERROR(VLOOKUP(B619,'Regiões Administrativas'!$A$1:$I$646,5,0),"")</f>
        <v>3501608</v>
      </c>
      <c r="AI619" s="10">
        <f>IFERROR(VLOOKUP(B619,'Regiões Administrativas'!$A$1:$I$646,6,0),"")</f>
        <v>-47.330362899999997</v>
      </c>
      <c r="AJ619" s="10">
        <f>IFERROR(VLOOKUP(B619,'Regiões Administrativas'!$A$1:$I$646,8,0),"")</f>
        <v>550.36578499999996</v>
      </c>
      <c r="AK619" s="10" t="str">
        <f>IFERROR(VLOOKUP(Form_Responses[[#This Row],[Município]],'Regiões Administrativas'!$A$1:$I$646,9,0),"")</f>
        <v>1J6thLYg1]L-</v>
      </c>
    </row>
    <row r="620" spans="1:37" ht="22.5" customHeight="1">
      <c r="A620" s="18">
        <v>46101.473942812503</v>
      </c>
      <c r="B620" s="10" t="s">
        <v>1247</v>
      </c>
      <c r="C620" s="10" t="s">
        <v>115</v>
      </c>
      <c r="D620" s="10" t="s">
        <v>3056</v>
      </c>
      <c r="E620" s="10" t="s">
        <v>3057</v>
      </c>
      <c r="G620" s="10" t="s">
        <v>3058</v>
      </c>
      <c r="I620" s="10" t="s">
        <v>220</v>
      </c>
      <c r="J620" s="16">
        <v>46144</v>
      </c>
      <c r="K620" s="16">
        <v>46145</v>
      </c>
      <c r="L620" s="17">
        <v>0.41666666666424135</v>
      </c>
      <c r="M620" s="17">
        <v>0.79166666666424135</v>
      </c>
      <c r="N620" s="10" t="s">
        <v>268</v>
      </c>
      <c r="O620" s="10" t="s">
        <v>45</v>
      </c>
      <c r="P620" s="10" t="s">
        <v>63</v>
      </c>
      <c r="Q620" s="10" t="s">
        <v>47</v>
      </c>
      <c r="R620" s="10" t="s">
        <v>74</v>
      </c>
      <c r="S620" s="10">
        <v>2000</v>
      </c>
      <c r="T620" s="10">
        <v>1300</v>
      </c>
      <c r="U620" s="10">
        <v>1200</v>
      </c>
      <c r="V620" s="10">
        <v>1200</v>
      </c>
      <c r="W620" s="10" t="s">
        <v>3059</v>
      </c>
      <c r="Y620" s="10" t="s">
        <v>3060</v>
      </c>
      <c r="Z620" s="10" t="s">
        <v>76</v>
      </c>
      <c r="AA620" s="10" t="s">
        <v>113</v>
      </c>
      <c r="AB620" s="10" t="s">
        <v>66</v>
      </c>
      <c r="AC620" s="10" t="s">
        <v>68</v>
      </c>
      <c r="AD620" s="10" t="str">
        <f>IFERROR(VLOOKUP(B620,'Regiões Administrativas'!$A$1:$B$646,2,0),"")</f>
        <v>Itapeva</v>
      </c>
      <c r="AE620" s="10">
        <f>IFERROR(VLOOKUP(Form_Responses[[#This Row],[Município]],'Regiões Administrativas'!$A$1:$I$646,3,0),"")</f>
        <v>16818</v>
      </c>
      <c r="AF620" s="10">
        <f>IFERROR(VLOOKUP(Form_Responses[[#This Row],[Município]],'Regiões Administrativas'!$A$1:$I$646,4,0),"")</f>
        <v>353880805000001</v>
      </c>
      <c r="AG620" s="10">
        <f>IFERROR(VLOOKUP(Form_Responses[[#This Row],[Município]],'Regiões Administrativas'!$A$1:$I$646,4,0),"")</f>
        <v>353880805000001</v>
      </c>
      <c r="AH620" s="10">
        <f>IFERROR(VLOOKUP(B620,'Regiões Administrativas'!$A$1:$I$646,5,0),"")</f>
        <v>3538808</v>
      </c>
      <c r="AI620" s="10">
        <f>IFERROR(VLOOKUP(B620,'Regiões Administrativas'!$A$1:$I$646,6,0),"")</f>
        <v>-49.383974500000001</v>
      </c>
      <c r="AJ620" s="10">
        <f>IFERROR(VLOOKUP(B620,'Regiões Administrativas'!$A$1:$I$646,8,0),"")</f>
        <v>555.89249900000004</v>
      </c>
      <c r="AK620" s="10" t="str">
        <f>IFERROR(VLOOKUP(Form_Responses[[#This Row],[Município]],'Regiões Administrativas'!$A$1:$I$646,9,0),"")</f>
        <v>1J6RWtOj+j^f</v>
      </c>
    </row>
    <row r="621" spans="1:37" ht="22.5" customHeight="1">
      <c r="A621" s="18">
        <v>46101.475386226855</v>
      </c>
      <c r="B621" s="10" t="s">
        <v>790</v>
      </c>
      <c r="C621" s="10" t="s">
        <v>791</v>
      </c>
      <c r="D621" s="10" t="s">
        <v>3061</v>
      </c>
      <c r="E621" s="10" t="s">
        <v>3062</v>
      </c>
      <c r="G621" s="10" t="s">
        <v>3034</v>
      </c>
      <c r="I621" s="10" t="s">
        <v>60</v>
      </c>
      <c r="J621" s="16">
        <v>46176</v>
      </c>
      <c r="K621" s="16">
        <v>46180</v>
      </c>
      <c r="L621" s="17">
        <v>0.5</v>
      </c>
      <c r="M621" s="17">
        <v>0.91666666666424135</v>
      </c>
      <c r="N621" s="10" t="s">
        <v>44</v>
      </c>
      <c r="O621" s="10" t="s">
        <v>190</v>
      </c>
      <c r="P621" s="10" t="s">
        <v>63</v>
      </c>
      <c r="Q621" s="10" t="s">
        <v>47</v>
      </c>
      <c r="R621" s="10" t="s">
        <v>74</v>
      </c>
      <c r="S621" s="19">
        <v>10000</v>
      </c>
      <c r="W621" s="10" t="s">
        <v>3063</v>
      </c>
      <c r="Y621" s="10" t="s">
        <v>3064</v>
      </c>
      <c r="Z621" s="10" t="s">
        <v>66</v>
      </c>
      <c r="AA621" s="10" t="s">
        <v>66</v>
      </c>
      <c r="AB621" s="10" t="s">
        <v>66</v>
      </c>
      <c r="AC621" s="10" t="s">
        <v>68</v>
      </c>
      <c r="AD621" s="10" t="str">
        <f>IFERROR(VLOOKUP(B621,'Regiões Administrativas'!$A$1:$B$646,2,0),"")</f>
        <v>Campinas</v>
      </c>
      <c r="AE621" s="10">
        <f>IFERROR(VLOOKUP(Form_Responses[[#This Row],[Município]],'Regiões Administrativas'!$A$1:$I$646,3,0),"")</f>
        <v>15710</v>
      </c>
      <c r="AF621" s="10">
        <f>IFERROR(VLOOKUP(Form_Responses[[#This Row],[Município]],'Regiões Administrativas'!$A$1:$I$646,4,0),"")</f>
        <v>350950205000001</v>
      </c>
      <c r="AG621" s="10">
        <f>IFERROR(VLOOKUP(Form_Responses[[#This Row],[Município]],'Regiões Administrativas'!$A$1:$I$646,4,0),"")</f>
        <v>350950205000001</v>
      </c>
      <c r="AH621" s="10">
        <f>IFERROR(VLOOKUP(B621,'Regiões Administrativas'!$A$1:$I$646,5,0),"")</f>
        <v>3509502</v>
      </c>
      <c r="AI621" s="10">
        <f>IFERROR(VLOOKUP(B621,'Regiões Administrativas'!$A$1:$I$646,6,0),"")</f>
        <v>-47.060156300000003</v>
      </c>
      <c r="AJ621" s="10">
        <f>IFERROR(VLOOKUP(B621,'Regiões Administrativas'!$A$1:$I$646,8,0),"")</f>
        <v>688.98713699999996</v>
      </c>
      <c r="AK621" s="10" t="str">
        <f>IFERROR(VLOOKUP(Form_Responses[[#This Row],[Município]],'Regiões Administrativas'!$A$1:$I$646,9,0),"")</f>
        <v>1J6tL4:8Z?Sf</v>
      </c>
    </row>
    <row r="622" spans="1:37" ht="22.5" customHeight="1">
      <c r="A622" s="18">
        <v>46101.477476400461</v>
      </c>
      <c r="B622" s="10" t="s">
        <v>3050</v>
      </c>
      <c r="C622" s="10" t="s">
        <v>791</v>
      </c>
      <c r="D622" s="10" t="s">
        <v>3065</v>
      </c>
      <c r="E622" s="10" t="s">
        <v>3066</v>
      </c>
      <c r="G622" s="10" t="s">
        <v>3067</v>
      </c>
      <c r="I622" s="10" t="s">
        <v>128</v>
      </c>
      <c r="J622" s="16">
        <v>46122</v>
      </c>
      <c r="K622" s="16">
        <v>46124</v>
      </c>
      <c r="N622" s="10" t="s">
        <v>44</v>
      </c>
      <c r="O622" s="10" t="s">
        <v>190</v>
      </c>
      <c r="P622" s="10" t="s">
        <v>63</v>
      </c>
      <c r="Q622" s="10" t="s">
        <v>47</v>
      </c>
      <c r="R622" s="10" t="s">
        <v>74</v>
      </c>
      <c r="S622" s="10">
        <v>20000</v>
      </c>
      <c r="T622" s="10">
        <v>15000</v>
      </c>
      <c r="W622" s="10" t="s">
        <v>3054</v>
      </c>
      <c r="Y622" s="72" t="s">
        <v>3055</v>
      </c>
      <c r="Z622" s="10" t="s">
        <v>76</v>
      </c>
      <c r="AA622" s="10" t="s">
        <v>475</v>
      </c>
      <c r="AB622" s="10" t="s">
        <v>66</v>
      </c>
      <c r="AC622" s="10" t="s">
        <v>68</v>
      </c>
      <c r="AD622" s="10" t="str">
        <f>IFERROR(VLOOKUP(B622,'Regiões Administrativas'!$A$1:$B$646,2,0),"")</f>
        <v>Campinas</v>
      </c>
      <c r="AE622" s="10">
        <f>IFERROR(VLOOKUP(Form_Responses[[#This Row],[Município]],'Regiões Administrativas'!$A$1:$I$646,3,0),"")</f>
        <v>15370</v>
      </c>
      <c r="AF622" s="10">
        <f>IFERROR(VLOOKUP(Form_Responses[[#This Row],[Município]],'Regiões Administrativas'!$A$1:$I$646,4,0),"")</f>
        <v>350160805000001</v>
      </c>
      <c r="AG622" s="10">
        <f>IFERROR(VLOOKUP(Form_Responses[[#This Row],[Município]],'Regiões Administrativas'!$A$1:$I$646,4,0),"")</f>
        <v>350160805000001</v>
      </c>
      <c r="AH622" s="10">
        <f>IFERROR(VLOOKUP(B622,'Regiões Administrativas'!$A$1:$I$646,5,0),"")</f>
        <v>3501608</v>
      </c>
      <c r="AI622" s="10">
        <f>IFERROR(VLOOKUP(B622,'Regiões Administrativas'!$A$1:$I$646,6,0),"")</f>
        <v>-47.330362899999997</v>
      </c>
      <c r="AJ622" s="10">
        <f>IFERROR(VLOOKUP(B622,'Regiões Administrativas'!$A$1:$I$646,8,0),"")</f>
        <v>550.36578499999996</v>
      </c>
      <c r="AK622" s="10" t="str">
        <f>IFERROR(VLOOKUP(Form_Responses[[#This Row],[Município]],'Regiões Administrativas'!$A$1:$I$646,9,0),"")</f>
        <v>1J6thLYg1]L-</v>
      </c>
    </row>
    <row r="623" spans="1:37" ht="22.5" customHeight="1">
      <c r="A623" s="18">
        <v>46101.482042152777</v>
      </c>
      <c r="B623" s="10" t="s">
        <v>3050</v>
      </c>
      <c r="C623" s="10" t="s">
        <v>791</v>
      </c>
      <c r="D623" s="10" t="s">
        <v>3068</v>
      </c>
      <c r="E623" s="10" t="s">
        <v>3069</v>
      </c>
      <c r="G623" s="10" t="s">
        <v>3067</v>
      </c>
      <c r="I623" s="10" t="s">
        <v>220</v>
      </c>
      <c r="J623" s="16">
        <v>46164</v>
      </c>
      <c r="K623" s="16">
        <v>46165</v>
      </c>
      <c r="N623" s="10" t="s">
        <v>73</v>
      </c>
      <c r="O623" s="10" t="s">
        <v>221</v>
      </c>
      <c r="P623" s="10" t="s">
        <v>221</v>
      </c>
      <c r="Q623" s="10" t="s">
        <v>47</v>
      </c>
      <c r="R623" s="10" t="s">
        <v>74</v>
      </c>
      <c r="S623" s="10">
        <v>30000</v>
      </c>
      <c r="T623" s="10">
        <v>25000</v>
      </c>
      <c r="W623" s="10" t="s">
        <v>3054</v>
      </c>
      <c r="Y623" s="72" t="s">
        <v>3055</v>
      </c>
      <c r="Z623" s="10" t="s">
        <v>76</v>
      </c>
      <c r="AA623" s="10" t="s">
        <v>1898</v>
      </c>
      <c r="AB623" s="10" t="s">
        <v>54</v>
      </c>
      <c r="AC623" s="10" t="s">
        <v>68</v>
      </c>
      <c r="AD623" s="10" t="str">
        <f>IFERROR(VLOOKUP(B623,'Regiões Administrativas'!$A$1:$B$646,2,0),"")</f>
        <v>Campinas</v>
      </c>
      <c r="AE623" s="10">
        <f>IFERROR(VLOOKUP(Form_Responses[[#This Row],[Município]],'Regiões Administrativas'!$A$1:$I$646,3,0),"")</f>
        <v>15370</v>
      </c>
      <c r="AF623" s="10">
        <f>IFERROR(VLOOKUP(Form_Responses[[#This Row],[Município]],'Regiões Administrativas'!$A$1:$I$646,4,0),"")</f>
        <v>350160805000001</v>
      </c>
      <c r="AG623" s="10">
        <f>IFERROR(VLOOKUP(Form_Responses[[#This Row],[Município]],'Regiões Administrativas'!$A$1:$I$646,4,0),"")</f>
        <v>350160805000001</v>
      </c>
      <c r="AH623" s="10">
        <f>IFERROR(VLOOKUP(B623,'Regiões Administrativas'!$A$1:$I$646,5,0),"")</f>
        <v>3501608</v>
      </c>
      <c r="AI623" s="10">
        <f>IFERROR(VLOOKUP(B623,'Regiões Administrativas'!$A$1:$I$646,6,0),"")</f>
        <v>-47.330362899999997</v>
      </c>
      <c r="AJ623" s="10">
        <f>IFERROR(VLOOKUP(B623,'Regiões Administrativas'!$A$1:$I$646,8,0),"")</f>
        <v>550.36578499999996</v>
      </c>
      <c r="AK623" s="10" t="str">
        <f>IFERROR(VLOOKUP(Form_Responses[[#This Row],[Município]],'Regiões Administrativas'!$A$1:$I$646,9,0),"")</f>
        <v>1J6thLYg1]L-</v>
      </c>
    </row>
    <row r="624" spans="1:37" ht="22.5" customHeight="1">
      <c r="A624" s="18">
        <v>46101.484889386571</v>
      </c>
      <c r="B624" s="10" t="s">
        <v>790</v>
      </c>
      <c r="C624" s="10" t="s">
        <v>791</v>
      </c>
      <c r="D624" s="10" t="s">
        <v>3070</v>
      </c>
      <c r="E624" s="10" t="s">
        <v>3071</v>
      </c>
      <c r="G624" s="10" t="s">
        <v>3072</v>
      </c>
      <c r="I624" s="10" t="s">
        <v>60</v>
      </c>
      <c r="J624" s="16">
        <v>46201</v>
      </c>
      <c r="K624" s="16">
        <v>46201</v>
      </c>
      <c r="L624" s="17">
        <v>0.41666666666424135</v>
      </c>
      <c r="M624" s="17">
        <v>0.91666666666424135</v>
      </c>
      <c r="N624" s="10" t="s">
        <v>98</v>
      </c>
      <c r="O624" s="10" t="s">
        <v>45</v>
      </c>
      <c r="P624" s="10" t="s">
        <v>99</v>
      </c>
      <c r="Q624" s="10" t="s">
        <v>47</v>
      </c>
      <c r="R624" s="10" t="s">
        <v>74</v>
      </c>
      <c r="S624" s="19">
        <v>40000</v>
      </c>
      <c r="W624" s="10" t="s">
        <v>3073</v>
      </c>
      <c r="Y624" s="10" t="s">
        <v>3074</v>
      </c>
      <c r="Z624" s="10" t="s">
        <v>66</v>
      </c>
      <c r="AA624" s="10" t="s">
        <v>66</v>
      </c>
      <c r="AB624" s="10" t="s">
        <v>66</v>
      </c>
      <c r="AC624" s="10" t="s">
        <v>68</v>
      </c>
      <c r="AD624" s="10" t="str">
        <f>IFERROR(VLOOKUP(B624,'Regiões Administrativas'!$A$1:$B$646,2,0),"")</f>
        <v>Campinas</v>
      </c>
      <c r="AE624" s="10">
        <f>IFERROR(VLOOKUP(Form_Responses[[#This Row],[Município]],'Regiões Administrativas'!$A$1:$I$646,3,0),"")</f>
        <v>15710</v>
      </c>
      <c r="AF624" s="10">
        <f>IFERROR(VLOOKUP(Form_Responses[[#This Row],[Município]],'Regiões Administrativas'!$A$1:$I$646,4,0),"")</f>
        <v>350950205000001</v>
      </c>
      <c r="AG624" s="10">
        <f>IFERROR(VLOOKUP(Form_Responses[[#This Row],[Município]],'Regiões Administrativas'!$A$1:$I$646,4,0),"")</f>
        <v>350950205000001</v>
      </c>
      <c r="AH624" s="10">
        <f>IFERROR(VLOOKUP(B624,'Regiões Administrativas'!$A$1:$I$646,5,0),"")</f>
        <v>3509502</v>
      </c>
      <c r="AI624" s="10">
        <f>IFERROR(VLOOKUP(B624,'Regiões Administrativas'!$A$1:$I$646,6,0),"")</f>
        <v>-47.060156300000003</v>
      </c>
      <c r="AJ624" s="10">
        <f>IFERROR(VLOOKUP(B624,'Regiões Administrativas'!$A$1:$I$646,8,0),"")</f>
        <v>688.98713699999996</v>
      </c>
      <c r="AK624" s="10" t="str">
        <f>IFERROR(VLOOKUP(Form_Responses[[#This Row],[Município]],'Regiões Administrativas'!$A$1:$I$646,9,0),"")</f>
        <v>1J6tL4:8Z?Sf</v>
      </c>
    </row>
    <row r="625" spans="1:37" ht="22.5" customHeight="1">
      <c r="A625" s="18">
        <v>46101.48496130787</v>
      </c>
      <c r="B625" s="10" t="s">
        <v>3050</v>
      </c>
      <c r="C625" s="10" t="s">
        <v>791</v>
      </c>
      <c r="D625" s="10" t="s">
        <v>3075</v>
      </c>
      <c r="E625" s="10" t="s">
        <v>3076</v>
      </c>
      <c r="G625" s="10" t="s">
        <v>3067</v>
      </c>
      <c r="I625" s="10" t="s">
        <v>60</v>
      </c>
      <c r="J625" s="16">
        <v>46176</v>
      </c>
      <c r="K625" s="16">
        <v>46177</v>
      </c>
      <c r="N625" s="10" t="s">
        <v>73</v>
      </c>
      <c r="O625" s="10" t="s">
        <v>45</v>
      </c>
      <c r="P625" s="10" t="s">
        <v>63</v>
      </c>
      <c r="Q625" s="10" t="s">
        <v>47</v>
      </c>
      <c r="R625" s="10" t="s">
        <v>74</v>
      </c>
      <c r="S625" s="10">
        <v>25000</v>
      </c>
      <c r="T625" s="10">
        <v>20000</v>
      </c>
      <c r="W625" s="10" t="s">
        <v>3054</v>
      </c>
      <c r="Y625" s="72" t="s">
        <v>3055</v>
      </c>
      <c r="Z625" s="10" t="s">
        <v>76</v>
      </c>
      <c r="AA625" s="10" t="s">
        <v>1898</v>
      </c>
      <c r="AB625" s="10" t="s">
        <v>66</v>
      </c>
      <c r="AC625" s="10" t="s">
        <v>68</v>
      </c>
      <c r="AD625" s="10" t="str">
        <f>IFERROR(VLOOKUP(B625,'Regiões Administrativas'!$A$1:$B$646,2,0),"")</f>
        <v>Campinas</v>
      </c>
      <c r="AE625" s="10">
        <f>IFERROR(VLOOKUP(Form_Responses[[#This Row],[Município]],'Regiões Administrativas'!$A$1:$I$646,3,0),"")</f>
        <v>15370</v>
      </c>
      <c r="AF625" s="10">
        <f>IFERROR(VLOOKUP(Form_Responses[[#This Row],[Município]],'Regiões Administrativas'!$A$1:$I$646,4,0),"")</f>
        <v>350160805000001</v>
      </c>
      <c r="AG625" s="10">
        <f>IFERROR(VLOOKUP(Form_Responses[[#This Row],[Município]],'Regiões Administrativas'!$A$1:$I$646,4,0),"")</f>
        <v>350160805000001</v>
      </c>
      <c r="AH625" s="10">
        <f>IFERROR(VLOOKUP(B625,'Regiões Administrativas'!$A$1:$I$646,5,0),"")</f>
        <v>3501608</v>
      </c>
      <c r="AI625" s="10">
        <f>IFERROR(VLOOKUP(B625,'Regiões Administrativas'!$A$1:$I$646,6,0),"")</f>
        <v>-47.330362899999997</v>
      </c>
      <c r="AJ625" s="10">
        <f>IFERROR(VLOOKUP(B625,'Regiões Administrativas'!$A$1:$I$646,8,0),"")</f>
        <v>550.36578499999996</v>
      </c>
      <c r="AK625" s="10" t="str">
        <f>IFERROR(VLOOKUP(Form_Responses[[#This Row],[Município]],'Regiões Administrativas'!$A$1:$I$646,9,0),"")</f>
        <v>1J6thLYg1]L-</v>
      </c>
    </row>
    <row r="626" spans="1:37" ht="22.5" customHeight="1">
      <c r="A626" s="18">
        <v>46101.487150150468</v>
      </c>
      <c r="B626" s="10" t="s">
        <v>1247</v>
      </c>
      <c r="C626" s="10" t="s">
        <v>115</v>
      </c>
      <c r="D626" s="10" t="s">
        <v>3077</v>
      </c>
      <c r="E626" s="10" t="s">
        <v>3078</v>
      </c>
      <c r="G626" s="10" t="s">
        <v>3058</v>
      </c>
      <c r="I626" s="10" t="s">
        <v>220</v>
      </c>
      <c r="J626" s="16">
        <v>46165</v>
      </c>
      <c r="K626" s="16">
        <v>46166</v>
      </c>
      <c r="L626" s="17">
        <v>0.375</v>
      </c>
      <c r="M626" s="17">
        <v>0.75</v>
      </c>
      <c r="N626" s="10" t="s">
        <v>268</v>
      </c>
      <c r="O626" s="10" t="s">
        <v>99</v>
      </c>
      <c r="P626" s="10" t="s">
        <v>63</v>
      </c>
      <c r="Q626" s="10" t="s">
        <v>47</v>
      </c>
      <c r="R626" s="10" t="s">
        <v>48</v>
      </c>
      <c r="S626" s="19">
        <v>5000</v>
      </c>
      <c r="T626" s="19">
        <v>4500</v>
      </c>
      <c r="U626" s="19">
        <v>3000</v>
      </c>
      <c r="V626" s="19">
        <v>3000</v>
      </c>
      <c r="W626" s="10" t="s">
        <v>3079</v>
      </c>
      <c r="Y626" s="10" t="s">
        <v>1251</v>
      </c>
      <c r="Z626" s="10" t="s">
        <v>76</v>
      </c>
      <c r="AA626" s="10" t="s">
        <v>113</v>
      </c>
      <c r="AB626" s="10" t="s">
        <v>66</v>
      </c>
      <c r="AC626" s="10" t="s">
        <v>68</v>
      </c>
      <c r="AD626" s="10" t="str">
        <f>IFERROR(VLOOKUP(B626,'Regiões Administrativas'!$A$1:$B$646,2,0),"")</f>
        <v>Itapeva</v>
      </c>
      <c r="AE626" s="10">
        <f>IFERROR(VLOOKUP(Form_Responses[[#This Row],[Município]],'Regiões Administrativas'!$A$1:$I$646,3,0),"")</f>
        <v>16818</v>
      </c>
      <c r="AF626" s="10">
        <f>IFERROR(VLOOKUP(Form_Responses[[#This Row],[Município]],'Regiões Administrativas'!$A$1:$I$646,4,0),"")</f>
        <v>353880805000001</v>
      </c>
      <c r="AG626" s="10">
        <f>IFERROR(VLOOKUP(Form_Responses[[#This Row],[Município]],'Regiões Administrativas'!$A$1:$I$646,4,0),"")</f>
        <v>353880805000001</v>
      </c>
      <c r="AH626" s="10">
        <f>IFERROR(VLOOKUP(B626,'Regiões Administrativas'!$A$1:$I$646,5,0),"")</f>
        <v>3538808</v>
      </c>
      <c r="AI626" s="10">
        <f>IFERROR(VLOOKUP(B626,'Regiões Administrativas'!$A$1:$I$646,6,0),"")</f>
        <v>-49.383974500000001</v>
      </c>
      <c r="AJ626" s="10">
        <f>IFERROR(VLOOKUP(B626,'Regiões Administrativas'!$A$1:$I$646,8,0),"")</f>
        <v>555.89249900000004</v>
      </c>
      <c r="AK626" s="10" t="str">
        <f>IFERROR(VLOOKUP(Form_Responses[[#This Row],[Município]],'Regiões Administrativas'!$A$1:$I$646,9,0),"")</f>
        <v>1J6RWtOj+j^f</v>
      </c>
    </row>
    <row r="627" spans="1:37" ht="22.5" customHeight="1">
      <c r="A627" s="18">
        <v>46101.489634710648</v>
      </c>
      <c r="B627" s="10" t="s">
        <v>1235</v>
      </c>
      <c r="C627" s="10" t="s">
        <v>1236</v>
      </c>
      <c r="D627" s="10" t="s">
        <v>3080</v>
      </c>
      <c r="E627" s="10" t="s">
        <v>3081</v>
      </c>
      <c r="G627" s="10" t="s">
        <v>3082</v>
      </c>
      <c r="I627" s="10" t="s">
        <v>220</v>
      </c>
      <c r="J627" s="16">
        <v>46145</v>
      </c>
      <c r="N627" s="10" t="s">
        <v>268</v>
      </c>
      <c r="O627" s="10" t="s">
        <v>45</v>
      </c>
      <c r="P627" s="10" t="s">
        <v>63</v>
      </c>
      <c r="Q627" s="10" t="s">
        <v>47</v>
      </c>
      <c r="R627" s="10" t="s">
        <v>74</v>
      </c>
      <c r="S627" s="10">
        <v>300</v>
      </c>
      <c r="W627" s="10" t="s">
        <v>2600</v>
      </c>
      <c r="Y627" s="10" t="s">
        <v>2601</v>
      </c>
      <c r="Z627" s="10" t="s">
        <v>66</v>
      </c>
      <c r="AA627" s="10" t="s">
        <v>66</v>
      </c>
      <c r="AB627" s="10" t="s">
        <v>66</v>
      </c>
      <c r="AC627" s="10" t="s">
        <v>68</v>
      </c>
      <c r="AD627" s="10" t="str">
        <f>IFERROR(VLOOKUP(B627,'Regiões Administrativas'!$A$1:$B$646,2,0),"")</f>
        <v>RMSP</v>
      </c>
      <c r="AE627" s="10">
        <f>IFERROR(VLOOKUP(Form_Responses[[#This Row],[Município]],'Regiões Administrativas'!$A$1:$I$646,3,0),"")</f>
        <v>15696</v>
      </c>
      <c r="AF627" s="10">
        <f>IFERROR(VLOOKUP(Form_Responses[[#This Row],[Município]],'Regiões Administrativas'!$A$1:$I$646,4,0),"")</f>
        <v>350920505000001</v>
      </c>
      <c r="AG627" s="10">
        <f>IFERROR(VLOOKUP(Form_Responses[[#This Row],[Município]],'Regiões Administrativas'!$A$1:$I$646,4,0),"")</f>
        <v>350920505000001</v>
      </c>
      <c r="AH627" s="10">
        <f>IFERROR(VLOOKUP(B627,'Regiões Administrativas'!$A$1:$I$646,5,0),"")</f>
        <v>3509205</v>
      </c>
      <c r="AI627" s="10">
        <f>IFERROR(VLOOKUP(B627,'Regiões Administrativas'!$A$1:$I$646,6,0),"")</f>
        <v>-46.8829201</v>
      </c>
      <c r="AJ627" s="10">
        <f>IFERROR(VLOOKUP(B627,'Regiões Administrativas'!$A$1:$I$646,8,0),"")</f>
        <v>867.050792</v>
      </c>
      <c r="AK627" s="10" t="str">
        <f>IFERROR(VLOOKUP(Form_Responses[[#This Row],[Município]],'Regiões Administrativas'!$A$1:$I$646,9,0),"")</f>
        <v>1J6tLz2ReX+f</v>
      </c>
    </row>
    <row r="628" spans="1:37" ht="22.5" customHeight="1">
      <c r="A628" s="18">
        <v>46101.491375324069</v>
      </c>
      <c r="B628" s="10" t="s">
        <v>3050</v>
      </c>
      <c r="C628" s="10" t="s">
        <v>791</v>
      </c>
      <c r="D628" s="10" t="s">
        <v>3083</v>
      </c>
      <c r="E628" s="10" t="s">
        <v>3084</v>
      </c>
      <c r="G628" s="10" t="s">
        <v>3085</v>
      </c>
      <c r="I628" s="10" t="s">
        <v>43</v>
      </c>
      <c r="J628" s="16">
        <v>46262</v>
      </c>
      <c r="K628" s="16">
        <v>46264</v>
      </c>
      <c r="N628" s="10" t="s">
        <v>110</v>
      </c>
      <c r="O628" s="10" t="s">
        <v>190</v>
      </c>
      <c r="P628" s="10" t="s">
        <v>63</v>
      </c>
      <c r="Q628" s="10" t="s">
        <v>47</v>
      </c>
      <c r="R628" s="10" t="s">
        <v>48</v>
      </c>
      <c r="S628" s="10">
        <v>50000</v>
      </c>
      <c r="T628" s="10">
        <v>45000</v>
      </c>
      <c r="W628" s="10" t="s">
        <v>3054</v>
      </c>
      <c r="Y628" s="72" t="s">
        <v>3055</v>
      </c>
      <c r="Z628" s="10" t="s">
        <v>296</v>
      </c>
      <c r="AA628" s="10" t="s">
        <v>1898</v>
      </c>
      <c r="AB628" s="10" t="s">
        <v>54</v>
      </c>
      <c r="AC628" s="10" t="s">
        <v>68</v>
      </c>
      <c r="AD628" s="10" t="str">
        <f>IFERROR(VLOOKUP(B628,'Regiões Administrativas'!$A$1:$B$646,2,0),"")</f>
        <v>Campinas</v>
      </c>
      <c r="AE628" s="10">
        <f>IFERROR(VLOOKUP(Form_Responses[[#This Row],[Município]],'Regiões Administrativas'!$A$1:$I$646,3,0),"")</f>
        <v>15370</v>
      </c>
      <c r="AF628" s="10">
        <f>IFERROR(VLOOKUP(Form_Responses[[#This Row],[Município]],'Regiões Administrativas'!$A$1:$I$646,4,0),"")</f>
        <v>350160805000001</v>
      </c>
      <c r="AG628" s="10">
        <f>IFERROR(VLOOKUP(Form_Responses[[#This Row],[Município]],'Regiões Administrativas'!$A$1:$I$646,4,0),"")</f>
        <v>350160805000001</v>
      </c>
      <c r="AH628" s="10">
        <f>IFERROR(VLOOKUP(B628,'Regiões Administrativas'!$A$1:$I$646,5,0),"")</f>
        <v>3501608</v>
      </c>
      <c r="AI628" s="10">
        <f>IFERROR(VLOOKUP(B628,'Regiões Administrativas'!$A$1:$I$646,6,0),"")</f>
        <v>-47.330362899999997</v>
      </c>
      <c r="AJ628" s="10">
        <f>IFERROR(VLOOKUP(B628,'Regiões Administrativas'!$A$1:$I$646,8,0),"")</f>
        <v>550.36578499999996</v>
      </c>
      <c r="AK628" s="10" t="str">
        <f>IFERROR(VLOOKUP(Form_Responses[[#This Row],[Município]],'Regiões Administrativas'!$A$1:$I$646,9,0),"")</f>
        <v>1J6thLYg1]L-</v>
      </c>
    </row>
    <row r="629" spans="1:37" ht="22.5" customHeight="1">
      <c r="A629" s="18">
        <v>46101.492576481483</v>
      </c>
      <c r="B629" s="10" t="s">
        <v>1235</v>
      </c>
      <c r="C629" s="10" t="s">
        <v>1236</v>
      </c>
      <c r="D629" s="10" t="s">
        <v>3086</v>
      </c>
      <c r="E629" s="10" t="s">
        <v>3087</v>
      </c>
      <c r="G629" s="10" t="s">
        <v>2572</v>
      </c>
      <c r="I629" s="10" t="s">
        <v>109</v>
      </c>
      <c r="J629" s="16">
        <v>46110</v>
      </c>
      <c r="K629" s="16">
        <v>46110</v>
      </c>
      <c r="L629" s="17">
        <v>0.375</v>
      </c>
      <c r="M629" s="17">
        <v>0.66666666666424135</v>
      </c>
      <c r="N629" s="10" t="s">
        <v>268</v>
      </c>
      <c r="O629" s="10" t="s">
        <v>45</v>
      </c>
      <c r="P629" s="10" t="s">
        <v>63</v>
      </c>
      <c r="Q629" s="10" t="s">
        <v>47</v>
      </c>
      <c r="R629" s="10" t="s">
        <v>74</v>
      </c>
      <c r="S629" s="10">
        <v>1000</v>
      </c>
      <c r="W629" s="10" t="s">
        <v>2600</v>
      </c>
      <c r="Y629" s="10" t="s">
        <v>2601</v>
      </c>
      <c r="Z629" s="10" t="s">
        <v>66</v>
      </c>
      <c r="AA629" s="10" t="s">
        <v>66</v>
      </c>
      <c r="AB629" s="10" t="s">
        <v>66</v>
      </c>
      <c r="AC629" s="10" t="s">
        <v>68</v>
      </c>
      <c r="AD629" s="10" t="str">
        <f>IFERROR(VLOOKUP(B629,'Regiões Administrativas'!$A$1:$B$646,2,0),"")</f>
        <v>RMSP</v>
      </c>
      <c r="AE629" s="10">
        <f>IFERROR(VLOOKUP(Form_Responses[[#This Row],[Município]],'Regiões Administrativas'!$A$1:$I$646,3,0),"")</f>
        <v>15696</v>
      </c>
      <c r="AF629" s="10">
        <f>IFERROR(VLOOKUP(Form_Responses[[#This Row],[Município]],'Regiões Administrativas'!$A$1:$I$646,4,0),"")</f>
        <v>350920505000001</v>
      </c>
      <c r="AG629" s="10">
        <f>IFERROR(VLOOKUP(Form_Responses[[#This Row],[Município]],'Regiões Administrativas'!$A$1:$I$646,4,0),"")</f>
        <v>350920505000001</v>
      </c>
      <c r="AH629" s="10">
        <f>IFERROR(VLOOKUP(B629,'Regiões Administrativas'!$A$1:$I$646,5,0),"")</f>
        <v>3509205</v>
      </c>
      <c r="AI629" s="10">
        <f>IFERROR(VLOOKUP(B629,'Regiões Administrativas'!$A$1:$I$646,6,0),"")</f>
        <v>-46.8829201</v>
      </c>
      <c r="AJ629" s="10">
        <f>IFERROR(VLOOKUP(B629,'Regiões Administrativas'!$A$1:$I$646,8,0),"")</f>
        <v>867.050792</v>
      </c>
      <c r="AK629" s="10" t="str">
        <f>IFERROR(VLOOKUP(Form_Responses[[#This Row],[Município]],'Regiões Administrativas'!$A$1:$I$646,9,0),"")</f>
        <v>1J6tLz2ReX+f</v>
      </c>
    </row>
    <row r="630" spans="1:37" ht="22.5" customHeight="1">
      <c r="A630" s="18">
        <v>46101.493292349536</v>
      </c>
      <c r="B630" s="10" t="s">
        <v>790</v>
      </c>
      <c r="C630" s="10" t="s">
        <v>791</v>
      </c>
      <c r="D630" s="10" t="s">
        <v>3088</v>
      </c>
      <c r="E630" s="10" t="s">
        <v>3089</v>
      </c>
      <c r="G630" s="10" t="s">
        <v>3090</v>
      </c>
      <c r="I630" s="10" t="s">
        <v>72</v>
      </c>
      <c r="J630" s="16">
        <v>46215</v>
      </c>
      <c r="K630" s="16">
        <v>46215</v>
      </c>
      <c r="L630" s="17">
        <v>0.45833333333575865</v>
      </c>
      <c r="M630" s="17">
        <v>0.83333333333575865</v>
      </c>
      <c r="N630" s="10" t="s">
        <v>110</v>
      </c>
      <c r="O630" s="10" t="s">
        <v>190</v>
      </c>
      <c r="P630" s="10" t="s">
        <v>63</v>
      </c>
      <c r="Q630" s="10" t="s">
        <v>47</v>
      </c>
      <c r="R630" s="10" t="s">
        <v>74</v>
      </c>
      <c r="S630" s="19">
        <v>20000</v>
      </c>
      <c r="W630" s="10" t="s">
        <v>3091</v>
      </c>
      <c r="Y630" s="10" t="s">
        <v>795</v>
      </c>
      <c r="Z630" s="10" t="s">
        <v>66</v>
      </c>
      <c r="AA630" s="10" t="s">
        <v>66</v>
      </c>
      <c r="AB630" s="10" t="s">
        <v>66</v>
      </c>
      <c r="AC630" s="10" t="s">
        <v>68</v>
      </c>
      <c r="AD630" s="10" t="str">
        <f>IFERROR(VLOOKUP(B630,'Regiões Administrativas'!$A$1:$B$646,2,0),"")</f>
        <v>Campinas</v>
      </c>
      <c r="AE630" s="10">
        <f>IFERROR(VLOOKUP(Form_Responses[[#This Row],[Município]],'Regiões Administrativas'!$A$1:$I$646,3,0),"")</f>
        <v>15710</v>
      </c>
      <c r="AF630" s="10">
        <f>IFERROR(VLOOKUP(Form_Responses[[#This Row],[Município]],'Regiões Administrativas'!$A$1:$I$646,4,0),"")</f>
        <v>350950205000001</v>
      </c>
      <c r="AG630" s="10">
        <f>IFERROR(VLOOKUP(Form_Responses[[#This Row],[Município]],'Regiões Administrativas'!$A$1:$I$646,4,0),"")</f>
        <v>350950205000001</v>
      </c>
      <c r="AH630" s="10">
        <f>IFERROR(VLOOKUP(B630,'Regiões Administrativas'!$A$1:$I$646,5,0),"")</f>
        <v>3509502</v>
      </c>
      <c r="AI630" s="10">
        <f>IFERROR(VLOOKUP(B630,'Regiões Administrativas'!$A$1:$I$646,6,0),"")</f>
        <v>-47.060156300000003</v>
      </c>
      <c r="AJ630" s="10">
        <f>IFERROR(VLOOKUP(B630,'Regiões Administrativas'!$A$1:$I$646,8,0),"")</f>
        <v>688.98713699999996</v>
      </c>
      <c r="AK630" s="10" t="str">
        <f>IFERROR(VLOOKUP(Form_Responses[[#This Row],[Município]],'Regiões Administrativas'!$A$1:$I$646,9,0),"")</f>
        <v>1J6tL4:8Z?Sf</v>
      </c>
    </row>
    <row r="631" spans="1:37" ht="22.5" customHeight="1">
      <c r="A631" s="18">
        <v>46101.493897939814</v>
      </c>
      <c r="B631" s="10" t="s">
        <v>3050</v>
      </c>
      <c r="C631" s="10" t="s">
        <v>791</v>
      </c>
      <c r="D631" s="10" t="s">
        <v>3092</v>
      </c>
      <c r="E631" s="10" t="s">
        <v>3093</v>
      </c>
      <c r="G631" s="10" t="s">
        <v>3094</v>
      </c>
      <c r="I631" s="10" t="s">
        <v>162</v>
      </c>
      <c r="J631" s="16">
        <v>46360</v>
      </c>
      <c r="K631" s="16">
        <v>46375</v>
      </c>
      <c r="N631" s="10" t="s">
        <v>44</v>
      </c>
      <c r="O631" s="10" t="s">
        <v>45</v>
      </c>
      <c r="P631" s="10" t="s">
        <v>251</v>
      </c>
      <c r="Q631" s="10" t="s">
        <v>47</v>
      </c>
      <c r="R631" s="10" t="s">
        <v>74</v>
      </c>
      <c r="S631" s="10">
        <v>30000</v>
      </c>
      <c r="T631" s="10">
        <v>20000</v>
      </c>
      <c r="W631" s="10" t="s">
        <v>3054</v>
      </c>
      <c r="Y631" s="72" t="s">
        <v>3055</v>
      </c>
      <c r="Z631" s="10" t="s">
        <v>76</v>
      </c>
      <c r="AA631" s="10" t="s">
        <v>3095</v>
      </c>
      <c r="AB631" s="10" t="s">
        <v>66</v>
      </c>
      <c r="AC631" s="10" t="s">
        <v>68</v>
      </c>
      <c r="AD631" s="10" t="str">
        <f>IFERROR(VLOOKUP(B631,'Regiões Administrativas'!$A$1:$B$646,2,0),"")</f>
        <v>Campinas</v>
      </c>
      <c r="AE631" s="10">
        <f>IFERROR(VLOOKUP(Form_Responses[[#This Row],[Município]],'Regiões Administrativas'!$A$1:$I$646,3,0),"")</f>
        <v>15370</v>
      </c>
      <c r="AF631" s="10">
        <f>IFERROR(VLOOKUP(Form_Responses[[#This Row],[Município]],'Regiões Administrativas'!$A$1:$I$646,4,0),"")</f>
        <v>350160805000001</v>
      </c>
      <c r="AG631" s="10">
        <f>IFERROR(VLOOKUP(Form_Responses[[#This Row],[Município]],'Regiões Administrativas'!$A$1:$I$646,4,0),"")</f>
        <v>350160805000001</v>
      </c>
      <c r="AH631" s="10">
        <f>IFERROR(VLOOKUP(B631,'Regiões Administrativas'!$A$1:$I$646,5,0),"")</f>
        <v>3501608</v>
      </c>
      <c r="AI631" s="10">
        <f>IFERROR(VLOOKUP(B631,'Regiões Administrativas'!$A$1:$I$646,6,0),"")</f>
        <v>-47.330362899999997</v>
      </c>
      <c r="AJ631" s="10">
        <f>IFERROR(VLOOKUP(B631,'Regiões Administrativas'!$A$1:$I$646,8,0),"")</f>
        <v>550.36578499999996</v>
      </c>
      <c r="AK631" s="10" t="str">
        <f>IFERROR(VLOOKUP(Form_Responses[[#This Row],[Município]],'Regiões Administrativas'!$A$1:$I$646,9,0),"")</f>
        <v>1J6thLYg1]L-</v>
      </c>
    </row>
    <row r="632" spans="1:37" ht="22.5" customHeight="1">
      <c r="A632" s="18">
        <v>46101.497731400465</v>
      </c>
      <c r="B632" s="10" t="s">
        <v>3050</v>
      </c>
      <c r="C632" s="10" t="s">
        <v>791</v>
      </c>
      <c r="D632" s="10" t="s">
        <v>3096</v>
      </c>
      <c r="E632" s="10" t="s">
        <v>3097</v>
      </c>
      <c r="G632" s="10" t="s">
        <v>3098</v>
      </c>
      <c r="I632" s="10" t="s">
        <v>220</v>
      </c>
      <c r="N632" s="10" t="s">
        <v>44</v>
      </c>
      <c r="O632" s="10" t="s">
        <v>221</v>
      </c>
      <c r="P632" s="10" t="s">
        <v>221</v>
      </c>
      <c r="Q632" s="10" t="s">
        <v>47</v>
      </c>
      <c r="R632" s="10" t="s">
        <v>74</v>
      </c>
      <c r="S632" s="10">
        <v>25000</v>
      </c>
      <c r="T632" s="10">
        <v>15000</v>
      </c>
      <c r="W632" s="10" t="s">
        <v>3099</v>
      </c>
      <c r="Y632" s="72" t="s">
        <v>3100</v>
      </c>
      <c r="Z632" s="10" t="s">
        <v>76</v>
      </c>
      <c r="AA632" s="10" t="s">
        <v>1898</v>
      </c>
      <c r="AB632" s="10" t="s">
        <v>66</v>
      </c>
      <c r="AC632" s="10" t="s">
        <v>68</v>
      </c>
      <c r="AD632" s="10" t="str">
        <f>IFERROR(VLOOKUP(B632,'Regiões Administrativas'!$A$1:$B$646,2,0),"")</f>
        <v>Campinas</v>
      </c>
      <c r="AE632" s="10">
        <f>IFERROR(VLOOKUP(Form_Responses[[#This Row],[Município]],'Regiões Administrativas'!$A$1:$I$646,3,0),"")</f>
        <v>15370</v>
      </c>
      <c r="AF632" s="10">
        <f>IFERROR(VLOOKUP(Form_Responses[[#This Row],[Município]],'Regiões Administrativas'!$A$1:$I$646,4,0),"")</f>
        <v>350160805000001</v>
      </c>
      <c r="AG632" s="10">
        <f>IFERROR(VLOOKUP(Form_Responses[[#This Row],[Município]],'Regiões Administrativas'!$A$1:$I$646,4,0),"")</f>
        <v>350160805000001</v>
      </c>
      <c r="AH632" s="10">
        <f>IFERROR(VLOOKUP(B632,'Regiões Administrativas'!$A$1:$I$646,5,0),"")</f>
        <v>3501608</v>
      </c>
      <c r="AI632" s="10">
        <f>IFERROR(VLOOKUP(B632,'Regiões Administrativas'!$A$1:$I$646,6,0),"")</f>
        <v>-47.330362899999997</v>
      </c>
      <c r="AJ632" s="10">
        <f>IFERROR(VLOOKUP(B632,'Regiões Administrativas'!$A$1:$I$646,8,0),"")</f>
        <v>550.36578499999996</v>
      </c>
      <c r="AK632" s="10" t="str">
        <f>IFERROR(VLOOKUP(Form_Responses[[#This Row],[Município]],'Regiões Administrativas'!$A$1:$I$646,9,0),"")</f>
        <v>1J6thLYg1]L-</v>
      </c>
    </row>
    <row r="633" spans="1:37" ht="22.5" customHeight="1">
      <c r="A633" s="18">
        <v>46101.511085798615</v>
      </c>
      <c r="B633" s="10" t="s">
        <v>790</v>
      </c>
      <c r="C633" s="10" t="s">
        <v>791</v>
      </c>
      <c r="D633" s="10" t="s">
        <v>3101</v>
      </c>
      <c r="E633" s="10" t="s">
        <v>3102</v>
      </c>
      <c r="G633" s="10" t="s">
        <v>3103</v>
      </c>
      <c r="I633" s="10" t="s">
        <v>72</v>
      </c>
      <c r="J633" s="16">
        <v>46220</v>
      </c>
      <c r="K633" s="16">
        <v>46229</v>
      </c>
      <c r="L633" s="17">
        <v>0.5</v>
      </c>
      <c r="M633" s="17">
        <v>0.91666666666424135</v>
      </c>
      <c r="N633" s="10" t="s">
        <v>44</v>
      </c>
      <c r="O633" s="10" t="s">
        <v>190</v>
      </c>
      <c r="P633" s="10" t="s">
        <v>221</v>
      </c>
      <c r="Q633" s="10" t="s">
        <v>47</v>
      </c>
      <c r="R633" s="10" t="s">
        <v>74</v>
      </c>
      <c r="S633" s="19">
        <v>20000</v>
      </c>
      <c r="W633" s="10" t="s">
        <v>3104</v>
      </c>
      <c r="Y633" s="10" t="s">
        <v>795</v>
      </c>
      <c r="Z633" s="10" t="s">
        <v>66</v>
      </c>
      <c r="AA633" s="10" t="s">
        <v>66</v>
      </c>
      <c r="AB633" s="10" t="s">
        <v>66</v>
      </c>
      <c r="AC633" s="10" t="s">
        <v>68</v>
      </c>
      <c r="AD633" s="10" t="str">
        <f>IFERROR(VLOOKUP(B633,'Regiões Administrativas'!$A$1:$B$646,2,0),"")</f>
        <v>Campinas</v>
      </c>
      <c r="AE633" s="10">
        <f>IFERROR(VLOOKUP(Form_Responses[[#This Row],[Município]],'Regiões Administrativas'!$A$1:$I$646,3,0),"")</f>
        <v>15710</v>
      </c>
      <c r="AF633" s="10">
        <f>IFERROR(VLOOKUP(Form_Responses[[#This Row],[Município]],'Regiões Administrativas'!$A$1:$I$646,4,0),"")</f>
        <v>350950205000001</v>
      </c>
      <c r="AG633" s="10">
        <f>IFERROR(VLOOKUP(Form_Responses[[#This Row],[Município]],'Regiões Administrativas'!$A$1:$I$646,4,0),"")</f>
        <v>350950205000001</v>
      </c>
      <c r="AH633" s="10">
        <f>IFERROR(VLOOKUP(B633,'Regiões Administrativas'!$A$1:$I$646,5,0),"")</f>
        <v>3509502</v>
      </c>
      <c r="AI633" s="10">
        <f>IFERROR(VLOOKUP(B633,'Regiões Administrativas'!$A$1:$I$646,6,0),"")</f>
        <v>-47.060156300000003</v>
      </c>
      <c r="AJ633" s="10">
        <f>IFERROR(VLOOKUP(B633,'Regiões Administrativas'!$A$1:$I$646,8,0),"")</f>
        <v>688.98713699999996</v>
      </c>
      <c r="AK633" s="10" t="str">
        <f>IFERROR(VLOOKUP(Form_Responses[[#This Row],[Município]],'Regiões Administrativas'!$A$1:$I$646,9,0),"")</f>
        <v>1J6tL4:8Z?Sf</v>
      </c>
    </row>
    <row r="634" spans="1:37" ht="22.5" customHeight="1">
      <c r="A634" s="18">
        <v>46101.516121006949</v>
      </c>
      <c r="B634" s="10" t="s">
        <v>1247</v>
      </c>
      <c r="C634" s="10" t="s">
        <v>115</v>
      </c>
      <c r="D634" s="10" t="s">
        <v>3105</v>
      </c>
      <c r="E634" s="10" t="s">
        <v>3106</v>
      </c>
      <c r="G634" s="10" t="s">
        <v>1250</v>
      </c>
      <c r="I634" s="10" t="s">
        <v>162</v>
      </c>
      <c r="J634" s="16">
        <v>46357</v>
      </c>
      <c r="K634" s="16">
        <v>46680</v>
      </c>
      <c r="N634" s="10" t="s">
        <v>44</v>
      </c>
      <c r="O634" s="10" t="s">
        <v>99</v>
      </c>
      <c r="P634" s="10" t="s">
        <v>251</v>
      </c>
      <c r="Q634" s="10" t="s">
        <v>47</v>
      </c>
      <c r="R634" s="10" t="s">
        <v>74</v>
      </c>
      <c r="S634" s="19">
        <v>10000</v>
      </c>
      <c r="T634" s="19">
        <v>8000</v>
      </c>
      <c r="U634" s="19">
        <v>6000</v>
      </c>
      <c r="V634" s="19">
        <v>6000</v>
      </c>
      <c r="W634" s="10" t="s">
        <v>3107</v>
      </c>
      <c r="Y634" s="10" t="s">
        <v>1251</v>
      </c>
      <c r="Z634" s="10" t="s">
        <v>66</v>
      </c>
      <c r="AA634" s="10" t="s">
        <v>225</v>
      </c>
      <c r="AB634" s="10" t="s">
        <v>66</v>
      </c>
      <c r="AC634" s="10" t="s">
        <v>68</v>
      </c>
      <c r="AD634" s="10" t="str">
        <f>IFERROR(VLOOKUP(B634,'Regiões Administrativas'!$A$1:$B$646,2,0),"")</f>
        <v>Itapeva</v>
      </c>
      <c r="AE634" s="10">
        <f>IFERROR(VLOOKUP(Form_Responses[[#This Row],[Município]],'Regiões Administrativas'!$A$1:$I$646,3,0),"")</f>
        <v>16818</v>
      </c>
      <c r="AF634" s="10">
        <f>IFERROR(VLOOKUP(Form_Responses[[#This Row],[Município]],'Regiões Administrativas'!$A$1:$I$646,4,0),"")</f>
        <v>353880805000001</v>
      </c>
      <c r="AG634" s="10">
        <f>IFERROR(VLOOKUP(Form_Responses[[#This Row],[Município]],'Regiões Administrativas'!$A$1:$I$646,4,0),"")</f>
        <v>353880805000001</v>
      </c>
      <c r="AH634" s="10">
        <f>IFERROR(VLOOKUP(B634,'Regiões Administrativas'!$A$1:$I$646,5,0),"")</f>
        <v>3538808</v>
      </c>
      <c r="AI634" s="10">
        <f>IFERROR(VLOOKUP(B634,'Regiões Administrativas'!$A$1:$I$646,6,0),"")</f>
        <v>-49.383974500000001</v>
      </c>
      <c r="AJ634" s="10">
        <f>IFERROR(VLOOKUP(B634,'Regiões Administrativas'!$A$1:$I$646,8,0),"")</f>
        <v>555.89249900000004</v>
      </c>
      <c r="AK634" s="10" t="str">
        <f>IFERROR(VLOOKUP(Form_Responses[[#This Row],[Município]],'Regiões Administrativas'!$A$1:$I$646,9,0),"")</f>
        <v>1J6RWtOj+j^f</v>
      </c>
    </row>
    <row r="635" spans="1:37" ht="22.5" customHeight="1">
      <c r="A635" s="18">
        <v>46101.516718611107</v>
      </c>
      <c r="B635" s="10" t="s">
        <v>3108</v>
      </c>
      <c r="C635" s="10" t="s">
        <v>2281</v>
      </c>
      <c r="D635" s="10" t="s">
        <v>3109</v>
      </c>
      <c r="E635" s="10" t="s">
        <v>3110</v>
      </c>
      <c r="F635" s="10" t="s">
        <v>3111</v>
      </c>
      <c r="G635" s="10" t="s">
        <v>3112</v>
      </c>
      <c r="I635" s="10" t="s">
        <v>220</v>
      </c>
      <c r="J635" s="16">
        <v>46150</v>
      </c>
      <c r="K635" s="16">
        <v>46152</v>
      </c>
      <c r="L635" s="17">
        <v>0.5</v>
      </c>
      <c r="M635" s="17">
        <v>0.91666666666424135</v>
      </c>
      <c r="N635" s="10" t="s">
        <v>44</v>
      </c>
      <c r="O635" s="10" t="s">
        <v>45</v>
      </c>
      <c r="P635" s="10" t="s">
        <v>63</v>
      </c>
      <c r="Q635" s="10" t="s">
        <v>365</v>
      </c>
      <c r="R635" s="10" t="s">
        <v>74</v>
      </c>
      <c r="S635" s="10">
        <v>9000</v>
      </c>
      <c r="T635" s="10">
        <v>7000</v>
      </c>
      <c r="U635" s="10">
        <v>6000</v>
      </c>
      <c r="V635" s="10">
        <v>5000</v>
      </c>
      <c r="W635" s="10" t="s">
        <v>3113</v>
      </c>
      <c r="Y635" s="10" t="s">
        <v>3114</v>
      </c>
      <c r="Z635" s="10" t="s">
        <v>76</v>
      </c>
      <c r="AA635" s="10" t="s">
        <v>113</v>
      </c>
      <c r="AB635" s="10" t="s">
        <v>66</v>
      </c>
      <c r="AC635" s="10" t="s">
        <v>68</v>
      </c>
      <c r="AD635" s="10" t="str">
        <f>IFERROR(VLOOKUP(B635,'Regiões Administrativas'!$A$1:$B$646,2,0),"")</f>
        <v/>
      </c>
      <c r="AE635" s="10" t="str">
        <f>IFERROR(VLOOKUP(Form_Responses[[#This Row],[Município]],'Regiões Administrativas'!$A$1:$I$646,3,0),"")</f>
        <v/>
      </c>
      <c r="AF635" s="10" t="str">
        <f>IFERROR(VLOOKUP(Form_Responses[[#This Row],[Município]],'Regiões Administrativas'!$A$1:$I$646,4,0),"")</f>
        <v/>
      </c>
      <c r="AG635" s="10" t="str">
        <f>IFERROR(VLOOKUP(Form_Responses[[#This Row],[Município]],'Regiões Administrativas'!$A$1:$I$646,4,0),"")</f>
        <v/>
      </c>
      <c r="AH635" s="10" t="str">
        <f>IFERROR(VLOOKUP(B635,'Regiões Administrativas'!$A$1:$I$646,5,0),"")</f>
        <v/>
      </c>
      <c r="AI635" s="10" t="str">
        <f>IFERROR(VLOOKUP(B635,'Regiões Administrativas'!$A$1:$I$646,6,0),"")</f>
        <v/>
      </c>
      <c r="AJ635" s="10" t="str">
        <f>IFERROR(VLOOKUP(B635,'Regiões Administrativas'!$A$1:$I$646,8,0),"")</f>
        <v/>
      </c>
      <c r="AK635" s="10" t="str">
        <f>IFERROR(VLOOKUP(Form_Responses[[#This Row],[Município]],'Regiões Administrativas'!$A$1:$I$646,9,0),"")</f>
        <v/>
      </c>
    </row>
    <row r="636" spans="1:37" ht="22.5" customHeight="1">
      <c r="A636" s="18">
        <v>46101.524751168981</v>
      </c>
      <c r="B636" s="10" t="s">
        <v>1247</v>
      </c>
      <c r="C636" s="10" t="s">
        <v>115</v>
      </c>
      <c r="D636" s="10" t="s">
        <v>210</v>
      </c>
      <c r="E636" s="10" t="s">
        <v>3115</v>
      </c>
      <c r="G636" s="10" t="s">
        <v>1250</v>
      </c>
      <c r="I636" s="10" t="s">
        <v>162</v>
      </c>
      <c r="J636" s="16">
        <v>46387</v>
      </c>
      <c r="K636" s="16">
        <v>46388</v>
      </c>
      <c r="L636" s="17">
        <v>0.875</v>
      </c>
      <c r="M636" s="17">
        <v>8.3333333335758653E-2</v>
      </c>
      <c r="N636" s="10" t="s">
        <v>44</v>
      </c>
      <c r="O636" s="10" t="s">
        <v>99</v>
      </c>
      <c r="P636" s="10" t="s">
        <v>180</v>
      </c>
      <c r="Q636" s="10" t="s">
        <v>47</v>
      </c>
      <c r="R636" s="10" t="s">
        <v>48</v>
      </c>
      <c r="S636" s="19">
        <v>8000</v>
      </c>
      <c r="T636" s="19">
        <v>7000</v>
      </c>
      <c r="U636" s="19">
        <v>5000</v>
      </c>
      <c r="V636" s="19">
        <v>5000</v>
      </c>
      <c r="W636" s="10" t="s">
        <v>3107</v>
      </c>
      <c r="Y636" s="10" t="s">
        <v>3116</v>
      </c>
      <c r="Z636" s="10" t="s">
        <v>66</v>
      </c>
      <c r="AA636" s="10" t="s">
        <v>113</v>
      </c>
      <c r="AB636" s="10" t="s">
        <v>66</v>
      </c>
      <c r="AC636" s="10" t="s">
        <v>68</v>
      </c>
      <c r="AD636" s="10" t="str">
        <f>IFERROR(VLOOKUP(B636,'Regiões Administrativas'!$A$1:$B$646,2,0),"")</f>
        <v>Itapeva</v>
      </c>
      <c r="AE636" s="10">
        <f>IFERROR(VLOOKUP(Form_Responses[[#This Row],[Município]],'Regiões Administrativas'!$A$1:$I$646,3,0),"")</f>
        <v>16818</v>
      </c>
      <c r="AF636" s="10">
        <f>IFERROR(VLOOKUP(Form_Responses[[#This Row],[Município]],'Regiões Administrativas'!$A$1:$I$646,4,0),"")</f>
        <v>353880805000001</v>
      </c>
      <c r="AG636" s="10">
        <f>IFERROR(VLOOKUP(Form_Responses[[#This Row],[Município]],'Regiões Administrativas'!$A$1:$I$646,4,0),"")</f>
        <v>353880805000001</v>
      </c>
      <c r="AH636" s="10">
        <f>IFERROR(VLOOKUP(B636,'Regiões Administrativas'!$A$1:$I$646,5,0),"")</f>
        <v>3538808</v>
      </c>
      <c r="AI636" s="10">
        <f>IFERROR(VLOOKUP(B636,'Regiões Administrativas'!$A$1:$I$646,6,0),"")</f>
        <v>-49.383974500000001</v>
      </c>
      <c r="AJ636" s="10">
        <f>IFERROR(VLOOKUP(B636,'Regiões Administrativas'!$A$1:$I$646,8,0),"")</f>
        <v>555.89249900000004</v>
      </c>
      <c r="AK636" s="10" t="str">
        <f>IFERROR(VLOOKUP(Form_Responses[[#This Row],[Município]],'Regiões Administrativas'!$A$1:$I$646,9,0),"")</f>
        <v>1J6RWtOj+j^f</v>
      </c>
    </row>
    <row r="637" spans="1:37" ht="22.5" customHeight="1">
      <c r="A637" s="18">
        <v>46101.52515987269</v>
      </c>
      <c r="B637" s="10" t="s">
        <v>790</v>
      </c>
      <c r="C637" s="10" t="s">
        <v>791</v>
      </c>
      <c r="D637" s="10" t="s">
        <v>3117</v>
      </c>
      <c r="E637" s="10" t="s">
        <v>3118</v>
      </c>
      <c r="G637" s="10" t="s">
        <v>3119</v>
      </c>
      <c r="I637" s="10" t="s">
        <v>43</v>
      </c>
      <c r="J637" s="16">
        <v>46248</v>
      </c>
      <c r="K637" s="16">
        <v>46250</v>
      </c>
      <c r="L637" s="17">
        <v>0.5</v>
      </c>
      <c r="M637" s="17">
        <v>0.91666666666424135</v>
      </c>
      <c r="N637" s="10" t="s">
        <v>44</v>
      </c>
      <c r="O637" s="10" t="s">
        <v>190</v>
      </c>
      <c r="P637" s="10" t="s">
        <v>221</v>
      </c>
      <c r="Q637" s="10" t="s">
        <v>47</v>
      </c>
      <c r="R637" s="10" t="s">
        <v>74</v>
      </c>
      <c r="S637" s="19">
        <v>15000</v>
      </c>
      <c r="W637" s="10" t="s">
        <v>3120</v>
      </c>
      <c r="Y637" s="10" t="s">
        <v>795</v>
      </c>
      <c r="Z637" s="10" t="s">
        <v>66</v>
      </c>
      <c r="AA637" s="10" t="s">
        <v>66</v>
      </c>
      <c r="AB637" s="10" t="s">
        <v>66</v>
      </c>
      <c r="AC637" s="10" t="s">
        <v>68</v>
      </c>
      <c r="AD637" s="10" t="str">
        <f>IFERROR(VLOOKUP(B637,'Regiões Administrativas'!$A$1:$B$646,2,0),"")</f>
        <v>Campinas</v>
      </c>
      <c r="AE637" s="10">
        <f>IFERROR(VLOOKUP(Form_Responses[[#This Row],[Município]],'Regiões Administrativas'!$A$1:$I$646,3,0),"")</f>
        <v>15710</v>
      </c>
      <c r="AF637" s="10">
        <f>IFERROR(VLOOKUP(Form_Responses[[#This Row],[Município]],'Regiões Administrativas'!$A$1:$I$646,4,0),"")</f>
        <v>350950205000001</v>
      </c>
      <c r="AG637" s="10">
        <f>IFERROR(VLOOKUP(Form_Responses[[#This Row],[Município]],'Regiões Administrativas'!$A$1:$I$646,4,0),"")</f>
        <v>350950205000001</v>
      </c>
      <c r="AH637" s="10">
        <f>IFERROR(VLOOKUP(B637,'Regiões Administrativas'!$A$1:$I$646,5,0),"")</f>
        <v>3509502</v>
      </c>
      <c r="AI637" s="10">
        <f>IFERROR(VLOOKUP(B637,'Regiões Administrativas'!$A$1:$I$646,6,0),"")</f>
        <v>-47.060156300000003</v>
      </c>
      <c r="AJ637" s="10">
        <f>IFERROR(VLOOKUP(B637,'Regiões Administrativas'!$A$1:$I$646,8,0),"")</f>
        <v>688.98713699999996</v>
      </c>
      <c r="AK637" s="10" t="str">
        <f>IFERROR(VLOOKUP(Form_Responses[[#This Row],[Município]],'Regiões Administrativas'!$A$1:$I$646,9,0),"")</f>
        <v>1J6tL4:8Z?Sf</v>
      </c>
    </row>
    <row r="638" spans="1:37" ht="22.5" customHeight="1">
      <c r="A638" s="18">
        <v>46101.534378182871</v>
      </c>
      <c r="B638" s="10" t="s">
        <v>790</v>
      </c>
      <c r="C638" s="10" t="s">
        <v>791</v>
      </c>
      <c r="D638" s="10" t="s">
        <v>3121</v>
      </c>
      <c r="E638" s="10" t="s">
        <v>3122</v>
      </c>
      <c r="G638" s="10" t="s">
        <v>3090</v>
      </c>
      <c r="I638" s="10" t="s">
        <v>43</v>
      </c>
      <c r="J638" s="16">
        <v>46249</v>
      </c>
      <c r="K638" s="16">
        <v>46250</v>
      </c>
      <c r="L638" s="17">
        <v>0.45833333333575865</v>
      </c>
      <c r="M638" s="17">
        <v>0.875</v>
      </c>
      <c r="N638" s="10" t="s">
        <v>73</v>
      </c>
      <c r="O638" s="10" t="s">
        <v>190</v>
      </c>
      <c r="P638" s="10" t="s">
        <v>63</v>
      </c>
      <c r="Q638" s="10" t="s">
        <v>47</v>
      </c>
      <c r="R638" s="10" t="s">
        <v>74</v>
      </c>
      <c r="S638" s="19">
        <v>10000</v>
      </c>
      <c r="W638" s="10" t="s">
        <v>3123</v>
      </c>
      <c r="Y638" s="10" t="s">
        <v>795</v>
      </c>
      <c r="Z638" s="10" t="s">
        <v>66</v>
      </c>
      <c r="AA638" s="10" t="s">
        <v>66</v>
      </c>
      <c r="AB638" s="10" t="s">
        <v>66</v>
      </c>
      <c r="AC638" s="10" t="s">
        <v>68</v>
      </c>
      <c r="AD638" s="10" t="str">
        <f>IFERROR(VLOOKUP(B638,'Regiões Administrativas'!$A$1:$B$646,2,0),"")</f>
        <v>Campinas</v>
      </c>
      <c r="AE638" s="10">
        <f>IFERROR(VLOOKUP(Form_Responses[[#This Row],[Município]],'Regiões Administrativas'!$A$1:$I$646,3,0),"")</f>
        <v>15710</v>
      </c>
      <c r="AF638" s="10">
        <f>IFERROR(VLOOKUP(Form_Responses[[#This Row],[Município]],'Regiões Administrativas'!$A$1:$I$646,4,0),"")</f>
        <v>350950205000001</v>
      </c>
      <c r="AG638" s="10">
        <f>IFERROR(VLOOKUP(Form_Responses[[#This Row],[Município]],'Regiões Administrativas'!$A$1:$I$646,4,0),"")</f>
        <v>350950205000001</v>
      </c>
      <c r="AH638" s="10">
        <f>IFERROR(VLOOKUP(B638,'Regiões Administrativas'!$A$1:$I$646,5,0),"")</f>
        <v>3509502</v>
      </c>
      <c r="AI638" s="10">
        <f>IFERROR(VLOOKUP(B638,'Regiões Administrativas'!$A$1:$I$646,6,0),"")</f>
        <v>-47.060156300000003</v>
      </c>
      <c r="AJ638" s="10">
        <f>IFERROR(VLOOKUP(B638,'Regiões Administrativas'!$A$1:$I$646,8,0),"")</f>
        <v>688.98713699999996</v>
      </c>
      <c r="AK638" s="10" t="str">
        <f>IFERROR(VLOOKUP(Form_Responses[[#This Row],[Município]],'Regiões Administrativas'!$A$1:$I$646,9,0),"")</f>
        <v>1J6tL4:8Z?Sf</v>
      </c>
    </row>
    <row r="639" spans="1:37" ht="22.5" customHeight="1">
      <c r="A639" s="18">
        <v>46101.539518449077</v>
      </c>
      <c r="B639" s="10" t="s">
        <v>790</v>
      </c>
      <c r="C639" s="10" t="s">
        <v>791</v>
      </c>
      <c r="D639" s="10" t="s">
        <v>3124</v>
      </c>
      <c r="E639" s="10" t="s">
        <v>3125</v>
      </c>
      <c r="G639" s="10" t="s">
        <v>3034</v>
      </c>
      <c r="I639" s="10" t="s">
        <v>81</v>
      </c>
      <c r="J639" s="16">
        <v>46276</v>
      </c>
      <c r="K639" s="16">
        <v>46278</v>
      </c>
      <c r="L639" s="17">
        <v>0.45833333333575865</v>
      </c>
      <c r="M639" s="17">
        <v>0.91666666666424135</v>
      </c>
      <c r="N639" s="10" t="s">
        <v>73</v>
      </c>
      <c r="O639" s="10" t="s">
        <v>190</v>
      </c>
      <c r="P639" s="10" t="s">
        <v>63</v>
      </c>
      <c r="Q639" s="10" t="s">
        <v>47</v>
      </c>
      <c r="R639" s="10" t="s">
        <v>74</v>
      </c>
      <c r="S639" s="19">
        <v>10000</v>
      </c>
      <c r="W639" s="10" t="s">
        <v>3126</v>
      </c>
      <c r="Y639" s="10" t="s">
        <v>3127</v>
      </c>
      <c r="Z639" s="10" t="s">
        <v>66</v>
      </c>
      <c r="AA639" s="10" t="s">
        <v>66</v>
      </c>
      <c r="AB639" s="10" t="s">
        <v>66</v>
      </c>
      <c r="AC639" s="10" t="s">
        <v>68</v>
      </c>
      <c r="AD639" s="10" t="str">
        <f>IFERROR(VLOOKUP(B639,'Regiões Administrativas'!$A$1:$B$646,2,0),"")</f>
        <v>Campinas</v>
      </c>
      <c r="AE639" s="10">
        <f>IFERROR(VLOOKUP(Form_Responses[[#This Row],[Município]],'Regiões Administrativas'!$A$1:$I$646,3,0),"")</f>
        <v>15710</v>
      </c>
      <c r="AF639" s="10">
        <f>IFERROR(VLOOKUP(Form_Responses[[#This Row],[Município]],'Regiões Administrativas'!$A$1:$I$646,4,0),"")</f>
        <v>350950205000001</v>
      </c>
      <c r="AG639" s="10">
        <f>IFERROR(VLOOKUP(Form_Responses[[#This Row],[Município]],'Regiões Administrativas'!$A$1:$I$646,4,0),"")</f>
        <v>350950205000001</v>
      </c>
      <c r="AH639" s="10">
        <f>IFERROR(VLOOKUP(B639,'Regiões Administrativas'!$A$1:$I$646,5,0),"")</f>
        <v>3509502</v>
      </c>
      <c r="AI639" s="10">
        <f>IFERROR(VLOOKUP(B639,'Regiões Administrativas'!$A$1:$I$646,6,0),"")</f>
        <v>-47.060156300000003</v>
      </c>
      <c r="AJ639" s="10">
        <f>IFERROR(VLOOKUP(B639,'Regiões Administrativas'!$A$1:$I$646,8,0),"")</f>
        <v>688.98713699999996</v>
      </c>
      <c r="AK639" s="10" t="str">
        <f>IFERROR(VLOOKUP(Form_Responses[[#This Row],[Município]],'Regiões Administrativas'!$A$1:$I$646,9,0),"")</f>
        <v>1J6tL4:8Z?Sf</v>
      </c>
    </row>
    <row r="640" spans="1:37" ht="22.5" customHeight="1">
      <c r="A640" s="18">
        <v>46101.544065995375</v>
      </c>
      <c r="B640" s="10" t="s">
        <v>790</v>
      </c>
      <c r="C640" s="10" t="s">
        <v>791</v>
      </c>
      <c r="D640" s="10" t="s">
        <v>3128</v>
      </c>
      <c r="E640" s="10" t="s">
        <v>3129</v>
      </c>
      <c r="G640" s="10" t="s">
        <v>794</v>
      </c>
      <c r="I640" s="10" t="s">
        <v>81</v>
      </c>
      <c r="J640" s="16">
        <v>46266</v>
      </c>
      <c r="K640" s="16">
        <v>46295</v>
      </c>
      <c r="N640" s="10" t="s">
        <v>110</v>
      </c>
      <c r="O640" s="10" t="s">
        <v>45</v>
      </c>
      <c r="P640" s="10" t="s">
        <v>99</v>
      </c>
      <c r="Q640" s="10" t="s">
        <v>47</v>
      </c>
      <c r="R640" s="10" t="s">
        <v>74</v>
      </c>
      <c r="S640" s="10">
        <v>500</v>
      </c>
      <c r="W640" s="10" t="s">
        <v>3130</v>
      </c>
      <c r="Y640" s="10" t="s">
        <v>795</v>
      </c>
      <c r="Z640" s="10" t="s">
        <v>66</v>
      </c>
      <c r="AA640" s="10" t="s">
        <v>66</v>
      </c>
      <c r="AB640" s="10" t="s">
        <v>66</v>
      </c>
      <c r="AC640" s="10" t="s">
        <v>68</v>
      </c>
      <c r="AD640" s="10" t="str">
        <f>IFERROR(VLOOKUP(B640,'Regiões Administrativas'!$A$1:$B$646,2,0),"")</f>
        <v>Campinas</v>
      </c>
      <c r="AE640" s="10">
        <f>IFERROR(VLOOKUP(Form_Responses[[#This Row],[Município]],'Regiões Administrativas'!$A$1:$I$646,3,0),"")</f>
        <v>15710</v>
      </c>
      <c r="AF640" s="10">
        <f>IFERROR(VLOOKUP(Form_Responses[[#This Row],[Município]],'Regiões Administrativas'!$A$1:$I$646,4,0),"")</f>
        <v>350950205000001</v>
      </c>
      <c r="AG640" s="10">
        <f>IFERROR(VLOOKUP(Form_Responses[[#This Row],[Município]],'Regiões Administrativas'!$A$1:$I$646,4,0),"")</f>
        <v>350950205000001</v>
      </c>
      <c r="AH640" s="10">
        <f>IFERROR(VLOOKUP(B640,'Regiões Administrativas'!$A$1:$I$646,5,0),"")</f>
        <v>3509502</v>
      </c>
      <c r="AI640" s="10">
        <f>IFERROR(VLOOKUP(B640,'Regiões Administrativas'!$A$1:$I$646,6,0),"")</f>
        <v>-47.060156300000003</v>
      </c>
      <c r="AJ640" s="10">
        <f>IFERROR(VLOOKUP(B640,'Regiões Administrativas'!$A$1:$I$646,8,0),"")</f>
        <v>688.98713699999996</v>
      </c>
      <c r="AK640" s="10" t="str">
        <f>IFERROR(VLOOKUP(Form_Responses[[#This Row],[Município]],'Regiões Administrativas'!$A$1:$I$646,9,0),"")</f>
        <v>1J6tL4:8Z?Sf</v>
      </c>
    </row>
    <row r="641" spans="1:37" ht="22.5" customHeight="1">
      <c r="A641" s="18">
        <v>46101.552059895832</v>
      </c>
      <c r="B641" s="10" t="s">
        <v>790</v>
      </c>
      <c r="C641" s="10" t="s">
        <v>791</v>
      </c>
      <c r="D641" s="10" t="s">
        <v>3131</v>
      </c>
      <c r="E641" s="10" t="s">
        <v>3132</v>
      </c>
      <c r="G641" s="10" t="s">
        <v>3133</v>
      </c>
      <c r="I641" s="10" t="s">
        <v>255</v>
      </c>
      <c r="J641" s="16">
        <v>46313</v>
      </c>
      <c r="K641" s="16">
        <v>46314</v>
      </c>
      <c r="L641" s="17">
        <v>0.45833333333575865</v>
      </c>
      <c r="M641" s="17">
        <v>0.91666666666424135</v>
      </c>
      <c r="N641" s="10" t="s">
        <v>73</v>
      </c>
      <c r="O641" s="10" t="s">
        <v>190</v>
      </c>
      <c r="P641" s="10" t="s">
        <v>63</v>
      </c>
      <c r="Q641" s="10" t="s">
        <v>629</v>
      </c>
      <c r="R641" s="10" t="s">
        <v>1002</v>
      </c>
      <c r="S641" s="19">
        <v>10000</v>
      </c>
      <c r="W641" s="10" t="s">
        <v>863</v>
      </c>
      <c r="Y641" s="10" t="s">
        <v>795</v>
      </c>
      <c r="Z641" s="10" t="s">
        <v>66</v>
      </c>
      <c r="AA641" s="10" t="s">
        <v>66</v>
      </c>
      <c r="AB641" s="10" t="s">
        <v>66</v>
      </c>
      <c r="AC641" s="10" t="s">
        <v>68</v>
      </c>
      <c r="AD641" s="10" t="str">
        <f>IFERROR(VLOOKUP(B641,'Regiões Administrativas'!$A$1:$B$646,2,0),"")</f>
        <v>Campinas</v>
      </c>
      <c r="AE641" s="10">
        <f>IFERROR(VLOOKUP(Form_Responses[[#This Row],[Município]],'Regiões Administrativas'!$A$1:$I$646,3,0),"")</f>
        <v>15710</v>
      </c>
      <c r="AF641" s="10">
        <f>IFERROR(VLOOKUP(Form_Responses[[#This Row],[Município]],'Regiões Administrativas'!$A$1:$I$646,4,0),"")</f>
        <v>350950205000001</v>
      </c>
      <c r="AG641" s="10">
        <f>IFERROR(VLOOKUP(Form_Responses[[#This Row],[Município]],'Regiões Administrativas'!$A$1:$I$646,4,0),"")</f>
        <v>350950205000001</v>
      </c>
      <c r="AH641" s="10">
        <f>IFERROR(VLOOKUP(B641,'Regiões Administrativas'!$A$1:$I$646,5,0),"")</f>
        <v>3509502</v>
      </c>
      <c r="AI641" s="10">
        <f>IFERROR(VLOOKUP(B641,'Regiões Administrativas'!$A$1:$I$646,6,0),"")</f>
        <v>-47.060156300000003</v>
      </c>
      <c r="AJ641" s="10">
        <f>IFERROR(VLOOKUP(B641,'Regiões Administrativas'!$A$1:$I$646,8,0),"")</f>
        <v>688.98713699999996</v>
      </c>
      <c r="AK641" s="10" t="str">
        <f>IFERROR(VLOOKUP(Form_Responses[[#This Row],[Município]],'Regiões Administrativas'!$A$1:$I$646,9,0),"")</f>
        <v>1J6tL4:8Z?Sf</v>
      </c>
    </row>
    <row r="642" spans="1:37" ht="22.5" customHeight="1">
      <c r="A642" s="18">
        <v>46101.555296724538</v>
      </c>
      <c r="B642" s="10" t="s">
        <v>790</v>
      </c>
      <c r="C642" s="10" t="s">
        <v>791</v>
      </c>
      <c r="D642" s="10" t="s">
        <v>3134</v>
      </c>
      <c r="E642" s="10" t="s">
        <v>3135</v>
      </c>
      <c r="G642" s="10" t="s">
        <v>3136</v>
      </c>
      <c r="I642" s="10" t="s">
        <v>162</v>
      </c>
      <c r="J642" s="16">
        <v>46362</v>
      </c>
      <c r="K642" s="16">
        <v>46362</v>
      </c>
      <c r="N642" s="10" t="s">
        <v>73</v>
      </c>
      <c r="O642" s="10" t="s">
        <v>45</v>
      </c>
      <c r="P642" s="10" t="s">
        <v>63</v>
      </c>
      <c r="Q642" s="10" t="s">
        <v>47</v>
      </c>
      <c r="R642" s="10" t="s">
        <v>74</v>
      </c>
      <c r="S642" s="19">
        <v>20000</v>
      </c>
      <c r="W642" s="10" t="s">
        <v>3137</v>
      </c>
      <c r="Y642" s="10" t="s">
        <v>795</v>
      </c>
      <c r="Z642" s="10" t="s">
        <v>66</v>
      </c>
      <c r="AA642" s="10" t="s">
        <v>66</v>
      </c>
      <c r="AB642" s="10" t="s">
        <v>66</v>
      </c>
      <c r="AC642" s="10" t="s">
        <v>68</v>
      </c>
      <c r="AD642" s="10" t="str">
        <f>IFERROR(VLOOKUP(B642,'Regiões Administrativas'!$A$1:$B$646,2,0),"")</f>
        <v>Campinas</v>
      </c>
      <c r="AE642" s="10">
        <f>IFERROR(VLOOKUP(Form_Responses[[#This Row],[Município]],'Regiões Administrativas'!$A$1:$I$646,3,0),"")</f>
        <v>15710</v>
      </c>
      <c r="AF642" s="10">
        <f>IFERROR(VLOOKUP(Form_Responses[[#This Row],[Município]],'Regiões Administrativas'!$A$1:$I$646,4,0),"")</f>
        <v>350950205000001</v>
      </c>
      <c r="AG642" s="10">
        <f>IFERROR(VLOOKUP(Form_Responses[[#This Row],[Município]],'Regiões Administrativas'!$A$1:$I$646,4,0),"")</f>
        <v>350950205000001</v>
      </c>
      <c r="AH642" s="10">
        <f>IFERROR(VLOOKUP(B642,'Regiões Administrativas'!$A$1:$I$646,5,0),"")</f>
        <v>3509502</v>
      </c>
      <c r="AI642" s="10">
        <f>IFERROR(VLOOKUP(B642,'Regiões Administrativas'!$A$1:$I$646,6,0),"")</f>
        <v>-47.060156300000003</v>
      </c>
      <c r="AJ642" s="10">
        <f>IFERROR(VLOOKUP(B642,'Regiões Administrativas'!$A$1:$I$646,8,0),"")</f>
        <v>688.98713699999996</v>
      </c>
      <c r="AK642" s="10" t="str">
        <f>IFERROR(VLOOKUP(Form_Responses[[#This Row],[Município]],'Regiões Administrativas'!$A$1:$I$646,9,0),"")</f>
        <v>1J6tL4:8Z?Sf</v>
      </c>
    </row>
    <row r="643" spans="1:37" ht="22.5" customHeight="1">
      <c r="A643" s="18">
        <v>46101.559148449072</v>
      </c>
      <c r="B643" s="10" t="s">
        <v>790</v>
      </c>
      <c r="C643" s="10" t="s">
        <v>791</v>
      </c>
      <c r="D643" s="10" t="s">
        <v>3138</v>
      </c>
      <c r="E643" s="10" t="s">
        <v>3139</v>
      </c>
      <c r="G643" s="10" t="s">
        <v>3140</v>
      </c>
      <c r="I643" s="10" t="s">
        <v>162</v>
      </c>
      <c r="J643" s="16">
        <v>46357</v>
      </c>
      <c r="K643" s="16">
        <v>46379</v>
      </c>
      <c r="N643" s="10" t="s">
        <v>268</v>
      </c>
      <c r="O643" s="10" t="s">
        <v>45</v>
      </c>
      <c r="P643" s="10" t="s">
        <v>251</v>
      </c>
      <c r="Q643" s="10" t="s">
        <v>47</v>
      </c>
      <c r="R643" s="10" t="s">
        <v>74</v>
      </c>
      <c r="S643" s="19">
        <v>1000</v>
      </c>
      <c r="W643" s="10" t="s">
        <v>1130</v>
      </c>
      <c r="Y643" s="10" t="s">
        <v>795</v>
      </c>
      <c r="Z643" s="10" t="s">
        <v>66</v>
      </c>
      <c r="AA643" s="10" t="s">
        <v>66</v>
      </c>
      <c r="AB643" s="10" t="s">
        <v>66</v>
      </c>
      <c r="AC643" s="10" t="s">
        <v>68</v>
      </c>
      <c r="AD643" s="10" t="str">
        <f>IFERROR(VLOOKUP(B643,'Regiões Administrativas'!$A$1:$B$646,2,0),"")</f>
        <v>Campinas</v>
      </c>
      <c r="AE643" s="10">
        <f>IFERROR(VLOOKUP(Form_Responses[[#This Row],[Município]],'Regiões Administrativas'!$A$1:$I$646,3,0),"")</f>
        <v>15710</v>
      </c>
      <c r="AF643" s="10">
        <f>IFERROR(VLOOKUP(Form_Responses[[#This Row],[Município]],'Regiões Administrativas'!$A$1:$I$646,4,0),"")</f>
        <v>350950205000001</v>
      </c>
      <c r="AG643" s="10">
        <f>IFERROR(VLOOKUP(Form_Responses[[#This Row],[Município]],'Regiões Administrativas'!$A$1:$I$646,4,0),"")</f>
        <v>350950205000001</v>
      </c>
      <c r="AH643" s="10">
        <f>IFERROR(VLOOKUP(B643,'Regiões Administrativas'!$A$1:$I$646,5,0),"")</f>
        <v>3509502</v>
      </c>
      <c r="AI643" s="10">
        <f>IFERROR(VLOOKUP(B643,'Regiões Administrativas'!$A$1:$I$646,6,0),"")</f>
        <v>-47.060156300000003</v>
      </c>
      <c r="AJ643" s="10">
        <f>IFERROR(VLOOKUP(B643,'Regiões Administrativas'!$A$1:$I$646,8,0),"")</f>
        <v>688.98713699999996</v>
      </c>
      <c r="AK643" s="10" t="str">
        <f>IFERROR(VLOOKUP(Form_Responses[[#This Row],[Município]],'Regiões Administrativas'!$A$1:$I$646,9,0),"")</f>
        <v>1J6tL4:8Z?Sf</v>
      </c>
    </row>
    <row r="644" spans="1:37" ht="22.5" customHeight="1">
      <c r="A644" s="18">
        <v>46101.665467013889</v>
      </c>
      <c r="B644" s="10" t="s">
        <v>3050</v>
      </c>
      <c r="C644" s="10" t="s">
        <v>791</v>
      </c>
      <c r="D644" s="10" t="s">
        <v>3141</v>
      </c>
      <c r="E644" s="10" t="s">
        <v>3142</v>
      </c>
      <c r="G644" s="10" t="s">
        <v>3143</v>
      </c>
      <c r="H644" s="72" t="s">
        <v>3144</v>
      </c>
      <c r="I644" s="10" t="s">
        <v>60</v>
      </c>
      <c r="J644" s="16">
        <v>46176</v>
      </c>
      <c r="K644" s="16">
        <v>46187</v>
      </c>
      <c r="N644" s="10" t="s">
        <v>44</v>
      </c>
      <c r="O644" s="10" t="s">
        <v>45</v>
      </c>
      <c r="P644" s="10" t="s">
        <v>46</v>
      </c>
      <c r="Q644" s="10" t="s">
        <v>47</v>
      </c>
      <c r="R644" s="10" t="s">
        <v>230</v>
      </c>
      <c r="S644" s="10">
        <v>400000</v>
      </c>
      <c r="T644" s="10">
        <v>300000</v>
      </c>
      <c r="U644" s="10">
        <v>250000</v>
      </c>
      <c r="V644" s="10">
        <v>397000</v>
      </c>
      <c r="W644" s="10" t="s">
        <v>3145</v>
      </c>
      <c r="X644" s="72" t="s">
        <v>3146</v>
      </c>
      <c r="Y644" s="72" t="s">
        <v>3146</v>
      </c>
      <c r="Z644" s="10" t="s">
        <v>296</v>
      </c>
      <c r="AA644" s="10" t="s">
        <v>751</v>
      </c>
      <c r="AB644" s="10" t="s">
        <v>54</v>
      </c>
      <c r="AC644" s="10" t="s">
        <v>55</v>
      </c>
      <c r="AD644" s="10" t="str">
        <f>IFERROR(VLOOKUP(B644,'Regiões Administrativas'!$A$1:$B$646,2,0),"")</f>
        <v>Campinas</v>
      </c>
      <c r="AE644" s="10">
        <f>IFERROR(VLOOKUP(Form_Responses[[#This Row],[Município]],'Regiões Administrativas'!$A$1:$I$646,3,0),"")</f>
        <v>15370</v>
      </c>
      <c r="AF644" s="10">
        <f>IFERROR(VLOOKUP(Form_Responses[[#This Row],[Município]],'Regiões Administrativas'!$A$1:$I$646,4,0),"")</f>
        <v>350160805000001</v>
      </c>
      <c r="AG644" s="10">
        <f>IFERROR(VLOOKUP(Form_Responses[[#This Row],[Município]],'Regiões Administrativas'!$A$1:$I$646,4,0),"")</f>
        <v>350160805000001</v>
      </c>
      <c r="AH644" s="10">
        <f>IFERROR(VLOOKUP(B644,'Regiões Administrativas'!$A$1:$I$646,5,0),"")</f>
        <v>3501608</v>
      </c>
      <c r="AI644" s="10">
        <f>IFERROR(VLOOKUP(B644,'Regiões Administrativas'!$A$1:$I$646,6,0),"")</f>
        <v>-47.330362899999997</v>
      </c>
      <c r="AJ644" s="10">
        <f>IFERROR(VLOOKUP(B644,'Regiões Administrativas'!$A$1:$I$646,8,0),"")</f>
        <v>550.36578499999996</v>
      </c>
      <c r="AK644" s="10" t="str">
        <f>IFERROR(VLOOKUP(Form_Responses[[#This Row],[Município]],'Regiões Administrativas'!$A$1:$I$646,9,0),"")</f>
        <v>1J6thLYg1]L-</v>
      </c>
    </row>
    <row r="645" spans="1:37" ht="19.5" customHeight="1">
      <c r="A645" s="18">
        <v>46103.73338849537</v>
      </c>
      <c r="B645" s="10" t="s">
        <v>3147</v>
      </c>
      <c r="C645" s="10" t="s">
        <v>1324</v>
      </c>
      <c r="D645" s="10" t="s">
        <v>3148</v>
      </c>
      <c r="E645" s="10" t="s">
        <v>3149</v>
      </c>
      <c r="G645" s="10" t="s">
        <v>3150</v>
      </c>
      <c r="I645" s="10" t="s">
        <v>43</v>
      </c>
      <c r="J645" s="16">
        <v>46236</v>
      </c>
      <c r="K645" s="16">
        <v>46264</v>
      </c>
      <c r="N645" s="10" t="s">
        <v>44</v>
      </c>
      <c r="O645" s="10" t="s">
        <v>190</v>
      </c>
      <c r="P645" s="10" t="s">
        <v>63</v>
      </c>
      <c r="Q645" s="10" t="s">
        <v>365</v>
      </c>
      <c r="R645" s="10" t="s">
        <v>74</v>
      </c>
      <c r="S645" s="10">
        <v>156000</v>
      </c>
      <c r="T645" s="10">
        <v>156000</v>
      </c>
      <c r="U645" s="10">
        <v>148000</v>
      </c>
      <c r="V645" s="10">
        <v>148000</v>
      </c>
      <c r="W645" s="10" t="s">
        <v>3151</v>
      </c>
      <c r="Y645" s="10" t="s">
        <v>3152</v>
      </c>
      <c r="Z645" s="10" t="s">
        <v>224</v>
      </c>
      <c r="AA645" s="10" t="s">
        <v>66</v>
      </c>
      <c r="AB645" s="10" t="s">
        <v>66</v>
      </c>
      <c r="AC645" s="10" t="s">
        <v>68</v>
      </c>
      <c r="AD645" s="10" t="str">
        <f>IFERROR(VLOOKUP(B645,'Regiões Administrativas'!$A$1:$B$646,2,0),"")</f>
        <v>RMSP</v>
      </c>
      <c r="AE645" s="10">
        <f>IFERROR(VLOOKUP(Form_Responses[[#This Row],[Município]],'Regiões Administrativas'!$A$1:$I$646,3,0),"")</f>
        <v>17154</v>
      </c>
      <c r="AF645" s="10">
        <f>IFERROR(VLOOKUP(Form_Responses[[#This Row],[Município]],'Regiões Administrativas'!$A$1:$I$646,4,0),"")</f>
        <v>354880705000001</v>
      </c>
      <c r="AG645" s="10">
        <f>IFERROR(VLOOKUP(Form_Responses[[#This Row],[Município]],'Regiões Administrativas'!$A$1:$I$646,4,0),"")</f>
        <v>354880705000001</v>
      </c>
      <c r="AH645" s="10">
        <f>IFERROR(VLOOKUP(B645,'Regiões Administrativas'!$A$1:$I$646,5,0),"")</f>
        <v>3548807</v>
      </c>
      <c r="AI645" s="10">
        <f>IFERROR(VLOOKUP(B645,'Regiões Administrativas'!$A$1:$I$646,6,0),"")</f>
        <v>-46.5715146</v>
      </c>
      <c r="AJ645" s="10">
        <f>IFERROR(VLOOKUP(B645,'Regiões Administrativas'!$A$1:$I$646,8,0),"")</f>
        <v>754.99158699999998</v>
      </c>
      <c r="AK645" s="10" t="str">
        <f>IFERROR(VLOOKUP(Form_Responses[[#This Row],[Município]],'Regiões Administrativas'!$A$1:$I$646,9,0),"")</f>
        <v>1J6to+eThWDf</v>
      </c>
    </row>
    <row r="646" spans="1:37" ht="22.5" customHeight="1">
      <c r="A646" s="18">
        <v>46104.410381643524</v>
      </c>
      <c r="B646" s="10" t="s">
        <v>3153</v>
      </c>
      <c r="C646" s="10" t="s">
        <v>1109</v>
      </c>
      <c r="D646" s="10" t="s">
        <v>3154</v>
      </c>
      <c r="E646" s="10" t="s">
        <v>3155</v>
      </c>
      <c r="G646" s="10" t="s">
        <v>3156</v>
      </c>
      <c r="H646" s="72" t="s">
        <v>3157</v>
      </c>
      <c r="I646" s="10" t="s">
        <v>60</v>
      </c>
      <c r="J646" s="16">
        <v>46177</v>
      </c>
      <c r="K646" s="16">
        <v>46180</v>
      </c>
      <c r="L646" s="17">
        <v>0.66666666666424135</v>
      </c>
      <c r="M646" s="17">
        <v>0.91666666666424135</v>
      </c>
      <c r="N646" s="10" t="s">
        <v>73</v>
      </c>
      <c r="O646" s="10" t="s">
        <v>45</v>
      </c>
      <c r="P646" s="10" t="s">
        <v>302</v>
      </c>
      <c r="Q646" s="10" t="s">
        <v>47</v>
      </c>
      <c r="R646" s="10" t="s">
        <v>74</v>
      </c>
      <c r="S646" s="10">
        <v>5000</v>
      </c>
      <c r="T646" s="10">
        <v>5000</v>
      </c>
      <c r="U646" s="10">
        <v>4000</v>
      </c>
      <c r="V646" s="10">
        <v>3000</v>
      </c>
      <c r="W646" s="10" t="s">
        <v>2741</v>
      </c>
      <c r="X646" s="10" t="s">
        <v>164</v>
      </c>
      <c r="Y646" s="10" t="s">
        <v>3158</v>
      </c>
      <c r="Z646" s="10" t="s">
        <v>76</v>
      </c>
      <c r="AA646" s="10" t="s">
        <v>225</v>
      </c>
      <c r="AB646" s="10" t="s">
        <v>66</v>
      </c>
      <c r="AC646" s="10" t="s">
        <v>68</v>
      </c>
      <c r="AD646" s="10" t="str">
        <f>IFERROR(VLOOKUP(B646,'Regiões Administrativas'!$A$1:$B$646,2,0),"")</f>
        <v>Campinas</v>
      </c>
      <c r="AE646" s="10">
        <f>IFERROR(VLOOKUP(Form_Responses[[#This Row],[Município]],'Regiões Administrativas'!$A$1:$I$646,3,0),"")</f>
        <v>15636</v>
      </c>
      <c r="AF646" s="10">
        <f>IFERROR(VLOOKUP(Form_Responses[[#This Row],[Município]],'Regiões Administrativas'!$A$1:$I$646,4,0),"")</f>
        <v>350790205000001</v>
      </c>
      <c r="AG646" s="10">
        <f>IFERROR(VLOOKUP(Form_Responses[[#This Row],[Município]],'Regiões Administrativas'!$A$1:$I$646,4,0),"")</f>
        <v>350790205000001</v>
      </c>
      <c r="AH646" s="10">
        <f>IFERROR(VLOOKUP(B646,'Regiões Administrativas'!$A$1:$I$646,5,0),"")</f>
        <v>3507902</v>
      </c>
      <c r="AI646" s="10">
        <f>IFERROR(VLOOKUP(B646,'Regiões Administrativas'!$A$1:$I$646,6,0),"")</f>
        <v>-48.126833300000001</v>
      </c>
      <c r="AJ646" s="10">
        <f>IFERROR(VLOOKUP(B646,'Regiões Administrativas'!$A$1:$I$646,8,0),"")</f>
        <v>643.28009999999995</v>
      </c>
      <c r="AK646" s="10" t="str">
        <f>IFERROR(VLOOKUP(Form_Responses[[#This Row],[Município]],'Regiões Administrativas'!$A$1:$I$646,9,0),"")</f>
        <v>1J6Ru7L*YgPf</v>
      </c>
    </row>
    <row r="647" spans="1:37" ht="22.5" customHeight="1">
      <c r="A647" s="18">
        <v>46104.413642083338</v>
      </c>
      <c r="B647" s="10" t="s">
        <v>3153</v>
      </c>
      <c r="C647" s="10" t="s">
        <v>1109</v>
      </c>
      <c r="D647" s="10" t="s">
        <v>3159</v>
      </c>
      <c r="E647" s="10" t="s">
        <v>3160</v>
      </c>
      <c r="G647" s="10" t="s">
        <v>3161</v>
      </c>
      <c r="H647" s="72" t="s">
        <v>3157</v>
      </c>
      <c r="I647" s="10" t="s">
        <v>72</v>
      </c>
      <c r="J647" s="16">
        <v>46208</v>
      </c>
      <c r="K647" s="16">
        <v>46209</v>
      </c>
      <c r="L647" s="17">
        <v>0.75</v>
      </c>
      <c r="M647" s="17">
        <v>0.91666666666424135</v>
      </c>
      <c r="N647" s="10" t="s">
        <v>73</v>
      </c>
      <c r="O647" s="10" t="s">
        <v>45</v>
      </c>
      <c r="P647" s="10" t="s">
        <v>63</v>
      </c>
      <c r="Q647" s="10" t="s">
        <v>47</v>
      </c>
      <c r="R647" s="10" t="s">
        <v>48</v>
      </c>
      <c r="S647" s="10">
        <v>10000</v>
      </c>
      <c r="T647" s="10">
        <v>8000</v>
      </c>
      <c r="U647" s="10">
        <v>6000</v>
      </c>
      <c r="V647" s="10">
        <v>5000</v>
      </c>
      <c r="W647" s="10" t="s">
        <v>3162</v>
      </c>
      <c r="X647" s="10" t="s">
        <v>683</v>
      </c>
      <c r="Y647" s="10" t="s">
        <v>3163</v>
      </c>
      <c r="Z647" s="10" t="s">
        <v>76</v>
      </c>
      <c r="AA647" s="10" t="s">
        <v>93</v>
      </c>
      <c r="AB647" s="10" t="s">
        <v>66</v>
      </c>
      <c r="AC647" s="10" t="s">
        <v>68</v>
      </c>
      <c r="AD647" s="10" t="str">
        <f>IFERROR(VLOOKUP(B647,'Regiões Administrativas'!$A$1:$B$646,2,0),"")</f>
        <v>Campinas</v>
      </c>
      <c r="AE647" s="10">
        <f>IFERROR(VLOOKUP(Form_Responses[[#This Row],[Município]],'Regiões Administrativas'!$A$1:$I$646,3,0),"")</f>
        <v>15636</v>
      </c>
      <c r="AF647" s="10">
        <f>IFERROR(VLOOKUP(Form_Responses[[#This Row],[Município]],'Regiões Administrativas'!$A$1:$I$646,4,0),"")</f>
        <v>350790205000001</v>
      </c>
      <c r="AG647" s="10">
        <f>IFERROR(VLOOKUP(Form_Responses[[#This Row],[Município]],'Regiões Administrativas'!$A$1:$I$646,4,0),"")</f>
        <v>350790205000001</v>
      </c>
      <c r="AH647" s="10">
        <f>IFERROR(VLOOKUP(B647,'Regiões Administrativas'!$A$1:$I$646,5,0),"")</f>
        <v>3507902</v>
      </c>
      <c r="AI647" s="10">
        <f>IFERROR(VLOOKUP(B647,'Regiões Administrativas'!$A$1:$I$646,6,0),"")</f>
        <v>-48.126833300000001</v>
      </c>
      <c r="AJ647" s="10">
        <f>IFERROR(VLOOKUP(B647,'Regiões Administrativas'!$A$1:$I$646,8,0),"")</f>
        <v>643.28009999999995</v>
      </c>
      <c r="AK647" s="10" t="str">
        <f>IFERROR(VLOOKUP(Form_Responses[[#This Row],[Município]],'Regiões Administrativas'!$A$1:$I$646,9,0),"")</f>
        <v>1J6Ru7L*YgPf</v>
      </c>
    </row>
    <row r="648" spans="1:37" ht="22.5" customHeight="1">
      <c r="A648" s="18">
        <v>46104.416129363424</v>
      </c>
      <c r="B648" s="10" t="s">
        <v>3153</v>
      </c>
      <c r="C648" s="10" t="s">
        <v>1109</v>
      </c>
      <c r="D648" s="10" t="s">
        <v>3164</v>
      </c>
      <c r="E648" s="10" t="s">
        <v>3165</v>
      </c>
      <c r="G648" s="10" t="s">
        <v>3166</v>
      </c>
      <c r="H648" s="72" t="s">
        <v>3167</v>
      </c>
      <c r="I648" s="10" t="s">
        <v>43</v>
      </c>
      <c r="J648" s="16">
        <v>46247</v>
      </c>
      <c r="K648" s="16">
        <v>46250</v>
      </c>
      <c r="L648" s="17">
        <v>0.79166666666424135</v>
      </c>
      <c r="M648" s="17">
        <v>0.95833333333575865</v>
      </c>
      <c r="N648" s="10" t="s">
        <v>73</v>
      </c>
      <c r="O648" s="10" t="s">
        <v>190</v>
      </c>
      <c r="P648" s="10" t="s">
        <v>63</v>
      </c>
      <c r="Q648" s="10" t="s">
        <v>47</v>
      </c>
      <c r="R648" s="10" t="s">
        <v>48</v>
      </c>
      <c r="S648" s="10">
        <v>24000</v>
      </c>
      <c r="T648" s="10">
        <v>0</v>
      </c>
      <c r="U648" s="10">
        <v>24000</v>
      </c>
      <c r="V648" s="10">
        <v>20000</v>
      </c>
      <c r="W648" s="10" t="s">
        <v>3168</v>
      </c>
      <c r="X648" s="10" t="s">
        <v>164</v>
      </c>
      <c r="Y648" s="10" t="s">
        <v>3169</v>
      </c>
      <c r="Z648" s="10" t="s">
        <v>76</v>
      </c>
      <c r="AA648" s="10" t="s">
        <v>93</v>
      </c>
      <c r="AB648" s="10" t="s">
        <v>66</v>
      </c>
      <c r="AC648" s="10" t="s">
        <v>68</v>
      </c>
      <c r="AD648" s="10" t="str">
        <f>IFERROR(VLOOKUP(B648,'Regiões Administrativas'!$A$1:$B$646,2,0),"")</f>
        <v>Campinas</v>
      </c>
      <c r="AE648" s="10">
        <f>IFERROR(VLOOKUP(Form_Responses[[#This Row],[Município]],'Regiões Administrativas'!$A$1:$I$646,3,0),"")</f>
        <v>15636</v>
      </c>
      <c r="AF648" s="10">
        <f>IFERROR(VLOOKUP(Form_Responses[[#This Row],[Município]],'Regiões Administrativas'!$A$1:$I$646,4,0),"")</f>
        <v>350790205000001</v>
      </c>
      <c r="AG648" s="10">
        <f>IFERROR(VLOOKUP(Form_Responses[[#This Row],[Município]],'Regiões Administrativas'!$A$1:$I$646,4,0),"")</f>
        <v>350790205000001</v>
      </c>
      <c r="AH648" s="10">
        <f>IFERROR(VLOOKUP(B648,'Regiões Administrativas'!$A$1:$I$646,5,0),"")</f>
        <v>3507902</v>
      </c>
      <c r="AI648" s="10">
        <f>IFERROR(VLOOKUP(B648,'Regiões Administrativas'!$A$1:$I$646,6,0),"")</f>
        <v>-48.126833300000001</v>
      </c>
      <c r="AJ648" s="10">
        <f>IFERROR(VLOOKUP(B648,'Regiões Administrativas'!$A$1:$I$646,8,0),"")</f>
        <v>643.28009999999995</v>
      </c>
      <c r="AK648" s="10" t="str">
        <f>IFERROR(VLOOKUP(Form_Responses[[#This Row],[Município]],'Regiões Administrativas'!$A$1:$I$646,9,0),"")</f>
        <v>1J6Ru7L*YgPf</v>
      </c>
    </row>
    <row r="649" spans="1:37" ht="22.5" customHeight="1">
      <c r="A649" s="18">
        <v>46104.420982662035</v>
      </c>
      <c r="B649" s="10" t="s">
        <v>3153</v>
      </c>
      <c r="C649" s="10" t="s">
        <v>1109</v>
      </c>
      <c r="D649" s="10" t="s">
        <v>3170</v>
      </c>
      <c r="E649" s="10" t="s">
        <v>3171</v>
      </c>
      <c r="G649" s="10" t="s">
        <v>3172</v>
      </c>
      <c r="H649" s="72" t="s">
        <v>3173</v>
      </c>
      <c r="I649" s="10" t="s">
        <v>43</v>
      </c>
      <c r="J649" s="16">
        <v>46255</v>
      </c>
      <c r="K649" s="16">
        <v>46256</v>
      </c>
      <c r="L649" s="17">
        <v>0.77083333333575865</v>
      </c>
      <c r="M649" s="17">
        <v>0.79166666666424135</v>
      </c>
      <c r="N649" s="10" t="s">
        <v>61</v>
      </c>
      <c r="O649" s="10" t="s">
        <v>62</v>
      </c>
      <c r="P649" s="10" t="s">
        <v>63</v>
      </c>
      <c r="Q649" s="10" t="s">
        <v>47</v>
      </c>
      <c r="R649" s="10" t="s">
        <v>230</v>
      </c>
      <c r="S649" s="10">
        <v>600</v>
      </c>
      <c r="T649" s="10">
        <v>500</v>
      </c>
      <c r="U649" s="10">
        <v>500</v>
      </c>
      <c r="V649" s="10">
        <v>500</v>
      </c>
      <c r="W649" s="10" t="s">
        <v>2255</v>
      </c>
      <c r="X649" s="72" t="s">
        <v>3174</v>
      </c>
      <c r="Y649" s="10" t="s">
        <v>2260</v>
      </c>
      <c r="Z649" s="10" t="s">
        <v>66</v>
      </c>
      <c r="AA649" s="10" t="s">
        <v>66</v>
      </c>
      <c r="AB649" s="10" t="s">
        <v>66</v>
      </c>
      <c r="AC649" s="10" t="s">
        <v>55</v>
      </c>
      <c r="AD649" s="10" t="str">
        <f>IFERROR(VLOOKUP(B649,'Regiões Administrativas'!$A$1:$B$646,2,0),"")</f>
        <v>Campinas</v>
      </c>
      <c r="AE649" s="10">
        <f>IFERROR(VLOOKUP(Form_Responses[[#This Row],[Município]],'Regiões Administrativas'!$A$1:$I$646,3,0),"")</f>
        <v>15636</v>
      </c>
      <c r="AF649" s="10">
        <f>IFERROR(VLOOKUP(Form_Responses[[#This Row],[Município]],'Regiões Administrativas'!$A$1:$I$646,4,0),"")</f>
        <v>350790205000001</v>
      </c>
      <c r="AG649" s="10">
        <f>IFERROR(VLOOKUP(Form_Responses[[#This Row],[Município]],'Regiões Administrativas'!$A$1:$I$646,4,0),"")</f>
        <v>350790205000001</v>
      </c>
      <c r="AH649" s="10">
        <f>IFERROR(VLOOKUP(B649,'Regiões Administrativas'!$A$1:$I$646,5,0),"")</f>
        <v>3507902</v>
      </c>
      <c r="AI649" s="10">
        <f>IFERROR(VLOOKUP(B649,'Regiões Administrativas'!$A$1:$I$646,6,0),"")</f>
        <v>-48.126833300000001</v>
      </c>
      <c r="AJ649" s="10">
        <f>IFERROR(VLOOKUP(B649,'Regiões Administrativas'!$A$1:$I$646,8,0),"")</f>
        <v>643.28009999999995</v>
      </c>
      <c r="AK649" s="10" t="str">
        <f>IFERROR(VLOOKUP(Form_Responses[[#This Row],[Município]],'Regiões Administrativas'!$A$1:$I$646,9,0),"")</f>
        <v>1J6Ru7L*YgPf</v>
      </c>
    </row>
    <row r="650" spans="1:37" ht="22.5" customHeight="1">
      <c r="A650" s="18">
        <v>46104.426745578705</v>
      </c>
      <c r="B650" s="10" t="s">
        <v>3153</v>
      </c>
      <c r="C650" s="10" t="s">
        <v>1109</v>
      </c>
      <c r="D650" s="10" t="s">
        <v>3175</v>
      </c>
      <c r="E650" s="10" t="s">
        <v>3176</v>
      </c>
      <c r="G650" s="10" t="s">
        <v>3177</v>
      </c>
      <c r="H650" s="72" t="s">
        <v>3178</v>
      </c>
      <c r="I650" s="10" t="s">
        <v>81</v>
      </c>
      <c r="J650" s="16">
        <v>46284</v>
      </c>
      <c r="K650" s="16">
        <v>46285</v>
      </c>
      <c r="L650" s="17">
        <v>0.25</v>
      </c>
      <c r="M650" s="17">
        <v>0.66666666666424135</v>
      </c>
      <c r="N650" s="10" t="s">
        <v>61</v>
      </c>
      <c r="O650" s="10" t="s">
        <v>62</v>
      </c>
      <c r="P650" s="10" t="s">
        <v>63</v>
      </c>
      <c r="Q650" s="10" t="s">
        <v>47</v>
      </c>
      <c r="R650" s="10" t="s">
        <v>48</v>
      </c>
      <c r="S650" s="10">
        <v>3000</v>
      </c>
      <c r="T650" s="10">
        <v>2000</v>
      </c>
      <c r="U650" s="10">
        <v>2000</v>
      </c>
      <c r="V650" s="10">
        <v>2000</v>
      </c>
      <c r="W650" s="10" t="s">
        <v>3179</v>
      </c>
      <c r="X650" s="72" t="s">
        <v>3180</v>
      </c>
      <c r="Y650" s="10" t="s">
        <v>3181</v>
      </c>
      <c r="Z650" s="10" t="s">
        <v>66</v>
      </c>
      <c r="AA650" s="10" t="s">
        <v>66</v>
      </c>
      <c r="AB650" s="10" t="s">
        <v>66</v>
      </c>
      <c r="AC650" s="10" t="s">
        <v>55</v>
      </c>
      <c r="AD650" s="10" t="str">
        <f>IFERROR(VLOOKUP(B650,'Regiões Administrativas'!$A$1:$B$646,2,0),"")</f>
        <v>Campinas</v>
      </c>
      <c r="AE650" s="10">
        <f>IFERROR(VLOOKUP(Form_Responses[[#This Row],[Município]],'Regiões Administrativas'!$A$1:$I$646,3,0),"")</f>
        <v>15636</v>
      </c>
      <c r="AF650" s="10">
        <f>IFERROR(VLOOKUP(Form_Responses[[#This Row],[Município]],'Regiões Administrativas'!$A$1:$I$646,4,0),"")</f>
        <v>350790205000001</v>
      </c>
      <c r="AG650" s="10">
        <f>IFERROR(VLOOKUP(Form_Responses[[#This Row],[Município]],'Regiões Administrativas'!$A$1:$I$646,4,0),"")</f>
        <v>350790205000001</v>
      </c>
      <c r="AH650" s="10">
        <f>IFERROR(VLOOKUP(B650,'Regiões Administrativas'!$A$1:$I$646,5,0),"")</f>
        <v>3507902</v>
      </c>
      <c r="AI650" s="10">
        <f>IFERROR(VLOOKUP(B650,'Regiões Administrativas'!$A$1:$I$646,6,0),"")</f>
        <v>-48.126833300000001</v>
      </c>
      <c r="AJ650" s="10">
        <f>IFERROR(VLOOKUP(B650,'Regiões Administrativas'!$A$1:$I$646,8,0),"")</f>
        <v>643.28009999999995</v>
      </c>
      <c r="AK650" s="10" t="str">
        <f>IFERROR(VLOOKUP(Form_Responses[[#This Row],[Município]],'Regiões Administrativas'!$A$1:$I$646,9,0),"")</f>
        <v>1J6Ru7L*YgPf</v>
      </c>
    </row>
    <row r="651" spans="1:37" ht="22.5" customHeight="1">
      <c r="A651" s="18">
        <v>46104.4891559838</v>
      </c>
      <c r="B651" s="10" t="s">
        <v>2231</v>
      </c>
      <c r="C651" s="10" t="s">
        <v>1109</v>
      </c>
      <c r="D651" s="10" t="s">
        <v>3182</v>
      </c>
      <c r="E651" s="10" t="s">
        <v>3183</v>
      </c>
      <c r="G651" s="10" t="s">
        <v>3184</v>
      </c>
      <c r="I651" s="10" t="s">
        <v>43</v>
      </c>
      <c r="J651" s="16">
        <v>46257</v>
      </c>
      <c r="K651" s="16">
        <v>46258</v>
      </c>
      <c r="L651" s="17">
        <v>0.41666666666424135</v>
      </c>
      <c r="M651" s="17">
        <v>0.99930555555329192</v>
      </c>
      <c r="N651" s="10" t="s">
        <v>268</v>
      </c>
      <c r="O651" s="10" t="s">
        <v>45</v>
      </c>
      <c r="P651" s="10" t="s">
        <v>63</v>
      </c>
      <c r="Q651" s="10" t="s">
        <v>47</v>
      </c>
      <c r="R651" s="10" t="s">
        <v>74</v>
      </c>
      <c r="S651" s="10">
        <v>8000</v>
      </c>
      <c r="T651" s="10">
        <v>5000</v>
      </c>
      <c r="U651" s="10">
        <v>4000</v>
      </c>
      <c r="V651" s="10">
        <v>2000</v>
      </c>
      <c r="W651" s="10" t="s">
        <v>990</v>
      </c>
      <c r="Y651" s="10" t="s">
        <v>2235</v>
      </c>
      <c r="Z651" s="10" t="s">
        <v>76</v>
      </c>
      <c r="AA651" s="10" t="s">
        <v>113</v>
      </c>
      <c r="AB651" s="10" t="s">
        <v>66</v>
      </c>
      <c r="AC651" s="10" t="s">
        <v>68</v>
      </c>
      <c r="AD651" s="10" t="str">
        <f>IFERROR(VLOOKUP(B651,'Regiões Administrativas'!$A$1:$B$646,2,0),"")</f>
        <v>Campinas</v>
      </c>
      <c r="AE651" s="10">
        <f>IFERROR(VLOOKUP(Form_Responses[[#This Row],[Município]],'Regiões Administrativas'!$A$1:$I$646,3,0),"")</f>
        <v>17377</v>
      </c>
      <c r="AF651" s="10">
        <f>IFERROR(VLOOKUP(Form_Responses[[#This Row],[Município]],'Regiões Administrativas'!$A$1:$I$646,4,0),"")</f>
        <v>355470605000001</v>
      </c>
      <c r="AG651" s="10">
        <f>IFERROR(VLOOKUP(Form_Responses[[#This Row],[Município]],'Regiões Administrativas'!$A$1:$I$646,4,0),"")</f>
        <v>355470605000001</v>
      </c>
      <c r="AH651" s="10">
        <f>IFERROR(VLOOKUP(B651,'Regiões Administrativas'!$A$1:$I$646,5,0),"")</f>
        <v>3554706</v>
      </c>
      <c r="AI651" s="10">
        <f>IFERROR(VLOOKUP(B651,'Regiões Administrativas'!$A$1:$I$646,6,0),"")</f>
        <v>-48.172157599999998</v>
      </c>
      <c r="AJ651" s="10">
        <f>IFERROR(VLOOKUP(B651,'Regiões Administrativas'!$A$1:$I$646,8,0),"")</f>
        <v>794.43520799999999</v>
      </c>
      <c r="AK651" s="10" t="str">
        <f>IFERROR(VLOOKUP(Form_Responses[[#This Row],[Município]],'Regiões Administrativas'!$A$1:$I$646,9,0),"")</f>
        <v>1J6Rudr;Ml;-</v>
      </c>
    </row>
    <row r="652" spans="1:37" ht="22.5" customHeight="1">
      <c r="A652" s="18">
        <v>46104.603824571765</v>
      </c>
      <c r="B652" s="10" t="s">
        <v>3185</v>
      </c>
      <c r="C652" s="10" t="s">
        <v>885</v>
      </c>
      <c r="D652" s="10" t="s">
        <v>3186</v>
      </c>
      <c r="E652" s="10" t="s">
        <v>3187</v>
      </c>
      <c r="G652" s="10" t="s">
        <v>3188</v>
      </c>
      <c r="I652" s="10" t="s">
        <v>109</v>
      </c>
      <c r="J652" s="16">
        <v>46110</v>
      </c>
      <c r="K652" s="16">
        <v>46110</v>
      </c>
      <c r="L652" s="17">
        <v>0.66666666666424135</v>
      </c>
      <c r="M652" s="17">
        <v>0.83333333333575865</v>
      </c>
      <c r="N652" s="10" t="s">
        <v>268</v>
      </c>
      <c r="O652" s="10" t="s">
        <v>142</v>
      </c>
      <c r="P652" s="10" t="s">
        <v>99</v>
      </c>
      <c r="Q652" s="10" t="s">
        <v>47</v>
      </c>
      <c r="R652" s="10" t="s">
        <v>74</v>
      </c>
      <c r="S652" s="10">
        <v>300</v>
      </c>
      <c r="T652" s="10">
        <v>150</v>
      </c>
      <c r="U652" s="10">
        <v>100</v>
      </c>
      <c r="W652" s="10" t="s">
        <v>3189</v>
      </c>
      <c r="X652" s="10" t="s">
        <v>118</v>
      </c>
      <c r="Y652" s="10" t="s">
        <v>3190</v>
      </c>
      <c r="Z652" s="10" t="s">
        <v>76</v>
      </c>
      <c r="AA652" s="10" t="s">
        <v>206</v>
      </c>
      <c r="AB652" s="10" t="s">
        <v>66</v>
      </c>
      <c r="AC652" s="10" t="s">
        <v>68</v>
      </c>
      <c r="AD652" s="10" t="str">
        <f>IFERROR(VLOOKUP(B652,'Regiões Administrativas'!$A$1:$B$646,2,0),"")</f>
        <v>Franca</v>
      </c>
      <c r="AE652" s="10">
        <f>IFERROR(VLOOKUP(Form_Responses[[#This Row],[Município]],'Regiões Administrativas'!$A$1:$I$646,3,0),"")</f>
        <v>16765</v>
      </c>
      <c r="AF652" s="10">
        <f>IFERROR(VLOOKUP(Form_Responses[[#This Row],[Município]],'Regiões Administrativas'!$A$1:$I$646,4,0),"")</f>
        <v>353700805000001</v>
      </c>
      <c r="AG652" s="10">
        <f>IFERROR(VLOOKUP(Form_Responses[[#This Row],[Município]],'Regiões Administrativas'!$A$1:$I$646,4,0),"")</f>
        <v>353700805000001</v>
      </c>
      <c r="AH652" s="10">
        <f>IFERROR(VLOOKUP(B652,'Regiões Administrativas'!$A$1:$I$646,5,0),"")</f>
        <v>3537008</v>
      </c>
      <c r="AI652" s="10">
        <f>IFERROR(VLOOKUP(B652,'Regiões Administrativas'!$A$1:$I$646,6,0),"")</f>
        <v>-47.481794999999998</v>
      </c>
      <c r="AJ652" s="10">
        <f>IFERROR(VLOOKUP(B652,'Regiões Administrativas'!$A$1:$I$646,8,0),"")</f>
        <v>1010.4828199999999</v>
      </c>
      <c r="AK652" s="10" t="str">
        <f>IFERROR(VLOOKUP(Form_Responses[[#This Row],[Município]],'Regiões Administrativas'!$A$1:$I$646,9,0),"")</f>
        <v>1J6t,uSz@2Z&gt;</v>
      </c>
    </row>
    <row r="653" spans="1:37" ht="22.5" customHeight="1">
      <c r="A653" s="18">
        <v>46104.62235730324</v>
      </c>
      <c r="B653" s="10" t="s">
        <v>3185</v>
      </c>
      <c r="C653" s="10" t="s">
        <v>885</v>
      </c>
      <c r="D653" s="10" t="s">
        <v>3191</v>
      </c>
      <c r="E653" s="10" t="s">
        <v>3192</v>
      </c>
      <c r="G653" s="10" t="s">
        <v>3193</v>
      </c>
      <c r="H653" s="72" t="s">
        <v>3194</v>
      </c>
      <c r="I653" s="10" t="s">
        <v>109</v>
      </c>
      <c r="J653" s="16">
        <v>46100</v>
      </c>
      <c r="K653" s="16">
        <v>46100</v>
      </c>
      <c r="L653" s="17">
        <v>0.66666666666424135</v>
      </c>
      <c r="M653" s="17">
        <v>0.83333333333575865</v>
      </c>
      <c r="N653" s="10" t="s">
        <v>73</v>
      </c>
      <c r="O653" s="10" t="s">
        <v>45</v>
      </c>
      <c r="P653" s="10" t="s">
        <v>99</v>
      </c>
      <c r="Q653" s="10" t="s">
        <v>47</v>
      </c>
      <c r="R653" s="10" t="s">
        <v>74</v>
      </c>
      <c r="S653" s="10">
        <v>300</v>
      </c>
      <c r="T653" s="10">
        <v>200</v>
      </c>
      <c r="U653" s="10">
        <v>150</v>
      </c>
      <c r="W653" s="10" t="s">
        <v>3195</v>
      </c>
      <c r="Y653" s="10" t="s">
        <v>3190</v>
      </c>
      <c r="Z653" s="10" t="s">
        <v>76</v>
      </c>
      <c r="AA653" s="10" t="s">
        <v>2986</v>
      </c>
      <c r="AB653" s="10" t="s">
        <v>66</v>
      </c>
      <c r="AC653" s="10" t="s">
        <v>68</v>
      </c>
      <c r="AD653" s="10" t="str">
        <f>IFERROR(VLOOKUP(B653,'Regiões Administrativas'!$A$1:$B$646,2,0),"")</f>
        <v>Franca</v>
      </c>
      <c r="AE653" s="10">
        <f>IFERROR(VLOOKUP(Form_Responses[[#This Row],[Município]],'Regiões Administrativas'!$A$1:$I$646,3,0),"")</f>
        <v>16765</v>
      </c>
      <c r="AF653" s="10">
        <f>IFERROR(VLOOKUP(Form_Responses[[#This Row],[Município]],'Regiões Administrativas'!$A$1:$I$646,4,0),"")</f>
        <v>353700805000001</v>
      </c>
      <c r="AG653" s="10">
        <f>IFERROR(VLOOKUP(Form_Responses[[#This Row],[Município]],'Regiões Administrativas'!$A$1:$I$646,4,0),"")</f>
        <v>353700805000001</v>
      </c>
      <c r="AH653" s="10">
        <f>IFERROR(VLOOKUP(B653,'Regiões Administrativas'!$A$1:$I$646,5,0),"")</f>
        <v>3537008</v>
      </c>
      <c r="AI653" s="10">
        <f>IFERROR(VLOOKUP(B653,'Regiões Administrativas'!$A$1:$I$646,6,0),"")</f>
        <v>-47.481794999999998</v>
      </c>
      <c r="AJ653" s="10">
        <f>IFERROR(VLOOKUP(B653,'Regiões Administrativas'!$A$1:$I$646,8,0),"")</f>
        <v>1010.4828199999999</v>
      </c>
      <c r="AK653" s="10" t="str">
        <f>IFERROR(VLOOKUP(Form_Responses[[#This Row],[Município]],'Regiões Administrativas'!$A$1:$I$646,9,0),"")</f>
        <v>1J6t,uSz@2Z&gt;</v>
      </c>
    </row>
    <row r="654" spans="1:37" ht="22.5" customHeight="1">
      <c r="A654" s="18">
        <v>46105.359914293978</v>
      </c>
      <c r="B654" s="10" t="s">
        <v>2812</v>
      </c>
      <c r="C654" s="10" t="s">
        <v>1356</v>
      </c>
      <c r="D654" s="10" t="s">
        <v>2826</v>
      </c>
      <c r="E654" s="10" t="s">
        <v>3196</v>
      </c>
      <c r="G654" s="10" t="s">
        <v>3197</v>
      </c>
      <c r="H654" s="10" t="s">
        <v>3198</v>
      </c>
      <c r="I654" s="10" t="s">
        <v>81</v>
      </c>
      <c r="J654" s="16">
        <v>46269</v>
      </c>
      <c r="K654" s="16">
        <v>46271</v>
      </c>
      <c r="L654" s="17">
        <v>0.79166666666424135</v>
      </c>
      <c r="M654" s="17">
        <v>0.16666666666424135</v>
      </c>
      <c r="N654" s="10" t="s">
        <v>268</v>
      </c>
      <c r="O654" s="10" t="s">
        <v>45</v>
      </c>
      <c r="P654" s="10" t="s">
        <v>46</v>
      </c>
      <c r="Q654" s="10" t="s">
        <v>47</v>
      </c>
      <c r="R654" s="10" t="s">
        <v>48</v>
      </c>
      <c r="S654" s="10">
        <v>21000</v>
      </c>
      <c r="T654" s="10">
        <v>19000</v>
      </c>
      <c r="U654" s="10">
        <v>18000</v>
      </c>
      <c r="V654" s="10">
        <v>18000</v>
      </c>
      <c r="W654" s="10" t="s">
        <v>3199</v>
      </c>
      <c r="X654" s="10" t="s">
        <v>3200</v>
      </c>
      <c r="Y654" s="10" t="s">
        <v>3201</v>
      </c>
      <c r="Z654" s="10" t="s">
        <v>52</v>
      </c>
      <c r="AA654" s="10" t="s">
        <v>475</v>
      </c>
      <c r="AB654" s="10" t="s">
        <v>66</v>
      </c>
      <c r="AC654" s="10" t="s">
        <v>68</v>
      </c>
      <c r="AD654" s="10" t="str">
        <f>IFERROR(VLOOKUP(B654,'Regiões Administrativas'!$A$1:$B$646,2,0),"")</f>
        <v>São José do Rio Preto</v>
      </c>
      <c r="AE654" s="10">
        <f>IFERROR(VLOOKUP(Form_Responses[[#This Row],[Município]],'Regiões Administrativas'!$A$1:$I$646,3,0),"")</f>
        <v>17009</v>
      </c>
      <c r="AF654" s="10">
        <f>IFERROR(VLOOKUP(Form_Responses[[#This Row],[Município]],'Regiões Administrativas'!$A$1:$I$646,4,0),"")</f>
        <v>354480605000001</v>
      </c>
      <c r="AG654" s="10">
        <f>IFERROR(VLOOKUP(Form_Responses[[#This Row],[Município]],'Regiões Administrativas'!$A$1:$I$646,4,0),"")</f>
        <v>354480605000001</v>
      </c>
      <c r="AH654" s="10">
        <f>IFERROR(VLOOKUP(B654,'Regiões Administrativas'!$A$1:$I$646,5,0),"")</f>
        <v>3544806</v>
      </c>
      <c r="AI654" s="10">
        <f>IFERROR(VLOOKUP(B654,'Regiões Administrativas'!$A$1:$I$646,6,0),"")</f>
        <v>-49.498768699999999</v>
      </c>
      <c r="AJ654" s="10">
        <f>IFERROR(VLOOKUP(B654,'Regiões Administrativas'!$A$1:$I$646,8,0),"")</f>
        <v>444.49292700000001</v>
      </c>
      <c r="AK654" s="10" t="str">
        <f>IFERROR(VLOOKUP(Form_Responses[[#This Row],[Município]],'Regiões Administrativas'!$A$1:$I$646,9,0),"")</f>
        <v>1J6RcQ9HwwDp</v>
      </c>
    </row>
    <row r="655" spans="1:37" ht="22.5" customHeight="1">
      <c r="A655" s="18">
        <v>46105.492899074074</v>
      </c>
      <c r="B655" s="10" t="s">
        <v>3202</v>
      </c>
      <c r="C655" s="10" t="s">
        <v>185</v>
      </c>
      <c r="D655" s="10" t="s">
        <v>3203</v>
      </c>
      <c r="E655" s="10" t="s">
        <v>3204</v>
      </c>
      <c r="G655" s="10" t="s">
        <v>3205</v>
      </c>
      <c r="I655" s="10" t="s">
        <v>72</v>
      </c>
      <c r="J655" s="16">
        <v>46212</v>
      </c>
      <c r="K655" s="16">
        <v>46215</v>
      </c>
      <c r="L655" s="17">
        <v>0.41666666666424135</v>
      </c>
      <c r="M655" s="17">
        <v>8.3333333335758653E-2</v>
      </c>
      <c r="N655" s="10" t="s">
        <v>44</v>
      </c>
      <c r="O655" s="10" t="s">
        <v>142</v>
      </c>
      <c r="P655" s="10" t="s">
        <v>63</v>
      </c>
      <c r="Q655" s="10" t="s">
        <v>47</v>
      </c>
      <c r="R655" s="10" t="s">
        <v>74</v>
      </c>
      <c r="S655" s="19">
        <v>20000</v>
      </c>
      <c r="T655" s="19">
        <v>17000</v>
      </c>
      <c r="U655" s="19">
        <v>15000</v>
      </c>
      <c r="V655" s="19">
        <v>14000</v>
      </c>
      <c r="W655" s="10" t="s">
        <v>3206</v>
      </c>
      <c r="Y655" s="10" t="s">
        <v>3207</v>
      </c>
      <c r="Z655" s="10" t="s">
        <v>76</v>
      </c>
      <c r="AA655" s="10" t="s">
        <v>297</v>
      </c>
      <c r="AB655" s="10" t="s">
        <v>66</v>
      </c>
      <c r="AC655" s="10" t="s">
        <v>68</v>
      </c>
      <c r="AD655" s="10" t="str">
        <f>IFERROR(VLOOKUP(B655,'Regiões Administrativas'!$A$1:$B$646,2,0),"")</f>
        <v>Sorocaba</v>
      </c>
      <c r="AE655" s="10">
        <f>IFERROR(VLOOKUP(Form_Responses[[#This Row],[Município]],'Regiões Administrativas'!$A$1:$I$646,3,0),"")</f>
        <v>17345</v>
      </c>
      <c r="AF655" s="10">
        <f>IFERROR(VLOOKUP(Form_Responses[[#This Row],[Município]],'Regiões Administrativas'!$A$1:$I$646,4,0),"")</f>
        <v>355350005000001</v>
      </c>
      <c r="AG655" s="10">
        <f>IFERROR(VLOOKUP(Form_Responses[[#This Row],[Município]],'Regiões Administrativas'!$A$1:$I$646,4,0),"")</f>
        <v>355350005000001</v>
      </c>
      <c r="AH655" s="10">
        <f>IFERROR(VLOOKUP(B655,'Regiões Administrativas'!$A$1:$I$646,5,0),"")</f>
        <v>3553500</v>
      </c>
      <c r="AI655" s="10">
        <f>IFERROR(VLOOKUP(B655,'Regiões Administrativas'!$A$1:$I$646,6,0),"")</f>
        <v>-47.505288200000003</v>
      </c>
      <c r="AJ655" s="10">
        <f>IFERROR(VLOOKUP(B655,'Regiões Administrativas'!$A$1:$I$646,8,0),"")</f>
        <v>889.77241100000003</v>
      </c>
      <c r="AK655" s="10" t="str">
        <f>IFERROR(VLOOKUP(Form_Responses[[#This Row],[Município]],'Regiões Administrativas'!$A$1:$I$646,9,0),"")</f>
        <v>1J6tmz@O@Q=&gt;</v>
      </c>
    </row>
    <row r="656" spans="1:37" ht="22.5" customHeight="1">
      <c r="A656" s="18">
        <v>46105.502073356482</v>
      </c>
      <c r="B656" s="10" t="s">
        <v>3202</v>
      </c>
      <c r="C656" s="10" t="s">
        <v>185</v>
      </c>
      <c r="D656" s="10" t="s">
        <v>3208</v>
      </c>
      <c r="E656" s="10" t="s">
        <v>3209</v>
      </c>
      <c r="G656" s="10" t="s">
        <v>3210</v>
      </c>
      <c r="I656" s="10" t="s">
        <v>197</v>
      </c>
      <c r="J656" s="16">
        <v>46339</v>
      </c>
      <c r="K656" s="16">
        <v>46341</v>
      </c>
      <c r="N656" s="10" t="s">
        <v>268</v>
      </c>
      <c r="O656" s="10" t="s">
        <v>45</v>
      </c>
      <c r="P656" s="10" t="s">
        <v>63</v>
      </c>
      <c r="Q656" s="10" t="s">
        <v>47</v>
      </c>
      <c r="R656" s="10" t="s">
        <v>74</v>
      </c>
      <c r="S656" s="19">
        <v>2500</v>
      </c>
      <c r="T656" s="19">
        <v>1200</v>
      </c>
      <c r="W656" s="10" t="s">
        <v>3211</v>
      </c>
      <c r="Y656" s="10" t="s">
        <v>3212</v>
      </c>
      <c r="Z656" s="10" t="s">
        <v>76</v>
      </c>
      <c r="AA656" s="10" t="s">
        <v>156</v>
      </c>
      <c r="AB656" s="10" t="s">
        <v>66</v>
      </c>
      <c r="AC656" s="10" t="s">
        <v>68</v>
      </c>
      <c r="AD656" s="10" t="str">
        <f>IFERROR(VLOOKUP(B656,'Regiões Administrativas'!$A$1:$B$646,2,0),"")</f>
        <v>Sorocaba</v>
      </c>
      <c r="AE656" s="10">
        <f>IFERROR(VLOOKUP(Form_Responses[[#This Row],[Município]],'Regiões Administrativas'!$A$1:$I$646,3,0),"")</f>
        <v>17345</v>
      </c>
      <c r="AF656" s="10">
        <f>IFERROR(VLOOKUP(Form_Responses[[#This Row],[Município]],'Regiões Administrativas'!$A$1:$I$646,4,0),"")</f>
        <v>355350005000001</v>
      </c>
      <c r="AG656" s="10">
        <f>IFERROR(VLOOKUP(Form_Responses[[#This Row],[Município]],'Regiões Administrativas'!$A$1:$I$646,4,0),"")</f>
        <v>355350005000001</v>
      </c>
      <c r="AH656" s="10">
        <f>IFERROR(VLOOKUP(B656,'Regiões Administrativas'!$A$1:$I$646,5,0),"")</f>
        <v>3553500</v>
      </c>
      <c r="AI656" s="10">
        <f>IFERROR(VLOOKUP(B656,'Regiões Administrativas'!$A$1:$I$646,6,0),"")</f>
        <v>-47.505288200000003</v>
      </c>
      <c r="AJ656" s="10">
        <f>IFERROR(VLOOKUP(B656,'Regiões Administrativas'!$A$1:$I$646,8,0),"")</f>
        <v>889.77241100000003</v>
      </c>
      <c r="AK656" s="10" t="str">
        <f>IFERROR(VLOOKUP(Form_Responses[[#This Row],[Município]],'Regiões Administrativas'!$A$1:$I$646,9,0),"")</f>
        <v>1J6tmz@O@Q=&gt;</v>
      </c>
    </row>
    <row r="657" spans="1:37" ht="23.25" customHeight="1">
      <c r="A657" s="18">
        <v>46105.512181435188</v>
      </c>
      <c r="B657" s="10" t="s">
        <v>3202</v>
      </c>
      <c r="C657" s="10" t="s">
        <v>185</v>
      </c>
      <c r="D657" s="10" t="s">
        <v>3213</v>
      </c>
      <c r="E657" s="10" t="s">
        <v>3214</v>
      </c>
      <c r="G657" s="10" t="s">
        <v>3215</v>
      </c>
      <c r="I657" s="10" t="s">
        <v>43</v>
      </c>
      <c r="J657" s="16">
        <v>46248</v>
      </c>
      <c r="K657" s="16">
        <v>46250</v>
      </c>
      <c r="N657" s="10" t="s">
        <v>73</v>
      </c>
      <c r="O657" s="10" t="s">
        <v>310</v>
      </c>
      <c r="P657" s="10" t="s">
        <v>63</v>
      </c>
      <c r="Q657" s="10" t="s">
        <v>47</v>
      </c>
      <c r="R657" s="10" t="s">
        <v>48</v>
      </c>
      <c r="S657" s="19">
        <v>1800</v>
      </c>
      <c r="T657" s="19">
        <v>1000</v>
      </c>
      <c r="W657" s="10" t="s">
        <v>3206</v>
      </c>
      <c r="Y657" s="10" t="s">
        <v>3207</v>
      </c>
      <c r="Z657" s="10" t="s">
        <v>76</v>
      </c>
      <c r="AA657" s="10" t="s">
        <v>297</v>
      </c>
      <c r="AB657" s="10" t="s">
        <v>66</v>
      </c>
      <c r="AC657" s="10" t="s">
        <v>68</v>
      </c>
      <c r="AD657" s="10" t="str">
        <f>IFERROR(VLOOKUP(B657,'Regiões Administrativas'!$A$1:$B$646,2,0),"")</f>
        <v>Sorocaba</v>
      </c>
      <c r="AE657" s="10">
        <f>IFERROR(VLOOKUP(Form_Responses[[#This Row],[Município]],'Regiões Administrativas'!$A$1:$I$646,3,0),"")</f>
        <v>17345</v>
      </c>
      <c r="AF657" s="10">
        <f>IFERROR(VLOOKUP(Form_Responses[[#This Row],[Município]],'Regiões Administrativas'!$A$1:$I$646,4,0),"")</f>
        <v>355350005000001</v>
      </c>
      <c r="AG657" s="10">
        <f>IFERROR(VLOOKUP(Form_Responses[[#This Row],[Município]],'Regiões Administrativas'!$A$1:$I$646,4,0),"")</f>
        <v>355350005000001</v>
      </c>
      <c r="AH657" s="10">
        <f>IFERROR(VLOOKUP(B657,'Regiões Administrativas'!$A$1:$I$646,5,0),"")</f>
        <v>3553500</v>
      </c>
      <c r="AI657" s="10">
        <f>IFERROR(VLOOKUP(B657,'Regiões Administrativas'!$A$1:$I$646,6,0),"")</f>
        <v>-47.505288200000003</v>
      </c>
      <c r="AJ657" s="10">
        <f>IFERROR(VLOOKUP(B657,'Regiões Administrativas'!$A$1:$I$646,8,0),"")</f>
        <v>889.77241100000003</v>
      </c>
      <c r="AK657" s="10" t="str">
        <f>IFERROR(VLOOKUP(Form_Responses[[#This Row],[Município]],'Regiões Administrativas'!$A$1:$I$646,9,0),"")</f>
        <v>1J6tmz@O@Q=&gt;</v>
      </c>
    </row>
    <row r="658" spans="1:37" ht="22.5" customHeight="1">
      <c r="A658" s="18">
        <v>46105.675418194442</v>
      </c>
      <c r="B658" s="10" t="s">
        <v>3216</v>
      </c>
      <c r="C658" s="10" t="s">
        <v>185</v>
      </c>
      <c r="D658" s="10" t="s">
        <v>3217</v>
      </c>
      <c r="E658" s="10" t="s">
        <v>3218</v>
      </c>
      <c r="G658" s="10" t="s">
        <v>3219</v>
      </c>
      <c r="I658" s="10" t="s">
        <v>128</v>
      </c>
      <c r="J658" s="16">
        <v>46115</v>
      </c>
      <c r="K658" s="16">
        <v>46115</v>
      </c>
      <c r="L658" s="17">
        <v>0.83333333333575865</v>
      </c>
      <c r="M658" s="17">
        <v>0.95833333333575865</v>
      </c>
      <c r="N658" s="10" t="s">
        <v>98</v>
      </c>
      <c r="O658" s="10" t="s">
        <v>221</v>
      </c>
      <c r="P658" s="10" t="s">
        <v>221</v>
      </c>
      <c r="Q658" s="10" t="s">
        <v>47</v>
      </c>
      <c r="R658" s="10" t="s">
        <v>74</v>
      </c>
      <c r="S658" s="19">
        <v>5000</v>
      </c>
      <c r="T658" s="19">
        <v>4000</v>
      </c>
      <c r="U658" s="10">
        <v>3000</v>
      </c>
      <c r="V658" s="10">
        <v>3000</v>
      </c>
      <c r="W658" s="10" t="s">
        <v>3220</v>
      </c>
      <c r="Y658" s="10" t="s">
        <v>3221</v>
      </c>
      <c r="Z658" s="10" t="s">
        <v>361</v>
      </c>
      <c r="AA658" s="10" t="s">
        <v>1581</v>
      </c>
      <c r="AB658" s="10" t="s">
        <v>66</v>
      </c>
      <c r="AC658" s="10" t="s">
        <v>68</v>
      </c>
      <c r="AD658" s="10" t="str">
        <f>IFERROR(VLOOKUP(B658,'Regiões Administrativas'!$A$1:$B$646,2,0),"")</f>
        <v>Registro</v>
      </c>
      <c r="AE658" s="10">
        <f>IFERROR(VLOOKUP(Form_Responses[[#This Row],[Município]],'Regiões Administrativas'!$A$1:$I$646,3,0),"")</f>
        <v>15699</v>
      </c>
      <c r="AF658" s="10">
        <f>IFERROR(VLOOKUP(Form_Responses[[#This Row],[Município]],'Regiões Administrativas'!$A$1:$I$646,4,0),"")</f>
        <v>350925405000001</v>
      </c>
      <c r="AG658" s="10">
        <f>IFERROR(VLOOKUP(Form_Responses[[#This Row],[Município]],'Regiões Administrativas'!$A$1:$I$646,4,0),"")</f>
        <v>350925405000001</v>
      </c>
      <c r="AH658" s="10">
        <f>IFERROR(VLOOKUP(B658,'Regiões Administrativas'!$A$1:$I$646,5,0),"")</f>
        <v>3509254</v>
      </c>
      <c r="AI658" s="10">
        <f>IFERROR(VLOOKUP(B658,'Regiões Administrativas'!$A$1:$I$646,6,0),"")</f>
        <v>-48.104999800000002</v>
      </c>
      <c r="AJ658" s="10">
        <f>IFERROR(VLOOKUP(B658,'Regiões Administrativas'!$A$1:$I$646,8,0),"")</f>
        <v>34.467098</v>
      </c>
      <c r="AK658" s="10" t="str">
        <f>IFERROR(VLOOKUP(Form_Responses[[#This Row],[Município]],'Regiões Administrativas'!$A$1:$I$646,9,0),"")</f>
        <v>1J6S99+1:un-</v>
      </c>
    </row>
    <row r="659" spans="1:37" ht="22.5" customHeight="1">
      <c r="A659" s="18">
        <v>46105.697520520829</v>
      </c>
      <c r="B659" s="10" t="s">
        <v>3216</v>
      </c>
      <c r="C659" s="10" t="s">
        <v>185</v>
      </c>
      <c r="D659" s="10" t="s">
        <v>1605</v>
      </c>
      <c r="E659" s="10" t="s">
        <v>3222</v>
      </c>
      <c r="G659" s="10" t="s">
        <v>3223</v>
      </c>
      <c r="I659" s="10" t="s">
        <v>220</v>
      </c>
      <c r="J659" s="16">
        <v>46157</v>
      </c>
      <c r="K659" s="16">
        <v>46161</v>
      </c>
      <c r="L659" s="17">
        <v>0.54166666666424135</v>
      </c>
      <c r="M659" s="17">
        <v>0.95833333333575865</v>
      </c>
      <c r="N659" s="10" t="s">
        <v>110</v>
      </c>
      <c r="O659" s="10" t="s">
        <v>45</v>
      </c>
      <c r="P659" s="10" t="s">
        <v>99</v>
      </c>
      <c r="Q659" s="10" t="s">
        <v>47</v>
      </c>
      <c r="R659" s="10" t="s">
        <v>74</v>
      </c>
      <c r="S659" s="10">
        <v>10000</v>
      </c>
      <c r="T659" s="10">
        <v>9000</v>
      </c>
      <c r="U659" s="10">
        <v>8000</v>
      </c>
      <c r="V659" s="10">
        <v>8000</v>
      </c>
      <c r="W659" s="10" t="s">
        <v>3220</v>
      </c>
      <c r="Y659" s="10" t="s">
        <v>3221</v>
      </c>
      <c r="Z659" s="10" t="s">
        <v>361</v>
      </c>
      <c r="AA659" s="10" t="s">
        <v>3224</v>
      </c>
      <c r="AB659" s="10" t="s">
        <v>54</v>
      </c>
      <c r="AC659" s="10" t="s">
        <v>68</v>
      </c>
      <c r="AD659" s="10" t="str">
        <f>IFERROR(VLOOKUP(B659,'Regiões Administrativas'!$A$1:$B$646,2,0),"")</f>
        <v>Registro</v>
      </c>
      <c r="AE659" s="10">
        <f>IFERROR(VLOOKUP(Form_Responses[[#This Row],[Município]],'Regiões Administrativas'!$A$1:$I$646,3,0),"")</f>
        <v>15699</v>
      </c>
      <c r="AF659" s="10">
        <f>IFERROR(VLOOKUP(Form_Responses[[#This Row],[Município]],'Regiões Administrativas'!$A$1:$I$646,4,0),"")</f>
        <v>350925405000001</v>
      </c>
      <c r="AG659" s="10">
        <f>IFERROR(VLOOKUP(Form_Responses[[#This Row],[Município]],'Regiões Administrativas'!$A$1:$I$646,4,0),"")</f>
        <v>350925405000001</v>
      </c>
      <c r="AH659" s="10">
        <f>IFERROR(VLOOKUP(B659,'Regiões Administrativas'!$A$1:$I$646,5,0),"")</f>
        <v>3509254</v>
      </c>
      <c r="AI659" s="10">
        <f>IFERROR(VLOOKUP(B659,'Regiões Administrativas'!$A$1:$I$646,6,0),"")</f>
        <v>-48.104999800000002</v>
      </c>
      <c r="AJ659" s="10">
        <f>IFERROR(VLOOKUP(B659,'Regiões Administrativas'!$A$1:$I$646,8,0),"")</f>
        <v>34.467098</v>
      </c>
      <c r="AK659" s="10" t="str">
        <f>IFERROR(VLOOKUP(Form_Responses[[#This Row],[Município]],'Regiões Administrativas'!$A$1:$I$646,9,0),"")</f>
        <v>1J6S99+1:un-</v>
      </c>
    </row>
    <row r="660" spans="1:37" ht="32.25" customHeight="1">
      <c r="A660" s="18">
        <v>46106.386812696757</v>
      </c>
      <c r="B660" s="10" t="s">
        <v>2435</v>
      </c>
      <c r="C660" s="10" t="s">
        <v>175</v>
      </c>
      <c r="D660" s="10" t="s">
        <v>980</v>
      </c>
      <c r="E660" s="10" t="s">
        <v>3225</v>
      </c>
      <c r="G660" s="10" t="s">
        <v>3226</v>
      </c>
      <c r="H660" s="72" t="s">
        <v>3227</v>
      </c>
      <c r="I660" s="10" t="s">
        <v>128</v>
      </c>
      <c r="J660" s="16">
        <v>46122</v>
      </c>
      <c r="K660" s="16">
        <v>46124</v>
      </c>
      <c r="L660" s="17">
        <v>0.75</v>
      </c>
      <c r="N660" s="10" t="s">
        <v>44</v>
      </c>
      <c r="O660" s="10" t="s">
        <v>190</v>
      </c>
      <c r="P660" s="10" t="s">
        <v>221</v>
      </c>
      <c r="Q660" s="10" t="s">
        <v>47</v>
      </c>
      <c r="R660" s="10" t="s">
        <v>74</v>
      </c>
      <c r="S660" s="10">
        <v>5000</v>
      </c>
      <c r="W660" s="10" t="s">
        <v>3228</v>
      </c>
      <c r="Y660" s="10" t="s">
        <v>3229</v>
      </c>
      <c r="Z660" s="10" t="s">
        <v>76</v>
      </c>
      <c r="AA660" s="10" t="s">
        <v>225</v>
      </c>
      <c r="AB660" s="10" t="s">
        <v>306</v>
      </c>
      <c r="AC660" s="10" t="s">
        <v>68</v>
      </c>
      <c r="AD660" s="10" t="str">
        <f>IFERROR(VLOOKUP(B660,'Regiões Administrativas'!$A$1:$B$646,2,0),"")</f>
        <v>Itapeva</v>
      </c>
      <c r="AE660" s="10">
        <f>IFERROR(VLOOKUP(Form_Responses[[#This Row],[Município]],'Regiões Administrativas'!$A$1:$I$646,3,0),"")</f>
        <v>16958</v>
      </c>
      <c r="AF660" s="10">
        <f>IFERROR(VLOOKUP(Form_Responses[[#This Row],[Município]],'Regiões Administrativas'!$A$1:$I$646,4,0),"")</f>
        <v>354325305000001</v>
      </c>
      <c r="AG660" s="10">
        <f>IFERROR(VLOOKUP(Form_Responses[[#This Row],[Município]],'Regiões Administrativas'!$A$1:$I$646,4,0),"")</f>
        <v>354325305000001</v>
      </c>
      <c r="AH660" s="10">
        <f>IFERROR(VLOOKUP(B660,'Regiões Administrativas'!$A$1:$I$646,5,0),"")</f>
        <v>3543253</v>
      </c>
      <c r="AI660" s="10">
        <f>IFERROR(VLOOKUP(B660,'Regiões Administrativas'!$A$1:$I$646,6,0),"")</f>
        <v>-48.367071199999998</v>
      </c>
      <c r="AJ660" s="10">
        <f>IFERROR(VLOOKUP(B660,'Regiões Administrativas'!$A$1:$I$646,8,0),"")</f>
        <v>680.982846</v>
      </c>
      <c r="AK660" s="10" t="str">
        <f>IFERROR(VLOOKUP(Form_Responses[[#This Row],[Município]],'Regiões Administrativas'!$A$1:$I$646,9,0),"")</f>
        <v>1J6S7;zc\GJ&gt;</v>
      </c>
    </row>
    <row r="661" spans="1:37" ht="23.25" customHeight="1">
      <c r="A661" s="18">
        <v>46106.599708148147</v>
      </c>
      <c r="B661" s="10" t="s">
        <v>1892</v>
      </c>
      <c r="C661" s="10" t="s">
        <v>1109</v>
      </c>
      <c r="D661" s="10" t="s">
        <v>3230</v>
      </c>
      <c r="E661" s="10" t="s">
        <v>3231</v>
      </c>
      <c r="G661" s="10" t="s">
        <v>3232</v>
      </c>
      <c r="I661" s="10" t="s">
        <v>128</v>
      </c>
      <c r="J661" s="16">
        <v>46129</v>
      </c>
      <c r="K661" s="16">
        <v>46131</v>
      </c>
      <c r="L661" s="17">
        <v>0.79166666666424135</v>
      </c>
      <c r="N661" s="10" t="s">
        <v>44</v>
      </c>
      <c r="O661" s="10" t="s">
        <v>221</v>
      </c>
      <c r="P661" s="10" t="s">
        <v>221</v>
      </c>
      <c r="Q661" s="10" t="s">
        <v>47</v>
      </c>
      <c r="R661" s="10" t="s">
        <v>74</v>
      </c>
      <c r="S661" s="10">
        <v>5000</v>
      </c>
      <c r="T661" s="10">
        <v>3000</v>
      </c>
      <c r="W661" s="10" t="s">
        <v>1751</v>
      </c>
      <c r="Y661" s="10" t="s">
        <v>3233</v>
      </c>
      <c r="Z661" s="10" t="s">
        <v>1116</v>
      </c>
      <c r="AA661" s="10" t="s">
        <v>475</v>
      </c>
      <c r="AB661" s="10" t="s">
        <v>66</v>
      </c>
      <c r="AC661" s="10" t="s">
        <v>68</v>
      </c>
      <c r="AD661" s="10" t="str">
        <f>IFERROR(VLOOKUP(B661,'Regiões Administrativas'!$A$1:$B$646,2,0),"")</f>
        <v>Campinas</v>
      </c>
      <c r="AE661" s="10">
        <f>IFERROR(VLOOKUP(Form_Responses[[#This Row],[Município]],'Regiões Administrativas'!$A$1:$I$646,3,0),"")</f>
        <v>17270</v>
      </c>
      <c r="AF661" s="10">
        <f>IFERROR(VLOOKUP(Form_Responses[[#This Row],[Município]],'Regiões Administrativas'!$A$1:$I$646,4,0),"")</f>
        <v>355040705000001</v>
      </c>
      <c r="AG661" s="10">
        <f>IFERROR(VLOOKUP(Form_Responses[[#This Row],[Município]],'Regiões Administrativas'!$A$1:$I$646,4,0),"")</f>
        <v>355040705000001</v>
      </c>
      <c r="AH661" s="10">
        <f>IFERROR(VLOOKUP(B661,'Regiões Administrativas'!$A$1:$I$646,5,0),"")</f>
        <v>3550407</v>
      </c>
      <c r="AI661" s="10">
        <f>IFERROR(VLOOKUP(B661,'Regiões Administrativas'!$A$1:$I$646,6,0),"")</f>
        <v>-47.914033000000003</v>
      </c>
      <c r="AJ661" s="10">
        <f>IFERROR(VLOOKUP(B661,'Regiões Administrativas'!$A$1:$I$646,8,0),"")</f>
        <v>565.011977</v>
      </c>
      <c r="AK661" s="10" t="str">
        <f>IFERROR(VLOOKUP(Form_Responses[[#This Row],[Município]],'Regiões Administrativas'!$A$1:$I$646,9,0),"")</f>
        <v>1J6tHGD7^e7-</v>
      </c>
    </row>
    <row r="662" spans="1:37" ht="31.5" customHeight="1">
      <c r="A662" s="18">
        <v>46106.603310555554</v>
      </c>
      <c r="B662" s="10" t="s">
        <v>1892</v>
      </c>
      <c r="C662" s="10" t="s">
        <v>1109</v>
      </c>
      <c r="D662" s="10" t="s">
        <v>522</v>
      </c>
      <c r="E662" s="10" t="s">
        <v>3234</v>
      </c>
      <c r="G662" s="10" t="s">
        <v>3235</v>
      </c>
      <c r="H662" s="10" t="s">
        <v>3236</v>
      </c>
      <c r="I662" s="10" t="s">
        <v>128</v>
      </c>
      <c r="J662" s="16">
        <v>46136</v>
      </c>
      <c r="K662" s="16">
        <v>46138</v>
      </c>
      <c r="L662" s="17">
        <v>0.75</v>
      </c>
      <c r="M662" s="17">
        <v>0.95833333333575865</v>
      </c>
      <c r="N662" s="10" t="s">
        <v>44</v>
      </c>
      <c r="O662" s="10" t="s">
        <v>190</v>
      </c>
      <c r="P662" s="10" t="s">
        <v>63</v>
      </c>
      <c r="Q662" s="10" t="s">
        <v>47</v>
      </c>
      <c r="R662" s="10" t="s">
        <v>48</v>
      </c>
      <c r="S662" s="10">
        <v>4000</v>
      </c>
      <c r="T662" s="10">
        <v>4000</v>
      </c>
      <c r="W662" s="10" t="s">
        <v>3237</v>
      </c>
      <c r="Y662" s="10" t="s">
        <v>1897</v>
      </c>
      <c r="Z662" s="10" t="s">
        <v>66</v>
      </c>
      <c r="AA662" s="10" t="s">
        <v>66</v>
      </c>
      <c r="AB662" s="10" t="s">
        <v>66</v>
      </c>
      <c r="AC662" s="10" t="s">
        <v>68</v>
      </c>
      <c r="AD662" s="10" t="str">
        <f>IFERROR(VLOOKUP(B662,'Regiões Administrativas'!$A$1:$B$646,2,0),"")</f>
        <v>Campinas</v>
      </c>
      <c r="AE662" s="10">
        <f>IFERROR(VLOOKUP(Form_Responses[[#This Row],[Município]],'Regiões Administrativas'!$A$1:$I$646,3,0),"")</f>
        <v>17270</v>
      </c>
      <c r="AF662" s="10">
        <f>IFERROR(VLOOKUP(Form_Responses[[#This Row],[Município]],'Regiões Administrativas'!$A$1:$I$646,4,0),"")</f>
        <v>355040705000001</v>
      </c>
      <c r="AG662" s="10">
        <f>IFERROR(VLOOKUP(Form_Responses[[#This Row],[Município]],'Regiões Administrativas'!$A$1:$I$646,4,0),"")</f>
        <v>355040705000001</v>
      </c>
      <c r="AH662" s="10">
        <f>IFERROR(VLOOKUP(B662,'Regiões Administrativas'!$A$1:$I$646,5,0),"")</f>
        <v>3550407</v>
      </c>
      <c r="AI662" s="10">
        <f>IFERROR(VLOOKUP(B662,'Regiões Administrativas'!$A$1:$I$646,6,0),"")</f>
        <v>-47.914033000000003</v>
      </c>
      <c r="AJ662" s="10">
        <f>IFERROR(VLOOKUP(B662,'Regiões Administrativas'!$A$1:$I$646,8,0),"")</f>
        <v>565.011977</v>
      </c>
      <c r="AK662" s="10" t="str">
        <f>IFERROR(VLOOKUP(Form_Responses[[#This Row],[Município]],'Regiões Administrativas'!$A$1:$I$646,9,0),"")</f>
        <v>1J6tHGD7^e7-</v>
      </c>
    </row>
    <row r="663" spans="1:37" ht="22.5" customHeight="1">
      <c r="A663" s="18">
        <v>46106.607258298609</v>
      </c>
      <c r="B663" s="10" t="s">
        <v>1892</v>
      </c>
      <c r="C663" s="10" t="s">
        <v>1109</v>
      </c>
      <c r="D663" s="10" t="s">
        <v>3238</v>
      </c>
      <c r="E663" s="10" t="s">
        <v>3239</v>
      </c>
      <c r="G663" s="10" t="s">
        <v>3240</v>
      </c>
      <c r="I663" s="10" t="s">
        <v>220</v>
      </c>
      <c r="J663" s="16">
        <v>46158</v>
      </c>
      <c r="K663" s="16">
        <v>46159</v>
      </c>
      <c r="L663" s="17">
        <v>0.66666666666424135</v>
      </c>
      <c r="M663" s="17">
        <v>0.83333333333575865</v>
      </c>
      <c r="N663" s="10" t="s">
        <v>268</v>
      </c>
      <c r="O663" s="10" t="s">
        <v>142</v>
      </c>
      <c r="P663" s="10" t="s">
        <v>63</v>
      </c>
      <c r="Q663" s="10" t="s">
        <v>47</v>
      </c>
      <c r="R663" s="10" t="s">
        <v>74</v>
      </c>
      <c r="S663" s="10">
        <v>3000</v>
      </c>
      <c r="T663" s="10">
        <v>2000</v>
      </c>
      <c r="W663" s="10" t="s">
        <v>3241</v>
      </c>
      <c r="Y663" s="10" t="s">
        <v>1897</v>
      </c>
      <c r="Z663" s="10" t="s">
        <v>66</v>
      </c>
      <c r="AA663" s="10" t="s">
        <v>66</v>
      </c>
      <c r="AB663" s="10" t="s">
        <v>66</v>
      </c>
      <c r="AC663" s="10" t="s">
        <v>68</v>
      </c>
      <c r="AD663" s="10" t="str">
        <f>IFERROR(VLOOKUP(B663,'Regiões Administrativas'!$A$1:$B$646,2,0),"")</f>
        <v>Campinas</v>
      </c>
      <c r="AE663" s="10">
        <f>IFERROR(VLOOKUP(Form_Responses[[#This Row],[Município]],'Regiões Administrativas'!$A$1:$I$646,3,0),"")</f>
        <v>17270</v>
      </c>
      <c r="AF663" s="10">
        <f>IFERROR(VLOOKUP(Form_Responses[[#This Row],[Município]],'Regiões Administrativas'!$A$1:$I$646,4,0),"")</f>
        <v>355040705000001</v>
      </c>
      <c r="AG663" s="10">
        <f>IFERROR(VLOOKUP(Form_Responses[[#This Row],[Município]],'Regiões Administrativas'!$A$1:$I$646,4,0),"")</f>
        <v>355040705000001</v>
      </c>
      <c r="AH663" s="10">
        <f>IFERROR(VLOOKUP(B663,'Regiões Administrativas'!$A$1:$I$646,5,0),"")</f>
        <v>3550407</v>
      </c>
      <c r="AI663" s="10">
        <f>IFERROR(VLOOKUP(B663,'Regiões Administrativas'!$A$1:$I$646,6,0),"")</f>
        <v>-47.914033000000003</v>
      </c>
      <c r="AJ663" s="10">
        <f>IFERROR(VLOOKUP(B663,'Regiões Administrativas'!$A$1:$I$646,8,0),"")</f>
        <v>565.011977</v>
      </c>
      <c r="AK663" s="10" t="str">
        <f>IFERROR(VLOOKUP(Form_Responses[[#This Row],[Município]],'Regiões Administrativas'!$A$1:$I$646,9,0),"")</f>
        <v>1J6tHGD7^e7-</v>
      </c>
    </row>
    <row r="664" spans="1:37" ht="22.5" customHeight="1">
      <c r="A664" s="18">
        <v>46106.610469120365</v>
      </c>
      <c r="B664" s="10" t="s">
        <v>1892</v>
      </c>
      <c r="C664" s="10" t="s">
        <v>1109</v>
      </c>
      <c r="D664" s="10" t="s">
        <v>3096</v>
      </c>
      <c r="E664" s="10" t="s">
        <v>3242</v>
      </c>
      <c r="G664" s="10" t="s">
        <v>3243</v>
      </c>
      <c r="I664" s="10" t="s">
        <v>60</v>
      </c>
      <c r="J664" s="16">
        <v>46185</v>
      </c>
      <c r="K664" s="16">
        <v>46187</v>
      </c>
      <c r="L664" s="17">
        <v>0.75</v>
      </c>
      <c r="M664" s="17">
        <v>0.95833333333575865</v>
      </c>
      <c r="N664" s="10" t="s">
        <v>44</v>
      </c>
      <c r="O664" s="10" t="s">
        <v>221</v>
      </c>
      <c r="P664" s="10" t="s">
        <v>221</v>
      </c>
      <c r="Q664" s="10" t="s">
        <v>47</v>
      </c>
      <c r="R664" s="10" t="s">
        <v>74</v>
      </c>
      <c r="S664" s="10">
        <v>3000</v>
      </c>
      <c r="T664" s="10">
        <v>2500</v>
      </c>
      <c r="W664" s="10" t="s">
        <v>3244</v>
      </c>
      <c r="Y664" s="10" t="s">
        <v>3233</v>
      </c>
      <c r="Z664" s="10" t="s">
        <v>66</v>
      </c>
      <c r="AA664" s="10" t="s">
        <v>66</v>
      </c>
      <c r="AB664" s="10" t="s">
        <v>66</v>
      </c>
      <c r="AC664" s="10" t="s">
        <v>68</v>
      </c>
      <c r="AD664" s="10" t="str">
        <f>IFERROR(VLOOKUP(B664,'Regiões Administrativas'!$A$1:$B$646,2,0),"")</f>
        <v>Campinas</v>
      </c>
      <c r="AE664" s="10">
        <f>IFERROR(VLOOKUP(Form_Responses[[#This Row],[Município]],'Regiões Administrativas'!$A$1:$I$646,3,0),"")</f>
        <v>17270</v>
      </c>
      <c r="AF664" s="10">
        <f>IFERROR(VLOOKUP(Form_Responses[[#This Row],[Município]],'Regiões Administrativas'!$A$1:$I$646,4,0),"")</f>
        <v>355040705000001</v>
      </c>
      <c r="AG664" s="10">
        <f>IFERROR(VLOOKUP(Form_Responses[[#This Row],[Município]],'Regiões Administrativas'!$A$1:$I$646,4,0),"")</f>
        <v>355040705000001</v>
      </c>
      <c r="AH664" s="10">
        <f>IFERROR(VLOOKUP(B664,'Regiões Administrativas'!$A$1:$I$646,5,0),"")</f>
        <v>3550407</v>
      </c>
      <c r="AI664" s="10">
        <f>IFERROR(VLOOKUP(B664,'Regiões Administrativas'!$A$1:$I$646,6,0),"")</f>
        <v>-47.914033000000003</v>
      </c>
      <c r="AJ664" s="10">
        <f>IFERROR(VLOOKUP(B664,'Regiões Administrativas'!$A$1:$I$646,8,0),"")</f>
        <v>565.011977</v>
      </c>
      <c r="AK664" s="10" t="str">
        <f>IFERROR(VLOOKUP(Form_Responses[[#This Row],[Município]],'Regiões Administrativas'!$A$1:$I$646,9,0),"")</f>
        <v>1J6tHGD7^e7-</v>
      </c>
    </row>
    <row r="665" spans="1:37" ht="22.5" customHeight="1">
      <c r="A665" s="18">
        <v>46106.614327083335</v>
      </c>
      <c r="B665" s="10" t="s">
        <v>1892</v>
      </c>
      <c r="C665" s="10" t="s">
        <v>1109</v>
      </c>
      <c r="D665" s="10" t="s">
        <v>2983</v>
      </c>
      <c r="E665" s="10" t="s">
        <v>3245</v>
      </c>
      <c r="G665" s="10" t="s">
        <v>3246</v>
      </c>
      <c r="I665" s="10" t="s">
        <v>60</v>
      </c>
      <c r="J665" s="16">
        <v>46199</v>
      </c>
      <c r="K665" s="16">
        <v>46208</v>
      </c>
      <c r="L665" s="17">
        <v>0.75</v>
      </c>
      <c r="M665" s="17">
        <v>0.95833333333575865</v>
      </c>
      <c r="N665" s="10" t="s">
        <v>44</v>
      </c>
      <c r="O665" s="10" t="s">
        <v>221</v>
      </c>
      <c r="P665" s="10" t="s">
        <v>221</v>
      </c>
      <c r="Q665" s="10" t="s">
        <v>47</v>
      </c>
      <c r="R665" s="10" t="s">
        <v>74</v>
      </c>
      <c r="S665" s="10">
        <v>4000</v>
      </c>
      <c r="W665" s="10" t="s">
        <v>3247</v>
      </c>
      <c r="Y665" s="10" t="s">
        <v>3233</v>
      </c>
      <c r="Z665" s="10" t="s">
        <v>66</v>
      </c>
      <c r="AA665" s="10" t="s">
        <v>66</v>
      </c>
      <c r="AB665" s="10" t="s">
        <v>66</v>
      </c>
      <c r="AC665" s="10" t="s">
        <v>68</v>
      </c>
      <c r="AD665" s="10" t="str">
        <f>IFERROR(VLOOKUP(B665,'Regiões Administrativas'!$A$1:$B$646,2,0),"")</f>
        <v>Campinas</v>
      </c>
      <c r="AE665" s="10">
        <f>IFERROR(VLOOKUP(Form_Responses[[#This Row],[Município]],'Regiões Administrativas'!$A$1:$I$646,3,0),"")</f>
        <v>17270</v>
      </c>
      <c r="AF665" s="10">
        <f>IFERROR(VLOOKUP(Form_Responses[[#This Row],[Município]],'Regiões Administrativas'!$A$1:$I$646,4,0),"")</f>
        <v>355040705000001</v>
      </c>
      <c r="AG665" s="10">
        <f>IFERROR(VLOOKUP(Form_Responses[[#This Row],[Município]],'Regiões Administrativas'!$A$1:$I$646,4,0),"")</f>
        <v>355040705000001</v>
      </c>
      <c r="AH665" s="10">
        <f>IFERROR(VLOOKUP(B665,'Regiões Administrativas'!$A$1:$I$646,5,0),"")</f>
        <v>3550407</v>
      </c>
      <c r="AI665" s="10">
        <f>IFERROR(VLOOKUP(B665,'Regiões Administrativas'!$A$1:$I$646,6,0),"")</f>
        <v>-47.914033000000003</v>
      </c>
      <c r="AJ665" s="10">
        <f>IFERROR(VLOOKUP(B665,'Regiões Administrativas'!$A$1:$I$646,8,0),"")</f>
        <v>565.011977</v>
      </c>
      <c r="AK665" s="10" t="str">
        <f>IFERROR(VLOOKUP(Form_Responses[[#This Row],[Município]],'Regiões Administrativas'!$A$1:$I$646,9,0),"")</f>
        <v>1J6tHGD7^e7-</v>
      </c>
    </row>
    <row r="666" spans="1:37" ht="22.5" customHeight="1">
      <c r="A666" s="18">
        <v>46106.623448333332</v>
      </c>
      <c r="B666" s="10" t="s">
        <v>1892</v>
      </c>
      <c r="C666" s="10" t="s">
        <v>1109</v>
      </c>
      <c r="D666" s="10" t="s">
        <v>3248</v>
      </c>
      <c r="E666" s="10" t="s">
        <v>3249</v>
      </c>
      <c r="G666" s="10" t="s">
        <v>3250</v>
      </c>
      <c r="H666" s="10" t="s">
        <v>3251</v>
      </c>
      <c r="I666" s="10" t="s">
        <v>72</v>
      </c>
      <c r="J666" s="16">
        <v>46212</v>
      </c>
      <c r="K666" s="16">
        <v>46215</v>
      </c>
      <c r="L666" s="17">
        <v>0.75</v>
      </c>
      <c r="M666" s="17">
        <v>0</v>
      </c>
      <c r="N666" s="10" t="s">
        <v>268</v>
      </c>
      <c r="O666" s="10" t="s">
        <v>62</v>
      </c>
      <c r="P666" s="10" t="s">
        <v>63</v>
      </c>
      <c r="Q666" s="10" t="s">
        <v>47</v>
      </c>
      <c r="R666" s="10" t="s">
        <v>48</v>
      </c>
      <c r="S666" s="10">
        <v>6000</v>
      </c>
      <c r="T666" s="10">
        <v>5000</v>
      </c>
      <c r="W666" s="10" t="s">
        <v>3241</v>
      </c>
      <c r="X666" s="10" t="s">
        <v>3252</v>
      </c>
      <c r="Y666" s="10" t="s">
        <v>3253</v>
      </c>
      <c r="Z666" s="10" t="s">
        <v>66</v>
      </c>
      <c r="AA666" s="10" t="s">
        <v>244</v>
      </c>
      <c r="AB666" s="10" t="s">
        <v>66</v>
      </c>
      <c r="AC666" s="10" t="s">
        <v>68</v>
      </c>
      <c r="AD666" s="10" t="str">
        <f>IFERROR(VLOOKUP(B666,'Regiões Administrativas'!$A$1:$B$646,2,0),"")</f>
        <v>Campinas</v>
      </c>
      <c r="AE666" s="10">
        <f>IFERROR(VLOOKUP(Form_Responses[[#This Row],[Município]],'Regiões Administrativas'!$A$1:$I$646,3,0),"")</f>
        <v>17270</v>
      </c>
      <c r="AF666" s="10">
        <f>IFERROR(VLOOKUP(Form_Responses[[#This Row],[Município]],'Regiões Administrativas'!$A$1:$I$646,4,0),"")</f>
        <v>355040705000001</v>
      </c>
      <c r="AG666" s="10">
        <f>IFERROR(VLOOKUP(Form_Responses[[#This Row],[Município]],'Regiões Administrativas'!$A$1:$I$646,4,0),"")</f>
        <v>355040705000001</v>
      </c>
      <c r="AH666" s="10">
        <f>IFERROR(VLOOKUP(B666,'Regiões Administrativas'!$A$1:$I$646,5,0),"")</f>
        <v>3550407</v>
      </c>
      <c r="AI666" s="10">
        <f>IFERROR(VLOOKUP(B666,'Regiões Administrativas'!$A$1:$I$646,6,0),"")</f>
        <v>-47.914033000000003</v>
      </c>
      <c r="AJ666" s="10">
        <f>IFERROR(VLOOKUP(B666,'Regiões Administrativas'!$A$1:$I$646,8,0),"")</f>
        <v>565.011977</v>
      </c>
      <c r="AK666" s="10" t="str">
        <f>IFERROR(VLOOKUP(Form_Responses[[#This Row],[Município]],'Regiões Administrativas'!$A$1:$I$646,9,0),"")</f>
        <v>1J6tHGD7^e7-</v>
      </c>
    </row>
    <row r="667" spans="1:37" ht="22.5" customHeight="1">
      <c r="A667" s="18">
        <v>46106.626258553239</v>
      </c>
      <c r="B667" s="10" t="s">
        <v>1892</v>
      </c>
      <c r="C667" s="10" t="s">
        <v>1109</v>
      </c>
      <c r="D667" s="10" t="s">
        <v>70</v>
      </c>
      <c r="E667" s="10" t="s">
        <v>3254</v>
      </c>
      <c r="G667" s="10" t="s">
        <v>3255</v>
      </c>
      <c r="I667" s="10" t="s">
        <v>72</v>
      </c>
      <c r="J667" s="16">
        <v>46220</v>
      </c>
      <c r="K667" s="16">
        <v>46222</v>
      </c>
      <c r="L667" s="17">
        <v>0.75</v>
      </c>
      <c r="M667" s="17">
        <v>0.95833333333575865</v>
      </c>
      <c r="N667" s="10" t="s">
        <v>73</v>
      </c>
      <c r="O667" s="10" t="s">
        <v>190</v>
      </c>
      <c r="P667" s="10" t="s">
        <v>63</v>
      </c>
      <c r="Q667" s="10" t="s">
        <v>47</v>
      </c>
      <c r="R667" s="10" t="s">
        <v>74</v>
      </c>
      <c r="S667" s="10">
        <v>2000</v>
      </c>
      <c r="T667" s="10">
        <v>500</v>
      </c>
      <c r="W667" s="10" t="s">
        <v>3237</v>
      </c>
      <c r="Y667" s="10" t="s">
        <v>1897</v>
      </c>
      <c r="Z667" s="10" t="s">
        <v>66</v>
      </c>
      <c r="AA667" s="10" t="s">
        <v>66</v>
      </c>
      <c r="AB667" s="10" t="s">
        <v>66</v>
      </c>
      <c r="AC667" s="10" t="s">
        <v>68</v>
      </c>
      <c r="AD667" s="10" t="str">
        <f>IFERROR(VLOOKUP(B667,'Regiões Administrativas'!$A$1:$B$646,2,0),"")</f>
        <v>Campinas</v>
      </c>
      <c r="AE667" s="10">
        <f>IFERROR(VLOOKUP(Form_Responses[[#This Row],[Município]],'Regiões Administrativas'!$A$1:$I$646,3,0),"")</f>
        <v>17270</v>
      </c>
      <c r="AF667" s="10">
        <f>IFERROR(VLOOKUP(Form_Responses[[#This Row],[Município]],'Regiões Administrativas'!$A$1:$I$646,4,0),"")</f>
        <v>355040705000001</v>
      </c>
      <c r="AG667" s="10">
        <f>IFERROR(VLOOKUP(Form_Responses[[#This Row],[Município]],'Regiões Administrativas'!$A$1:$I$646,4,0),"")</f>
        <v>355040705000001</v>
      </c>
      <c r="AH667" s="10">
        <f>IFERROR(VLOOKUP(B667,'Regiões Administrativas'!$A$1:$I$646,5,0),"")</f>
        <v>3550407</v>
      </c>
      <c r="AI667" s="10">
        <f>IFERROR(VLOOKUP(B667,'Regiões Administrativas'!$A$1:$I$646,6,0),"")</f>
        <v>-47.914033000000003</v>
      </c>
      <c r="AJ667" s="10">
        <f>IFERROR(VLOOKUP(B667,'Regiões Administrativas'!$A$1:$I$646,8,0),"")</f>
        <v>565.011977</v>
      </c>
      <c r="AK667" s="10" t="str">
        <f>IFERROR(VLOOKUP(Form_Responses[[#This Row],[Município]],'Regiões Administrativas'!$A$1:$I$646,9,0),"")</f>
        <v>1J6tHGD7^e7-</v>
      </c>
    </row>
    <row r="668" spans="1:37" ht="22.5" customHeight="1">
      <c r="A668" s="18">
        <v>46106.651631550922</v>
      </c>
      <c r="B668" s="10" t="s">
        <v>1892</v>
      </c>
      <c r="C668" s="10" t="s">
        <v>1109</v>
      </c>
      <c r="D668" s="10" t="s">
        <v>3256</v>
      </c>
      <c r="E668" s="10" t="s">
        <v>3257</v>
      </c>
      <c r="G668" s="10" t="s">
        <v>3258</v>
      </c>
      <c r="H668" s="10" t="s">
        <v>3259</v>
      </c>
      <c r="I668" s="10" t="s">
        <v>43</v>
      </c>
      <c r="J668" s="16">
        <v>46248</v>
      </c>
      <c r="K668" s="16">
        <v>46250</v>
      </c>
      <c r="L668" s="17">
        <v>0.75</v>
      </c>
      <c r="M668" s="17">
        <v>0.95833333333575865</v>
      </c>
      <c r="N668" s="10" t="s">
        <v>44</v>
      </c>
      <c r="O668" s="10" t="s">
        <v>190</v>
      </c>
      <c r="P668" s="10" t="s">
        <v>63</v>
      </c>
      <c r="Q668" s="10" t="s">
        <v>365</v>
      </c>
      <c r="R668" s="10" t="s">
        <v>48</v>
      </c>
      <c r="S668" s="10">
        <v>7000</v>
      </c>
      <c r="T668" s="10">
        <v>5000</v>
      </c>
      <c r="W668" s="10" t="s">
        <v>3260</v>
      </c>
      <c r="Y668" s="10" t="s">
        <v>1897</v>
      </c>
      <c r="Z668" s="10" t="s">
        <v>66</v>
      </c>
      <c r="AA668" s="10" t="s">
        <v>66</v>
      </c>
      <c r="AB668" s="10" t="s">
        <v>66</v>
      </c>
      <c r="AC668" s="10" t="s">
        <v>68</v>
      </c>
      <c r="AD668" s="10" t="str">
        <f>IFERROR(VLOOKUP(B668,'Regiões Administrativas'!$A$1:$B$646,2,0),"")</f>
        <v>Campinas</v>
      </c>
      <c r="AE668" s="10">
        <f>IFERROR(VLOOKUP(Form_Responses[[#This Row],[Município]],'Regiões Administrativas'!$A$1:$I$646,3,0),"")</f>
        <v>17270</v>
      </c>
      <c r="AF668" s="10">
        <f>IFERROR(VLOOKUP(Form_Responses[[#This Row],[Município]],'Regiões Administrativas'!$A$1:$I$646,4,0),"")</f>
        <v>355040705000001</v>
      </c>
      <c r="AG668" s="10">
        <f>IFERROR(VLOOKUP(Form_Responses[[#This Row],[Município]],'Regiões Administrativas'!$A$1:$I$646,4,0),"")</f>
        <v>355040705000001</v>
      </c>
      <c r="AH668" s="10">
        <f>IFERROR(VLOOKUP(B668,'Regiões Administrativas'!$A$1:$I$646,5,0),"")</f>
        <v>3550407</v>
      </c>
      <c r="AI668" s="10">
        <f>IFERROR(VLOOKUP(B668,'Regiões Administrativas'!$A$1:$I$646,6,0),"")</f>
        <v>-47.914033000000003</v>
      </c>
      <c r="AJ668" s="10">
        <f>IFERROR(VLOOKUP(B668,'Regiões Administrativas'!$A$1:$I$646,8,0),"")</f>
        <v>565.011977</v>
      </c>
      <c r="AK668" s="10" t="str">
        <f>IFERROR(VLOOKUP(Form_Responses[[#This Row],[Município]],'Regiões Administrativas'!$A$1:$I$646,9,0),"")</f>
        <v>1J6tHGD7^e7-</v>
      </c>
    </row>
    <row r="669" spans="1:37" ht="16.5" customHeight="1">
      <c r="A669" s="18">
        <v>46107.380363888893</v>
      </c>
      <c r="B669" s="10" t="s">
        <v>382</v>
      </c>
      <c r="C669" s="10" t="s">
        <v>383</v>
      </c>
      <c r="D669" s="10" t="s">
        <v>2904</v>
      </c>
      <c r="E669" s="10" t="s">
        <v>3261</v>
      </c>
      <c r="F669" s="10" t="s">
        <v>2005</v>
      </c>
      <c r="G669" s="10" t="s">
        <v>3262</v>
      </c>
      <c r="H669" s="72" t="s">
        <v>2220</v>
      </c>
      <c r="I669" s="10" t="s">
        <v>109</v>
      </c>
      <c r="J669" s="16">
        <v>46101</v>
      </c>
      <c r="K669" s="16">
        <v>46103</v>
      </c>
      <c r="N669" s="10" t="s">
        <v>110</v>
      </c>
      <c r="O669" s="10" t="s">
        <v>45</v>
      </c>
      <c r="P669" s="10" t="s">
        <v>63</v>
      </c>
      <c r="Q669" s="10" t="s">
        <v>47</v>
      </c>
      <c r="R669" s="10" t="s">
        <v>74</v>
      </c>
      <c r="S669" s="19">
        <v>30000</v>
      </c>
      <c r="T669" s="19">
        <v>25000</v>
      </c>
      <c r="W669" s="10" t="s">
        <v>3263</v>
      </c>
      <c r="Y669" s="10" t="s">
        <v>389</v>
      </c>
      <c r="Z669" s="10" t="s">
        <v>1116</v>
      </c>
      <c r="AA669" s="10" t="s">
        <v>3264</v>
      </c>
      <c r="AB669" s="10" t="s">
        <v>54</v>
      </c>
      <c r="AC669" s="10" t="s">
        <v>68</v>
      </c>
      <c r="AD669" s="10" t="str">
        <f>IFERROR(VLOOKUP(B669,'Regiões Administrativas'!$A$1:$B$646,2,0),"")</f>
        <v>Campinas</v>
      </c>
      <c r="AE669" s="10">
        <f>IFERROR(VLOOKUP(Form_Responses[[#This Row],[Município]],'Regiões Administrativas'!$A$1:$I$646,3,0),"")</f>
        <v>16193</v>
      </c>
      <c r="AF669" s="10">
        <f>IFERROR(VLOOKUP(Form_Responses[[#This Row],[Município]],'Regiões Administrativas'!$A$1:$I$646,4,0),"")</f>
        <v>352400605000001</v>
      </c>
      <c r="AG669" s="10">
        <f>IFERROR(VLOOKUP(Form_Responses[[#This Row],[Município]],'Regiões Administrativas'!$A$1:$I$646,4,0),"")</f>
        <v>352400605000001</v>
      </c>
      <c r="AH669" s="10">
        <f>IFERROR(VLOOKUP(B669,'Regiões Administrativas'!$A$1:$I$646,5,0),"")</f>
        <v>3524006</v>
      </c>
      <c r="AI669" s="10">
        <f>IFERROR(VLOOKUP(B669,'Regiões Administrativas'!$A$1:$I$646,6,0),"")</f>
        <v>-47.055701200000001</v>
      </c>
      <c r="AJ669" s="10">
        <f>IFERROR(VLOOKUP(B669,'Regiões Administrativas'!$A$1:$I$646,8,0),"")</f>
        <v>672.32714899999996</v>
      </c>
      <c r="AK669" s="10" t="str">
        <f>IFERROR(VLOOKUP(Form_Responses[[#This Row],[Município]],'Regiões Administrativas'!$A$1:$I$646,9,0),"")</f>
        <v>1J6tLR+&lt;QWRf</v>
      </c>
    </row>
    <row r="670" spans="1:37" ht="22.5" customHeight="1">
      <c r="A670" s="18">
        <v>46112.515350347225</v>
      </c>
      <c r="B670" s="10" t="s">
        <v>2468</v>
      </c>
      <c r="C670" s="10" t="s">
        <v>1236</v>
      </c>
      <c r="D670" s="10" t="s">
        <v>1485</v>
      </c>
      <c r="E670" s="10" t="s">
        <v>3265</v>
      </c>
      <c r="G670" s="10" t="s">
        <v>3266</v>
      </c>
      <c r="H670" s="10" t="s">
        <v>3267</v>
      </c>
      <c r="I670" s="10" t="s">
        <v>197</v>
      </c>
      <c r="N670" s="10" t="s">
        <v>98</v>
      </c>
      <c r="O670" s="10" t="s">
        <v>221</v>
      </c>
      <c r="P670" s="10" t="s">
        <v>221</v>
      </c>
      <c r="Q670" s="10" t="s">
        <v>47</v>
      </c>
      <c r="R670" s="10" t="s">
        <v>74</v>
      </c>
      <c r="S670" s="10">
        <v>2000</v>
      </c>
      <c r="T670" s="10">
        <v>1800</v>
      </c>
      <c r="U670" s="10">
        <v>0</v>
      </c>
      <c r="V670" s="10">
        <v>0</v>
      </c>
      <c r="W670" s="10" t="s">
        <v>3268</v>
      </c>
      <c r="X670" s="10">
        <v>0</v>
      </c>
      <c r="Y670" s="10" t="s">
        <v>3269</v>
      </c>
      <c r="Z670" s="10" t="s">
        <v>296</v>
      </c>
      <c r="AA670" s="10" t="s">
        <v>113</v>
      </c>
      <c r="AB670" s="10" t="s">
        <v>306</v>
      </c>
      <c r="AC670" s="10" t="s">
        <v>68</v>
      </c>
      <c r="AD670" s="10" t="str">
        <f>IFERROR(VLOOKUP(B670,'Regiões Administrativas'!$A$1:$B$646,2,0),"")</f>
        <v>RMSP</v>
      </c>
      <c r="AE670" s="10">
        <f>IFERROR(VLOOKUP(Form_Responses[[#This Row],[Município]],'Regiões Administrativas'!$A$1:$I$646,3,0),"")</f>
        <v>15917</v>
      </c>
      <c r="AF670" s="10">
        <f>IFERROR(VLOOKUP(Form_Responses[[#This Row],[Município]],'Regiões Administrativas'!$A$1:$I$646,4,0),"")</f>
        <v>351640805000001</v>
      </c>
      <c r="AG670" s="10">
        <f>IFERROR(VLOOKUP(Form_Responses[[#This Row],[Município]],'Regiões Administrativas'!$A$1:$I$646,4,0),"")</f>
        <v>351640805000001</v>
      </c>
      <c r="AH670" s="10">
        <f>IFERROR(VLOOKUP(B670,'Regiões Administrativas'!$A$1:$I$646,5,0),"")</f>
        <v>3516408</v>
      </c>
      <c r="AI670" s="10">
        <f>IFERROR(VLOOKUP(B670,'Regiões Administrativas'!$A$1:$I$646,6,0),"")</f>
        <v>-46.727874700000001</v>
      </c>
      <c r="AJ670" s="10">
        <f>IFERROR(VLOOKUP(B670,'Regiões Administrativas'!$A$1:$I$646,8,0),"")</f>
        <v>747.305654</v>
      </c>
      <c r="AK670" s="10" t="str">
        <f>IFERROR(VLOOKUP(Form_Responses[[#This Row],[Município]],'Regiões Administrativas'!$A$1:$I$646,9,0),"")</f>
        <v>1J6tnLt.yS8f</v>
      </c>
    </row>
    <row r="671" spans="1:37" ht="22.5" customHeight="1">
      <c r="A671" s="18">
        <v>46112.518732650467</v>
      </c>
      <c r="B671" s="10" t="s">
        <v>2468</v>
      </c>
      <c r="C671" s="10" t="s">
        <v>1236</v>
      </c>
      <c r="D671" s="10" t="s">
        <v>3270</v>
      </c>
      <c r="E671" s="10" t="s">
        <v>3271</v>
      </c>
      <c r="G671" s="10" t="s">
        <v>3272</v>
      </c>
      <c r="H671" s="10" t="s">
        <v>3267</v>
      </c>
      <c r="I671" s="10" t="s">
        <v>197</v>
      </c>
      <c r="N671" s="10" t="s">
        <v>98</v>
      </c>
      <c r="O671" s="10" t="s">
        <v>221</v>
      </c>
      <c r="P671" s="10" t="s">
        <v>221</v>
      </c>
      <c r="Q671" s="10" t="s">
        <v>47</v>
      </c>
      <c r="R671" s="10" t="s">
        <v>74</v>
      </c>
      <c r="S671" s="10">
        <v>1700</v>
      </c>
      <c r="T671" s="10">
        <v>1500</v>
      </c>
      <c r="W671" s="10" t="s">
        <v>3273</v>
      </c>
      <c r="Y671" s="10" t="s">
        <v>3269</v>
      </c>
      <c r="Z671" s="10" t="s">
        <v>296</v>
      </c>
      <c r="AA671" s="10" t="s">
        <v>113</v>
      </c>
      <c r="AB671" s="10" t="s">
        <v>207</v>
      </c>
      <c r="AC671" s="10" t="s">
        <v>68</v>
      </c>
      <c r="AD671" s="10" t="str">
        <f>IFERROR(VLOOKUP(B671,'Regiões Administrativas'!$A$1:$B$646,2,0),"")</f>
        <v>RMSP</v>
      </c>
      <c r="AE671" s="10">
        <f>IFERROR(VLOOKUP(Form_Responses[[#This Row],[Município]],'Regiões Administrativas'!$A$1:$I$646,3,0),"")</f>
        <v>15917</v>
      </c>
      <c r="AF671" s="10">
        <f>IFERROR(VLOOKUP(Form_Responses[[#This Row],[Município]],'Regiões Administrativas'!$A$1:$I$646,4,0),"")</f>
        <v>351640805000001</v>
      </c>
      <c r="AG671" s="10">
        <f>IFERROR(VLOOKUP(Form_Responses[[#This Row],[Município]],'Regiões Administrativas'!$A$1:$I$646,4,0),"")</f>
        <v>351640805000001</v>
      </c>
      <c r="AH671" s="10">
        <f>IFERROR(VLOOKUP(B671,'Regiões Administrativas'!$A$1:$I$646,5,0),"")</f>
        <v>3516408</v>
      </c>
      <c r="AI671" s="10">
        <f>IFERROR(VLOOKUP(B671,'Regiões Administrativas'!$A$1:$I$646,6,0),"")</f>
        <v>-46.727874700000001</v>
      </c>
      <c r="AJ671" s="10">
        <f>IFERROR(VLOOKUP(B671,'Regiões Administrativas'!$A$1:$I$646,8,0),"")</f>
        <v>747.305654</v>
      </c>
      <c r="AK671" s="10" t="str">
        <f>IFERROR(VLOOKUP(Form_Responses[[#This Row],[Município]],'Regiões Administrativas'!$A$1:$I$646,9,0),"")</f>
        <v>1J6tnLt.yS8f</v>
      </c>
    </row>
    <row r="672" spans="1:37" ht="22.5" customHeight="1">
      <c r="A672" s="18">
        <v>46112.524534837961</v>
      </c>
      <c r="B672" s="10" t="s">
        <v>2468</v>
      </c>
      <c r="C672" s="10" t="s">
        <v>1236</v>
      </c>
      <c r="D672" s="10" t="s">
        <v>3274</v>
      </c>
      <c r="E672" s="10" t="s">
        <v>3275</v>
      </c>
      <c r="G672" s="10" t="s">
        <v>3276</v>
      </c>
      <c r="H672" s="10" t="s">
        <v>3267</v>
      </c>
      <c r="I672" s="10" t="s">
        <v>197</v>
      </c>
      <c r="N672" s="10" t="s">
        <v>98</v>
      </c>
      <c r="O672" s="10" t="s">
        <v>221</v>
      </c>
      <c r="P672" s="10" t="s">
        <v>221</v>
      </c>
      <c r="Q672" s="10" t="s">
        <v>47</v>
      </c>
      <c r="R672" s="10" t="s">
        <v>74</v>
      </c>
      <c r="S672" s="10">
        <v>1800</v>
      </c>
      <c r="T672" s="10">
        <v>1600</v>
      </c>
      <c r="W672" s="10" t="s">
        <v>3273</v>
      </c>
      <c r="Y672" s="10" t="s">
        <v>3269</v>
      </c>
      <c r="Z672" s="10" t="s">
        <v>296</v>
      </c>
      <c r="AA672" s="10" t="s">
        <v>113</v>
      </c>
      <c r="AB672" s="10" t="s">
        <v>207</v>
      </c>
      <c r="AC672" s="10" t="s">
        <v>68</v>
      </c>
      <c r="AD672" s="10" t="str">
        <f>IFERROR(VLOOKUP(B672,'Regiões Administrativas'!$A$1:$B$646,2,0),"")</f>
        <v>RMSP</v>
      </c>
      <c r="AE672" s="10">
        <f>IFERROR(VLOOKUP(Form_Responses[[#This Row],[Município]],'Regiões Administrativas'!$A$1:$I$646,3,0),"")</f>
        <v>15917</v>
      </c>
      <c r="AF672" s="10">
        <f>IFERROR(VLOOKUP(Form_Responses[[#This Row],[Município]],'Regiões Administrativas'!$A$1:$I$646,4,0),"")</f>
        <v>351640805000001</v>
      </c>
      <c r="AG672" s="10">
        <f>IFERROR(VLOOKUP(Form_Responses[[#This Row],[Município]],'Regiões Administrativas'!$A$1:$I$646,4,0),"")</f>
        <v>351640805000001</v>
      </c>
      <c r="AH672" s="10">
        <f>IFERROR(VLOOKUP(B672,'Regiões Administrativas'!$A$1:$I$646,5,0),"")</f>
        <v>3516408</v>
      </c>
      <c r="AI672" s="10">
        <f>IFERROR(VLOOKUP(B672,'Regiões Administrativas'!$A$1:$I$646,6,0),"")</f>
        <v>-46.727874700000001</v>
      </c>
      <c r="AJ672" s="10">
        <f>IFERROR(VLOOKUP(B672,'Regiões Administrativas'!$A$1:$I$646,8,0),"")</f>
        <v>747.305654</v>
      </c>
      <c r="AK672" s="10" t="str">
        <f>IFERROR(VLOOKUP(Form_Responses[[#This Row],[Município]],'Regiões Administrativas'!$A$1:$I$646,9,0),"")</f>
        <v>1J6tnLt.yS8f</v>
      </c>
    </row>
    <row r="673" spans="1:37" ht="23.25" customHeight="1">
      <c r="A673" s="18">
        <v>46114.34844829861</v>
      </c>
      <c r="B673" s="10" t="s">
        <v>382</v>
      </c>
      <c r="C673" s="10" t="s">
        <v>383</v>
      </c>
      <c r="D673" s="10" t="s">
        <v>3277</v>
      </c>
      <c r="E673" s="10" t="s">
        <v>3278</v>
      </c>
      <c r="G673" s="10" t="s">
        <v>3279</v>
      </c>
      <c r="I673" s="10" t="s">
        <v>81</v>
      </c>
      <c r="J673" s="16">
        <v>46276</v>
      </c>
      <c r="K673" s="16">
        <v>46306</v>
      </c>
      <c r="N673" s="10" t="s">
        <v>73</v>
      </c>
      <c r="O673" s="10" t="s">
        <v>190</v>
      </c>
      <c r="P673" s="10" t="s">
        <v>63</v>
      </c>
      <c r="Q673" s="10" t="s">
        <v>47</v>
      </c>
      <c r="R673" s="10" t="s">
        <v>48</v>
      </c>
      <c r="S673" s="19">
        <v>30000</v>
      </c>
      <c r="T673" s="19">
        <v>20000</v>
      </c>
      <c r="W673" s="10" t="s">
        <v>3263</v>
      </c>
      <c r="Y673" s="10" t="s">
        <v>389</v>
      </c>
      <c r="Z673" s="10" t="s">
        <v>76</v>
      </c>
      <c r="AA673" s="10" t="s">
        <v>93</v>
      </c>
      <c r="AB673" s="10" t="s">
        <v>66</v>
      </c>
      <c r="AC673" s="10" t="s">
        <v>68</v>
      </c>
      <c r="AD673" s="10" t="str">
        <f>IFERROR(VLOOKUP(B673,'Regiões Administrativas'!$A$1:$B$646,2,0),"")</f>
        <v>Campinas</v>
      </c>
      <c r="AE673" s="10">
        <f>IFERROR(VLOOKUP(Form_Responses[[#This Row],[Município]],'Regiões Administrativas'!$A$1:$I$646,3,0),"")</f>
        <v>16193</v>
      </c>
      <c r="AF673" s="10">
        <f>IFERROR(VLOOKUP(Form_Responses[[#This Row],[Município]],'Regiões Administrativas'!$A$1:$I$646,4,0),"")</f>
        <v>352400605000001</v>
      </c>
      <c r="AG673" s="10">
        <f>IFERROR(VLOOKUP(Form_Responses[[#This Row],[Município]],'Regiões Administrativas'!$A$1:$I$646,4,0),"")</f>
        <v>352400605000001</v>
      </c>
      <c r="AH673" s="10">
        <f>IFERROR(VLOOKUP(B673,'Regiões Administrativas'!$A$1:$I$646,5,0),"")</f>
        <v>3524006</v>
      </c>
      <c r="AI673" s="10">
        <f>IFERROR(VLOOKUP(B673,'Regiões Administrativas'!$A$1:$I$646,6,0),"")</f>
        <v>-47.055701200000001</v>
      </c>
      <c r="AJ673" s="10">
        <f>IFERROR(VLOOKUP(B673,'Regiões Administrativas'!$A$1:$I$646,8,0),"")</f>
        <v>672.32714899999996</v>
      </c>
      <c r="AK673" s="10" t="str">
        <f>IFERROR(VLOOKUP(Form_Responses[[#This Row],[Município]],'Regiões Administrativas'!$A$1:$I$646,9,0),"")</f>
        <v>1J6tLR+&lt;QWRf</v>
      </c>
    </row>
    <row r="674" spans="1:37" ht="22.5" customHeight="1">
      <c r="A674" s="18">
        <v>46114.658649861114</v>
      </c>
      <c r="B674" s="10" t="s">
        <v>3280</v>
      </c>
      <c r="C674" s="10" t="s">
        <v>57</v>
      </c>
      <c r="D674" s="10" t="s">
        <v>3281</v>
      </c>
      <c r="E674" s="10" t="s">
        <v>3282</v>
      </c>
      <c r="F674" s="10" t="s">
        <v>1998</v>
      </c>
      <c r="G674" s="10" t="s">
        <v>3283</v>
      </c>
      <c r="H674" s="72" t="s">
        <v>3284</v>
      </c>
      <c r="I674" s="10" t="s">
        <v>220</v>
      </c>
      <c r="J674" s="16">
        <v>46142</v>
      </c>
      <c r="K674" s="16">
        <v>46144</v>
      </c>
      <c r="L674" s="17">
        <v>0.83333333333575865</v>
      </c>
      <c r="M674" s="17">
        <v>0.16666666666424135</v>
      </c>
      <c r="N674" s="10" t="s">
        <v>44</v>
      </c>
      <c r="O674" s="10" t="s">
        <v>45</v>
      </c>
      <c r="P674" s="10" t="s">
        <v>46</v>
      </c>
      <c r="Q674" s="10" t="s">
        <v>47</v>
      </c>
      <c r="R674" s="10" t="s">
        <v>74</v>
      </c>
      <c r="S674" s="19">
        <v>15000</v>
      </c>
      <c r="T674" s="19">
        <v>15000</v>
      </c>
      <c r="U674" s="19">
        <v>12000</v>
      </c>
      <c r="V674" s="19">
        <v>12000</v>
      </c>
      <c r="W674" s="10" t="s">
        <v>3285</v>
      </c>
      <c r="Y674" s="10" t="s">
        <v>3286</v>
      </c>
      <c r="Z674" s="10" t="s">
        <v>224</v>
      </c>
      <c r="AA674" s="10" t="s">
        <v>206</v>
      </c>
      <c r="AB674" s="10" t="s">
        <v>54</v>
      </c>
      <c r="AC674" s="10" t="s">
        <v>55</v>
      </c>
      <c r="AD674" s="10" t="str">
        <f>IFERROR(VLOOKUP(B674,'Regiões Administrativas'!$A$1:$B$646,2,0),"")</f>
        <v>Sorocaba</v>
      </c>
      <c r="AE674" s="10">
        <f>IFERROR(VLOOKUP(Form_Responses[[#This Row],[Município]],'Regiões Administrativas'!$A$1:$I$646,3,0),"")</f>
        <v>15774</v>
      </c>
      <c r="AF674" s="10">
        <f>IFERROR(VLOOKUP(Form_Responses[[#This Row],[Município]],'Regiões Administrativas'!$A$1:$I$646,4,0),"")</f>
        <v>351160705000001</v>
      </c>
      <c r="AG674" s="10">
        <f>IFERROR(VLOOKUP(Form_Responses[[#This Row],[Município]],'Regiões Administrativas'!$A$1:$I$646,4,0),"")</f>
        <v>351160705000001</v>
      </c>
      <c r="AH674" s="10">
        <f>IFERROR(VLOOKUP(B674,'Regiões Administrativas'!$A$1:$I$646,5,0),"")</f>
        <v>3511607</v>
      </c>
      <c r="AI674" s="10">
        <f>IFERROR(VLOOKUP(B674,'Regiões Administrativas'!$A$1:$I$646,6,0),"")</f>
        <v>-47.952110699999999</v>
      </c>
      <c r="AJ674" s="10">
        <f>IFERROR(VLOOKUP(B674,'Regiões Administrativas'!$A$1:$I$646,8,0),"")</f>
        <v>595.21333600000003</v>
      </c>
      <c r="AK674" s="10" t="str">
        <f>IFERROR(VLOOKUP(Form_Responses[[#This Row],[Município]],'Regiões Administrativas'!$A$1:$I$646,9,0),"")</f>
        <v>1J6tlh+6c:gp</v>
      </c>
    </row>
    <row r="675" spans="1:37" ht="22.5" customHeight="1">
      <c r="A675" s="18">
        <v>46114.668501643522</v>
      </c>
      <c r="B675" s="10" t="s">
        <v>3280</v>
      </c>
      <c r="C675" s="10" t="s">
        <v>57</v>
      </c>
      <c r="D675" s="10" t="s">
        <v>3287</v>
      </c>
      <c r="E675" s="10" t="s">
        <v>3288</v>
      </c>
      <c r="F675" s="10" t="s">
        <v>3289</v>
      </c>
      <c r="G675" s="10" t="s">
        <v>3290</v>
      </c>
      <c r="H675" s="72" t="s">
        <v>3284</v>
      </c>
      <c r="I675" s="10" t="s">
        <v>220</v>
      </c>
      <c r="J675" s="16">
        <v>46145</v>
      </c>
      <c r="K675" s="16">
        <v>46145</v>
      </c>
      <c r="L675" s="17">
        <v>0.29166666666424135</v>
      </c>
      <c r="M675" s="17">
        <v>0.70833333333575865</v>
      </c>
      <c r="N675" s="10" t="s">
        <v>44</v>
      </c>
      <c r="O675" s="10" t="s">
        <v>62</v>
      </c>
      <c r="P675" s="10" t="s">
        <v>63</v>
      </c>
      <c r="Q675" s="10" t="s">
        <v>47</v>
      </c>
      <c r="R675" s="10" t="s">
        <v>74</v>
      </c>
      <c r="S675" s="10">
        <v>400</v>
      </c>
      <c r="T675" s="10">
        <v>400</v>
      </c>
      <c r="U675" s="10">
        <v>400</v>
      </c>
      <c r="V675" s="10">
        <v>600</v>
      </c>
      <c r="W675" s="10" t="s">
        <v>3285</v>
      </c>
      <c r="X675" s="10" t="s">
        <v>126</v>
      </c>
      <c r="Y675" s="10" t="s">
        <v>3291</v>
      </c>
      <c r="Z675" s="10" t="s">
        <v>224</v>
      </c>
      <c r="AA675" s="10" t="s">
        <v>113</v>
      </c>
      <c r="AB675" s="10" t="s">
        <v>54</v>
      </c>
      <c r="AC675" s="10" t="s">
        <v>68</v>
      </c>
      <c r="AD675" s="10" t="str">
        <f>IFERROR(VLOOKUP(B675,'Regiões Administrativas'!$A$1:$B$646,2,0),"")</f>
        <v>Sorocaba</v>
      </c>
      <c r="AE675" s="10">
        <f>IFERROR(VLOOKUP(Form_Responses[[#This Row],[Município]],'Regiões Administrativas'!$A$1:$I$646,3,0),"")</f>
        <v>15774</v>
      </c>
      <c r="AF675" s="10">
        <f>IFERROR(VLOOKUP(Form_Responses[[#This Row],[Município]],'Regiões Administrativas'!$A$1:$I$646,4,0),"")</f>
        <v>351160705000001</v>
      </c>
      <c r="AG675" s="10">
        <f>IFERROR(VLOOKUP(Form_Responses[[#This Row],[Município]],'Regiões Administrativas'!$A$1:$I$646,4,0),"")</f>
        <v>351160705000001</v>
      </c>
      <c r="AH675" s="10">
        <f>IFERROR(VLOOKUP(B675,'Regiões Administrativas'!$A$1:$I$646,5,0),"")</f>
        <v>3511607</v>
      </c>
      <c r="AI675" s="10">
        <f>IFERROR(VLOOKUP(B675,'Regiões Administrativas'!$A$1:$I$646,6,0),"")</f>
        <v>-47.952110699999999</v>
      </c>
      <c r="AJ675" s="10">
        <f>IFERROR(VLOOKUP(B675,'Regiões Administrativas'!$A$1:$I$646,8,0),"")</f>
        <v>595.21333600000003</v>
      </c>
      <c r="AK675" s="10" t="str">
        <f>IFERROR(VLOOKUP(Form_Responses[[#This Row],[Município]],'Regiões Administrativas'!$A$1:$I$646,9,0),"")</f>
        <v>1J6tlh+6c:gp</v>
      </c>
    </row>
    <row r="676" spans="1:37" ht="22.5" customHeight="1">
      <c r="A676" s="18">
        <v>46118.503051643522</v>
      </c>
      <c r="B676" s="10" t="s">
        <v>3292</v>
      </c>
      <c r="C676" s="10" t="s">
        <v>138</v>
      </c>
      <c r="D676" s="10" t="s">
        <v>3293</v>
      </c>
      <c r="E676" s="10" t="s">
        <v>3294</v>
      </c>
      <c r="F676" s="10" t="s">
        <v>3295</v>
      </c>
      <c r="G676" s="10" t="s">
        <v>3296</v>
      </c>
      <c r="H676" s="10" t="s">
        <v>3297</v>
      </c>
      <c r="I676" s="10" t="s">
        <v>72</v>
      </c>
      <c r="J676" s="16">
        <v>46204</v>
      </c>
      <c r="K676" s="16">
        <v>46249</v>
      </c>
      <c r="M676" s="17">
        <v>0</v>
      </c>
      <c r="N676" s="10" t="s">
        <v>44</v>
      </c>
      <c r="O676" s="10" t="s">
        <v>221</v>
      </c>
      <c r="P676" s="10" t="s">
        <v>221</v>
      </c>
      <c r="Q676" s="10" t="s">
        <v>47</v>
      </c>
      <c r="R676" s="10" t="s">
        <v>256</v>
      </c>
      <c r="S676" s="10">
        <v>8000</v>
      </c>
      <c r="T676" s="10">
        <v>6000</v>
      </c>
      <c r="U676" s="10">
        <v>5000</v>
      </c>
      <c r="V676" s="10">
        <v>4500</v>
      </c>
      <c r="W676" s="10" t="s">
        <v>3298</v>
      </c>
      <c r="X676" s="10">
        <v>0</v>
      </c>
      <c r="Y676" s="10" t="s">
        <v>3299</v>
      </c>
      <c r="Z676" s="10" t="s">
        <v>361</v>
      </c>
      <c r="AA676" s="10" t="s">
        <v>1898</v>
      </c>
      <c r="AB676" s="10" t="s">
        <v>66</v>
      </c>
      <c r="AC676" s="10" t="s">
        <v>68</v>
      </c>
      <c r="AD676" s="10" t="str">
        <f>IFERROR(VLOOKUP(B676,'Regiões Administrativas'!$A$1:$B$646,2,0),"")</f>
        <v>São José dos Campos</v>
      </c>
      <c r="AE676" s="10">
        <f>IFERROR(VLOOKUP(Form_Responses[[#This Row],[Município]],'Regiões Administrativas'!$A$1:$I$646,3,0),"")</f>
        <v>16363</v>
      </c>
      <c r="AF676" s="10">
        <f>IFERROR(VLOOKUP(Form_Responses[[#This Row],[Município]],'Regiões Administrativas'!$A$1:$I$646,4,0),"")</f>
        <v>352720705000001</v>
      </c>
      <c r="AG676" s="10">
        <f>IFERROR(VLOOKUP(Form_Responses[[#This Row],[Município]],'Regiões Administrativas'!$A$1:$I$646,4,0),"")</f>
        <v>352720705000001</v>
      </c>
      <c r="AH676" s="10">
        <f>IFERROR(VLOOKUP(B676,'Regiões Administrativas'!$A$1:$I$646,5,0),"")</f>
        <v>3527207</v>
      </c>
      <c r="AI676" s="10">
        <f>IFERROR(VLOOKUP(B676,'Regiões Administrativas'!$A$1:$I$646,6,0),"")</f>
        <v>-45.124248100000003</v>
      </c>
      <c r="AJ676" s="10">
        <f>IFERROR(VLOOKUP(B676,'Regiões Administrativas'!$A$1:$I$646,8,0),"")</f>
        <v>530</v>
      </c>
      <c r="AK676" s="10" t="str">
        <f>IFERROR(VLOOKUP(Form_Responses[[#This Row],[Município]],'Regiões Administrativas'!$A$1:$I$646,9,0),"")</f>
        <v>1J6tryhg3Ug-</v>
      </c>
    </row>
    <row r="677" spans="1:37" ht="22.5" customHeight="1">
      <c r="A677" s="18">
        <v>46118.520738576393</v>
      </c>
      <c r="B677" s="10" t="s">
        <v>3300</v>
      </c>
      <c r="C677" s="10" t="s">
        <v>608</v>
      </c>
      <c r="D677" s="10" t="s">
        <v>3301</v>
      </c>
      <c r="E677" s="10" t="s">
        <v>3302</v>
      </c>
      <c r="G677" s="10" t="s">
        <v>3303</v>
      </c>
      <c r="H677" s="72" t="s">
        <v>3304</v>
      </c>
      <c r="I677" s="10" t="s">
        <v>60</v>
      </c>
      <c r="J677" s="16">
        <v>46177</v>
      </c>
      <c r="K677" s="16">
        <v>46120</v>
      </c>
      <c r="N677" s="10" t="s">
        <v>73</v>
      </c>
      <c r="O677" s="10" t="s">
        <v>45</v>
      </c>
      <c r="P677" s="10" t="s">
        <v>63</v>
      </c>
      <c r="Q677" s="10" t="s">
        <v>47</v>
      </c>
      <c r="R677" s="10" t="s">
        <v>48</v>
      </c>
      <c r="S677" s="19">
        <v>10000</v>
      </c>
      <c r="T677" s="19">
        <v>10000</v>
      </c>
      <c r="U677" s="19">
        <v>8000</v>
      </c>
      <c r="V677" s="19">
        <v>7000</v>
      </c>
      <c r="W677" s="10" t="s">
        <v>3305</v>
      </c>
      <c r="Y677" s="72" t="s">
        <v>3304</v>
      </c>
      <c r="Z677" s="10" t="s">
        <v>224</v>
      </c>
      <c r="AA677" s="10" t="s">
        <v>3306</v>
      </c>
      <c r="AB677" s="10" t="s">
        <v>66</v>
      </c>
      <c r="AC677" s="10" t="s">
        <v>55</v>
      </c>
      <c r="AD677" s="10" t="str">
        <f>IFERROR(VLOOKUP(B677,'Regiões Administrativas'!$A$1:$B$646,2,0),"")</f>
        <v>Ribeirão Preto</v>
      </c>
      <c r="AE677" s="10">
        <f>IFERROR(VLOOKUP(Form_Responses[[#This Row],[Município]],'Regiões Administrativas'!$A$1:$I$646,3,0),"")</f>
        <v>15355</v>
      </c>
      <c r="AF677" s="10">
        <f>IFERROR(VLOOKUP(Form_Responses[[#This Row],[Município]],'Regiões Administrativas'!$A$1:$I$646,4,0),"")</f>
        <v>350100405000001</v>
      </c>
      <c r="AG677" s="10">
        <f>IFERROR(VLOOKUP(Form_Responses[[#This Row],[Município]],'Regiões Administrativas'!$A$1:$I$646,4,0),"")</f>
        <v>350100405000001</v>
      </c>
      <c r="AH677" s="10">
        <f>IFERROR(VLOOKUP(B677,'Regiões Administrativas'!$A$1:$I$646,5,0),"")</f>
        <v>3501004</v>
      </c>
      <c r="AI677" s="10">
        <f>IFERROR(VLOOKUP(B677,'Regiões Administrativas'!$A$1:$I$646,6,0),"")</f>
        <v>-47.373280299999998</v>
      </c>
      <c r="AJ677" s="10">
        <f>IFERROR(VLOOKUP(B677,'Regiões Administrativas'!$A$1:$I$646,8,0),"")</f>
        <v>904.24177599999996</v>
      </c>
      <c r="AK677" s="10" t="str">
        <f>IFERROR(VLOOKUP(Form_Responses[[#This Row],[Município]],'Regiões Administrativas'!$A$1:$I$646,9,0),"")</f>
        <v>1J6t]MMKE3;f</v>
      </c>
    </row>
    <row r="678" spans="1:37" ht="22.5" customHeight="1">
      <c r="A678" s="18">
        <v>46118.538940775463</v>
      </c>
      <c r="B678" s="10" t="s">
        <v>3300</v>
      </c>
      <c r="C678" s="10" t="s">
        <v>608</v>
      </c>
      <c r="D678" s="10" t="s">
        <v>3307</v>
      </c>
      <c r="E678" s="10" t="s">
        <v>3308</v>
      </c>
      <c r="F678" s="10" t="s">
        <v>3309</v>
      </c>
      <c r="G678" s="10" t="s">
        <v>3310</v>
      </c>
      <c r="H678" s="10" t="s">
        <v>126</v>
      </c>
      <c r="I678" s="10" t="s">
        <v>267</v>
      </c>
      <c r="J678" s="16">
        <v>46403</v>
      </c>
      <c r="K678" s="16">
        <v>46405</v>
      </c>
      <c r="N678" s="10" t="s">
        <v>44</v>
      </c>
      <c r="O678" s="10" t="s">
        <v>45</v>
      </c>
      <c r="P678" s="10" t="s">
        <v>221</v>
      </c>
      <c r="Q678" s="10" t="s">
        <v>47</v>
      </c>
      <c r="R678" s="10" t="s">
        <v>74</v>
      </c>
      <c r="S678" s="10">
        <v>8000</v>
      </c>
      <c r="T678" s="10">
        <v>7500</v>
      </c>
      <c r="U678" s="10">
        <v>7400</v>
      </c>
      <c r="V678" s="10">
        <v>7000</v>
      </c>
      <c r="W678" s="10" t="s">
        <v>879</v>
      </c>
      <c r="X678" s="10" t="s">
        <v>3311</v>
      </c>
      <c r="Y678" s="10" t="s">
        <v>3312</v>
      </c>
      <c r="Z678" s="10" t="s">
        <v>76</v>
      </c>
      <c r="AA678" s="10" t="s">
        <v>93</v>
      </c>
      <c r="AB678" s="10" t="s">
        <v>66</v>
      </c>
      <c r="AC678" s="10" t="s">
        <v>68</v>
      </c>
      <c r="AD678" s="10" t="str">
        <f>IFERROR(VLOOKUP(B678,'Regiões Administrativas'!$A$1:$B$646,2,0),"")</f>
        <v>Ribeirão Preto</v>
      </c>
      <c r="AE678" s="10">
        <f>IFERROR(VLOOKUP(Form_Responses[[#This Row],[Município]],'Regiões Administrativas'!$A$1:$I$646,3,0),"")</f>
        <v>15355</v>
      </c>
      <c r="AF678" s="10">
        <f>IFERROR(VLOOKUP(Form_Responses[[#This Row],[Município]],'Regiões Administrativas'!$A$1:$I$646,4,0),"")</f>
        <v>350100405000001</v>
      </c>
      <c r="AG678" s="10">
        <f>IFERROR(VLOOKUP(Form_Responses[[#This Row],[Município]],'Regiões Administrativas'!$A$1:$I$646,4,0),"")</f>
        <v>350100405000001</v>
      </c>
      <c r="AH678" s="10">
        <f>IFERROR(VLOOKUP(B678,'Regiões Administrativas'!$A$1:$I$646,5,0),"")</f>
        <v>3501004</v>
      </c>
      <c r="AI678" s="10">
        <f>IFERROR(VLOOKUP(B678,'Regiões Administrativas'!$A$1:$I$646,6,0),"")</f>
        <v>-47.373280299999998</v>
      </c>
      <c r="AJ678" s="10">
        <f>IFERROR(VLOOKUP(B678,'Regiões Administrativas'!$A$1:$I$646,8,0),"")</f>
        <v>904.24177599999996</v>
      </c>
      <c r="AK678" s="10" t="str">
        <f>IFERROR(VLOOKUP(Form_Responses[[#This Row],[Município]],'Regiões Administrativas'!$A$1:$I$646,9,0),"")</f>
        <v>1J6t]MMKE3;f</v>
      </c>
    </row>
    <row r="679" spans="1:37" ht="22.5" customHeight="1">
      <c r="A679" s="18">
        <v>46118.544997546298</v>
      </c>
      <c r="B679" s="10" t="s">
        <v>3300</v>
      </c>
      <c r="C679" s="10" t="s">
        <v>608</v>
      </c>
      <c r="D679" s="10" t="s">
        <v>3313</v>
      </c>
      <c r="E679" s="10" t="s">
        <v>3314</v>
      </c>
      <c r="G679" s="10" t="s">
        <v>3315</v>
      </c>
      <c r="H679" s="10" t="s">
        <v>3316</v>
      </c>
      <c r="I679" s="10" t="s">
        <v>109</v>
      </c>
      <c r="J679" s="16">
        <v>46451</v>
      </c>
      <c r="K679" s="16">
        <v>46455</v>
      </c>
      <c r="N679" s="10" t="s">
        <v>268</v>
      </c>
      <c r="O679" s="10" t="s">
        <v>234</v>
      </c>
      <c r="P679" s="10" t="s">
        <v>46</v>
      </c>
      <c r="Q679" s="10" t="s">
        <v>47</v>
      </c>
      <c r="R679" s="10" t="s">
        <v>74</v>
      </c>
      <c r="S679" s="10">
        <v>13000</v>
      </c>
      <c r="T679" s="10">
        <v>12500</v>
      </c>
      <c r="U679" s="10">
        <v>12300</v>
      </c>
      <c r="V679" s="10">
        <v>12000</v>
      </c>
      <c r="W679" s="10" t="s">
        <v>3317</v>
      </c>
      <c r="X679" s="10" t="s">
        <v>3318</v>
      </c>
      <c r="Y679" s="10" t="s">
        <v>3319</v>
      </c>
      <c r="Z679" s="10" t="s">
        <v>76</v>
      </c>
      <c r="AA679" s="10" t="s">
        <v>67</v>
      </c>
      <c r="AB679" s="10" t="s">
        <v>66</v>
      </c>
      <c r="AC679" s="10" t="s">
        <v>68</v>
      </c>
      <c r="AD679" s="10" t="str">
        <f>IFERROR(VLOOKUP(B679,'Regiões Administrativas'!$A$1:$B$646,2,0),"")</f>
        <v>Ribeirão Preto</v>
      </c>
      <c r="AE679" s="10">
        <f>IFERROR(VLOOKUP(Form_Responses[[#This Row],[Município]],'Regiões Administrativas'!$A$1:$I$646,3,0),"")</f>
        <v>15355</v>
      </c>
      <c r="AF679" s="10">
        <f>IFERROR(VLOOKUP(Form_Responses[[#This Row],[Município]],'Regiões Administrativas'!$A$1:$I$646,4,0),"")</f>
        <v>350100405000001</v>
      </c>
      <c r="AG679" s="10">
        <f>IFERROR(VLOOKUP(Form_Responses[[#This Row],[Município]],'Regiões Administrativas'!$A$1:$I$646,4,0),"")</f>
        <v>350100405000001</v>
      </c>
      <c r="AH679" s="10">
        <f>IFERROR(VLOOKUP(B679,'Regiões Administrativas'!$A$1:$I$646,5,0),"")</f>
        <v>3501004</v>
      </c>
      <c r="AI679" s="10">
        <f>IFERROR(VLOOKUP(B679,'Regiões Administrativas'!$A$1:$I$646,6,0),"")</f>
        <v>-47.373280299999998</v>
      </c>
      <c r="AJ679" s="10">
        <f>IFERROR(VLOOKUP(B679,'Regiões Administrativas'!$A$1:$I$646,8,0),"")</f>
        <v>904.24177599999996</v>
      </c>
      <c r="AK679" s="10" t="str">
        <f>IFERROR(VLOOKUP(Form_Responses[[#This Row],[Município]],'Regiões Administrativas'!$A$1:$I$646,9,0),"")</f>
        <v>1J6t]MMKE3;f</v>
      </c>
    </row>
    <row r="680" spans="1:37" ht="22.5" customHeight="1">
      <c r="A680" s="18">
        <v>46118.561469456021</v>
      </c>
      <c r="B680" s="10" t="s">
        <v>3300</v>
      </c>
      <c r="C680" s="10" t="s">
        <v>608</v>
      </c>
      <c r="D680" s="10" t="s">
        <v>3320</v>
      </c>
      <c r="E680" s="10" t="s">
        <v>3321</v>
      </c>
      <c r="F680" s="10" t="s">
        <v>169</v>
      </c>
      <c r="G680" s="10" t="s">
        <v>3322</v>
      </c>
      <c r="I680" s="10" t="s">
        <v>162</v>
      </c>
      <c r="J680" s="16">
        <v>46346</v>
      </c>
      <c r="K680" s="16">
        <v>46393</v>
      </c>
      <c r="N680" s="10" t="s">
        <v>44</v>
      </c>
      <c r="O680" s="10" t="s">
        <v>221</v>
      </c>
      <c r="P680" s="10" t="s">
        <v>251</v>
      </c>
      <c r="Q680" s="10" t="s">
        <v>47</v>
      </c>
      <c r="R680" s="10" t="s">
        <v>74</v>
      </c>
      <c r="S680" s="10">
        <v>6000</v>
      </c>
      <c r="T680" s="10">
        <v>5000</v>
      </c>
      <c r="U680" s="10">
        <v>4500</v>
      </c>
      <c r="V680" s="10">
        <v>4500</v>
      </c>
      <c r="W680" s="10" t="s">
        <v>3317</v>
      </c>
      <c r="X680" s="10" t="s">
        <v>3319</v>
      </c>
      <c r="Y680" s="10" t="s">
        <v>3312</v>
      </c>
      <c r="Z680" s="10" t="s">
        <v>76</v>
      </c>
      <c r="AA680" s="10" t="s">
        <v>225</v>
      </c>
      <c r="AB680" s="10" t="s">
        <v>66</v>
      </c>
      <c r="AC680" s="10" t="s">
        <v>68</v>
      </c>
      <c r="AD680" s="10" t="str">
        <f>IFERROR(VLOOKUP(B680,'Regiões Administrativas'!$A$1:$B$646,2,0),"")</f>
        <v>Ribeirão Preto</v>
      </c>
      <c r="AE680" s="10">
        <f>IFERROR(VLOOKUP(Form_Responses[[#This Row],[Município]],'Regiões Administrativas'!$A$1:$I$646,3,0),"")</f>
        <v>15355</v>
      </c>
      <c r="AF680" s="10">
        <f>IFERROR(VLOOKUP(Form_Responses[[#This Row],[Município]],'Regiões Administrativas'!$A$1:$I$646,4,0),"")</f>
        <v>350100405000001</v>
      </c>
      <c r="AG680" s="10">
        <f>IFERROR(VLOOKUP(Form_Responses[[#This Row],[Município]],'Regiões Administrativas'!$A$1:$I$646,4,0),"")</f>
        <v>350100405000001</v>
      </c>
      <c r="AH680" s="10">
        <f>IFERROR(VLOOKUP(B680,'Regiões Administrativas'!$A$1:$I$646,5,0),"")</f>
        <v>3501004</v>
      </c>
      <c r="AI680" s="10">
        <f>IFERROR(VLOOKUP(B680,'Regiões Administrativas'!$A$1:$I$646,6,0),"")</f>
        <v>-47.373280299999998</v>
      </c>
      <c r="AJ680" s="10">
        <f>IFERROR(VLOOKUP(B680,'Regiões Administrativas'!$A$1:$I$646,8,0),"")</f>
        <v>904.24177599999996</v>
      </c>
      <c r="AK680" s="10" t="str">
        <f>IFERROR(VLOOKUP(Form_Responses[[#This Row],[Município]],'Regiões Administrativas'!$A$1:$I$646,9,0),"")</f>
        <v>1J6t]MMKE3;f</v>
      </c>
    </row>
    <row r="681" spans="1:37" ht="28.5" customHeight="1">
      <c r="A681" s="18">
        <v>46118.597061539353</v>
      </c>
      <c r="B681" s="10" t="s">
        <v>781</v>
      </c>
      <c r="C681" s="10" t="s">
        <v>38</v>
      </c>
      <c r="D681" s="10" t="s">
        <v>3323</v>
      </c>
      <c r="E681" s="10" t="s">
        <v>3324</v>
      </c>
      <c r="F681" s="10" t="s">
        <v>3325</v>
      </c>
      <c r="G681" s="10" t="s">
        <v>3326</v>
      </c>
      <c r="H681" s="10" t="s">
        <v>3327</v>
      </c>
      <c r="I681" s="10" t="s">
        <v>197</v>
      </c>
      <c r="J681" s="16">
        <v>46355</v>
      </c>
      <c r="K681" s="16">
        <v>46356</v>
      </c>
      <c r="L681" s="17">
        <v>0.79166666666424135</v>
      </c>
      <c r="M681" s="17">
        <v>0.79166666666424135</v>
      </c>
      <c r="N681" s="10" t="s">
        <v>268</v>
      </c>
      <c r="O681" s="10" t="s">
        <v>45</v>
      </c>
      <c r="P681" s="10" t="s">
        <v>63</v>
      </c>
      <c r="Q681" s="10" t="s">
        <v>47</v>
      </c>
      <c r="R681" s="10" t="s">
        <v>256</v>
      </c>
      <c r="S681" s="10">
        <v>20000</v>
      </c>
      <c r="T681" s="10">
        <v>30000</v>
      </c>
      <c r="U681" s="10">
        <v>10000</v>
      </c>
      <c r="W681" s="10" t="s">
        <v>3328</v>
      </c>
      <c r="X681" s="10" t="s">
        <v>3329</v>
      </c>
      <c r="Y681" s="10" t="s">
        <v>3330</v>
      </c>
      <c r="Z681" s="10" t="s">
        <v>361</v>
      </c>
      <c r="AA681" s="10" t="s">
        <v>3331</v>
      </c>
      <c r="AB681" s="10" t="s">
        <v>66</v>
      </c>
      <c r="AC681" s="10" t="s">
        <v>68</v>
      </c>
      <c r="AD681" s="10" t="str">
        <f>IFERROR(VLOOKUP(B681,'Regiões Administrativas'!$A$1:$B$646,2,0),"")</f>
        <v>Barretos</v>
      </c>
      <c r="AE681" s="10">
        <f>IFERROR(VLOOKUP(Form_Responses[[#This Row],[Município]],'Regiões Administrativas'!$A$1:$I$646,3,0),"")</f>
        <v>15945</v>
      </c>
      <c r="AF681" s="10">
        <f>IFERROR(VLOOKUP(Form_Responses[[#This Row],[Município]],'Regiões Administrativas'!$A$1:$I$646,4,0),"")</f>
        <v>351740605000001</v>
      </c>
      <c r="AG681" s="10">
        <f>IFERROR(VLOOKUP(Form_Responses[[#This Row],[Município]],'Regiões Administrativas'!$A$1:$I$646,4,0),"")</f>
        <v>351740605000001</v>
      </c>
      <c r="AH681" s="10">
        <f>IFERROR(VLOOKUP(B681,'Regiões Administrativas'!$A$1:$I$646,5,0),"")</f>
        <v>3517406</v>
      </c>
      <c r="AI681" s="10">
        <f>IFERROR(VLOOKUP(B681,'Regiões Administrativas'!$A$1:$I$646,6,0),"")</f>
        <v>-48.314470499999999</v>
      </c>
      <c r="AJ681" s="10">
        <f>IFERROR(VLOOKUP(B681,'Regiões Administrativas'!$A$1:$I$646,8,0),"")</f>
        <v>517.52504299999998</v>
      </c>
      <c r="AK681" s="10" t="str">
        <f>IFERROR(VLOOKUP(Form_Responses[[#This Row],[Município]],'Regiões Administrativas'!$A$1:$I$646,9,0),"")</f>
        <v>1J6R9vRh6ePf</v>
      </c>
    </row>
    <row r="682" spans="1:37" ht="22.5" customHeight="1">
      <c r="A682" s="18">
        <v>46118.602475289357</v>
      </c>
      <c r="B682" s="10" t="s">
        <v>781</v>
      </c>
      <c r="C682" s="10" t="s">
        <v>38</v>
      </c>
      <c r="D682" s="10" t="s">
        <v>3332</v>
      </c>
      <c r="E682" s="10" t="s">
        <v>3333</v>
      </c>
      <c r="F682" s="10" t="s">
        <v>3325</v>
      </c>
      <c r="G682" s="10" t="s">
        <v>3334</v>
      </c>
      <c r="H682" s="72" t="s">
        <v>3335</v>
      </c>
      <c r="I682" s="10" t="s">
        <v>89</v>
      </c>
      <c r="J682" s="16">
        <v>46067</v>
      </c>
      <c r="K682" s="16">
        <v>46069</v>
      </c>
      <c r="N682" s="10" t="s">
        <v>73</v>
      </c>
      <c r="O682" s="10" t="s">
        <v>45</v>
      </c>
      <c r="P682" s="10" t="s">
        <v>90</v>
      </c>
      <c r="Q682" s="10" t="s">
        <v>47</v>
      </c>
      <c r="R682" s="10" t="s">
        <v>74</v>
      </c>
      <c r="S682" s="10">
        <v>10600</v>
      </c>
      <c r="T682" s="10">
        <v>10600</v>
      </c>
      <c r="U682" s="10">
        <v>15000</v>
      </c>
      <c r="V682" s="10">
        <v>15000</v>
      </c>
      <c r="W682" s="10" t="s">
        <v>3336</v>
      </c>
      <c r="Y682" s="10" t="s">
        <v>786</v>
      </c>
      <c r="Z682" s="10" t="s">
        <v>76</v>
      </c>
      <c r="AA682" s="10" t="s">
        <v>113</v>
      </c>
      <c r="AB682" s="10" t="s">
        <v>344</v>
      </c>
      <c r="AC682" s="10" t="s">
        <v>68</v>
      </c>
      <c r="AD682" s="10" t="str">
        <f>IFERROR(VLOOKUP(B682,'Regiões Administrativas'!$A$1:$B$646,2,0),"")</f>
        <v>Barretos</v>
      </c>
      <c r="AE682" s="10">
        <f>IFERROR(VLOOKUP(Form_Responses[[#This Row],[Município]],'Regiões Administrativas'!$A$1:$I$646,3,0),"")</f>
        <v>15945</v>
      </c>
      <c r="AF682" s="10">
        <f>IFERROR(VLOOKUP(Form_Responses[[#This Row],[Município]],'Regiões Administrativas'!$A$1:$I$646,4,0),"")</f>
        <v>351740605000001</v>
      </c>
      <c r="AG682" s="10">
        <f>IFERROR(VLOOKUP(Form_Responses[[#This Row],[Município]],'Regiões Administrativas'!$A$1:$I$646,4,0),"")</f>
        <v>351740605000001</v>
      </c>
      <c r="AH682" s="10">
        <f>IFERROR(VLOOKUP(B682,'Regiões Administrativas'!$A$1:$I$646,5,0),"")</f>
        <v>3517406</v>
      </c>
      <c r="AI682" s="10">
        <f>IFERROR(VLOOKUP(B682,'Regiões Administrativas'!$A$1:$I$646,6,0),"")</f>
        <v>-48.314470499999999</v>
      </c>
      <c r="AJ682" s="10">
        <f>IFERROR(VLOOKUP(B682,'Regiões Administrativas'!$A$1:$I$646,8,0),"")</f>
        <v>517.52504299999998</v>
      </c>
      <c r="AK682" s="10" t="str">
        <f>IFERROR(VLOOKUP(Form_Responses[[#This Row],[Município]],'Regiões Administrativas'!$A$1:$I$646,9,0),"")</f>
        <v>1J6R9vRh6ePf</v>
      </c>
    </row>
    <row r="683" spans="1:37" ht="31.5" customHeight="1">
      <c r="A683" s="18">
        <v>46118.603444479166</v>
      </c>
      <c r="B683" s="10" t="s">
        <v>781</v>
      </c>
      <c r="C683" s="10" t="s">
        <v>38</v>
      </c>
      <c r="D683" s="10" t="s">
        <v>3337</v>
      </c>
      <c r="E683" s="10" t="s">
        <v>3338</v>
      </c>
      <c r="F683" s="10" t="s">
        <v>3325</v>
      </c>
      <c r="G683" s="10" t="s">
        <v>3339</v>
      </c>
      <c r="H683" s="72" t="s">
        <v>3340</v>
      </c>
      <c r="I683" s="10" t="s">
        <v>109</v>
      </c>
      <c r="J683" s="16">
        <v>46103</v>
      </c>
      <c r="K683" s="16">
        <v>46104</v>
      </c>
      <c r="L683" s="17">
        <v>0.58333333333575865</v>
      </c>
      <c r="M683" s="17">
        <v>0.91666666666424135</v>
      </c>
      <c r="N683" s="10" t="s">
        <v>73</v>
      </c>
      <c r="O683" s="10" t="s">
        <v>45</v>
      </c>
      <c r="P683" s="10" t="s">
        <v>63</v>
      </c>
      <c r="Q683" s="10" t="s">
        <v>47</v>
      </c>
      <c r="R683" s="10" t="s">
        <v>256</v>
      </c>
      <c r="S683" s="10">
        <v>5000</v>
      </c>
      <c r="T683" s="10">
        <v>8000</v>
      </c>
      <c r="U683" s="10">
        <v>4000</v>
      </c>
      <c r="V683" s="10">
        <v>4000</v>
      </c>
      <c r="W683" s="10" t="s">
        <v>3341</v>
      </c>
      <c r="X683" s="10" t="s">
        <v>1887</v>
      </c>
      <c r="Y683" s="10" t="s">
        <v>3330</v>
      </c>
      <c r="Z683" s="10" t="s">
        <v>76</v>
      </c>
      <c r="AA683" s="10" t="s">
        <v>156</v>
      </c>
      <c r="AB683" s="10" t="s">
        <v>66</v>
      </c>
      <c r="AC683" s="10" t="s">
        <v>68</v>
      </c>
      <c r="AD683" s="10" t="str">
        <f>IFERROR(VLOOKUP(B683,'Regiões Administrativas'!$A$1:$B$646,2,0),"")</f>
        <v>Barretos</v>
      </c>
      <c r="AE683" s="10">
        <f>IFERROR(VLOOKUP(Form_Responses[[#This Row],[Município]],'Regiões Administrativas'!$A$1:$I$646,3,0),"")</f>
        <v>15945</v>
      </c>
      <c r="AF683" s="10">
        <f>IFERROR(VLOOKUP(Form_Responses[[#This Row],[Município]],'Regiões Administrativas'!$A$1:$I$646,4,0),"")</f>
        <v>351740605000001</v>
      </c>
      <c r="AG683" s="10">
        <f>IFERROR(VLOOKUP(Form_Responses[[#This Row],[Município]],'Regiões Administrativas'!$A$1:$I$646,4,0),"")</f>
        <v>351740605000001</v>
      </c>
      <c r="AH683" s="10">
        <f>IFERROR(VLOOKUP(B683,'Regiões Administrativas'!$A$1:$I$646,5,0),"")</f>
        <v>3517406</v>
      </c>
      <c r="AI683" s="10">
        <f>IFERROR(VLOOKUP(B683,'Regiões Administrativas'!$A$1:$I$646,6,0),"")</f>
        <v>-48.314470499999999</v>
      </c>
      <c r="AJ683" s="10">
        <f>IFERROR(VLOOKUP(B683,'Regiões Administrativas'!$A$1:$I$646,8,0),"")</f>
        <v>517.52504299999998</v>
      </c>
      <c r="AK683" s="10" t="str">
        <f>IFERROR(VLOOKUP(Form_Responses[[#This Row],[Município]],'Regiões Administrativas'!$A$1:$I$646,9,0),"")</f>
        <v>1J6R9vRh6ePf</v>
      </c>
    </row>
    <row r="684" spans="1:37" ht="22.5" customHeight="1">
      <c r="A684" s="18">
        <v>46118.612956192126</v>
      </c>
      <c r="B684" s="10" t="s">
        <v>781</v>
      </c>
      <c r="C684" s="10" t="s">
        <v>38</v>
      </c>
      <c r="D684" s="10" t="s">
        <v>3342</v>
      </c>
      <c r="E684" s="10" t="s">
        <v>3343</v>
      </c>
      <c r="F684" s="10" t="s">
        <v>3325</v>
      </c>
      <c r="G684" s="10" t="s">
        <v>3344</v>
      </c>
      <c r="H684" s="72" t="s">
        <v>3340</v>
      </c>
      <c r="I684" s="10" t="s">
        <v>220</v>
      </c>
      <c r="J684" s="16">
        <v>46156</v>
      </c>
      <c r="K684" s="16">
        <v>46159</v>
      </c>
      <c r="N684" s="10" t="s">
        <v>44</v>
      </c>
      <c r="O684" s="10" t="s">
        <v>45</v>
      </c>
      <c r="P684" s="10" t="s">
        <v>46</v>
      </c>
      <c r="Q684" s="10" t="s">
        <v>47</v>
      </c>
      <c r="R684" s="10" t="s">
        <v>48</v>
      </c>
      <c r="S684" s="10">
        <v>40000</v>
      </c>
      <c r="T684" s="10">
        <v>40000</v>
      </c>
      <c r="W684" s="10" t="s">
        <v>3336</v>
      </c>
      <c r="Y684" s="10" t="s">
        <v>786</v>
      </c>
      <c r="Z684" s="10" t="s">
        <v>76</v>
      </c>
      <c r="AA684" s="10" t="s">
        <v>93</v>
      </c>
      <c r="AB684" s="10" t="s">
        <v>344</v>
      </c>
      <c r="AC684" s="10" t="s">
        <v>68</v>
      </c>
      <c r="AD684" s="10" t="str">
        <f>IFERROR(VLOOKUP(B684,'Regiões Administrativas'!$A$1:$B$646,2,0),"")</f>
        <v>Barretos</v>
      </c>
      <c r="AE684" s="10">
        <f>IFERROR(VLOOKUP(Form_Responses[[#This Row],[Município]],'Regiões Administrativas'!$A$1:$I$646,3,0),"")</f>
        <v>15945</v>
      </c>
      <c r="AF684" s="10">
        <f>IFERROR(VLOOKUP(Form_Responses[[#This Row],[Município]],'Regiões Administrativas'!$A$1:$I$646,4,0),"")</f>
        <v>351740605000001</v>
      </c>
      <c r="AG684" s="10">
        <f>IFERROR(VLOOKUP(Form_Responses[[#This Row],[Município]],'Regiões Administrativas'!$A$1:$I$646,4,0),"")</f>
        <v>351740605000001</v>
      </c>
      <c r="AH684" s="10">
        <f>IFERROR(VLOOKUP(B684,'Regiões Administrativas'!$A$1:$I$646,5,0),"")</f>
        <v>3517406</v>
      </c>
      <c r="AI684" s="10">
        <f>IFERROR(VLOOKUP(B684,'Regiões Administrativas'!$A$1:$I$646,6,0),"")</f>
        <v>-48.314470499999999</v>
      </c>
      <c r="AJ684" s="10">
        <f>IFERROR(VLOOKUP(B684,'Regiões Administrativas'!$A$1:$I$646,8,0),"")</f>
        <v>517.52504299999998</v>
      </c>
      <c r="AK684" s="10" t="str">
        <f>IFERROR(VLOOKUP(Form_Responses[[#This Row],[Município]],'Regiões Administrativas'!$A$1:$I$646,9,0),"")</f>
        <v>1J6R9vRh6ePf</v>
      </c>
    </row>
    <row r="685" spans="1:37" ht="22.5" customHeight="1">
      <c r="A685" s="18">
        <v>46118.615160567133</v>
      </c>
      <c r="B685" s="10" t="s">
        <v>781</v>
      </c>
      <c r="C685" s="10" t="s">
        <v>38</v>
      </c>
      <c r="D685" s="10" t="s">
        <v>3345</v>
      </c>
      <c r="E685" s="10" t="s">
        <v>3346</v>
      </c>
      <c r="F685" s="10" t="s">
        <v>3325</v>
      </c>
      <c r="G685" s="10" t="s">
        <v>295</v>
      </c>
      <c r="H685" s="10" t="s">
        <v>3347</v>
      </c>
      <c r="I685" s="10" t="s">
        <v>220</v>
      </c>
      <c r="J685" s="16">
        <v>46160</v>
      </c>
      <c r="K685" s="16">
        <v>46130</v>
      </c>
      <c r="L685" s="17">
        <v>0.29166666666424135</v>
      </c>
      <c r="M685" s="17">
        <v>0.45833333333575865</v>
      </c>
      <c r="N685" s="10" t="s">
        <v>110</v>
      </c>
      <c r="O685" s="10" t="s">
        <v>45</v>
      </c>
      <c r="P685" s="10" t="s">
        <v>99</v>
      </c>
      <c r="Q685" s="10" t="s">
        <v>47</v>
      </c>
      <c r="R685" s="10" t="s">
        <v>256</v>
      </c>
      <c r="S685" s="10">
        <v>5000</v>
      </c>
      <c r="T685" s="10">
        <v>5000</v>
      </c>
      <c r="U685" s="10">
        <v>7000</v>
      </c>
      <c r="V685" s="10">
        <v>6000</v>
      </c>
      <c r="W685" s="10" t="s">
        <v>3328</v>
      </c>
      <c r="X685" s="10" t="s">
        <v>3348</v>
      </c>
      <c r="Y685" s="10" t="s">
        <v>3330</v>
      </c>
      <c r="Z685" s="10" t="s">
        <v>76</v>
      </c>
      <c r="AA685" s="10" t="s">
        <v>113</v>
      </c>
      <c r="AB685" s="10" t="s">
        <v>66</v>
      </c>
      <c r="AC685" s="10" t="s">
        <v>68</v>
      </c>
      <c r="AD685" s="10" t="str">
        <f>IFERROR(VLOOKUP(B685,'Regiões Administrativas'!$A$1:$B$646,2,0),"")</f>
        <v>Barretos</v>
      </c>
      <c r="AE685" s="10">
        <f>IFERROR(VLOOKUP(Form_Responses[[#This Row],[Município]],'Regiões Administrativas'!$A$1:$I$646,3,0),"")</f>
        <v>15945</v>
      </c>
      <c r="AF685" s="10">
        <f>IFERROR(VLOOKUP(Form_Responses[[#This Row],[Município]],'Regiões Administrativas'!$A$1:$I$646,4,0),"")</f>
        <v>351740605000001</v>
      </c>
      <c r="AG685" s="10">
        <f>IFERROR(VLOOKUP(Form_Responses[[#This Row],[Município]],'Regiões Administrativas'!$A$1:$I$646,4,0),"")</f>
        <v>351740605000001</v>
      </c>
      <c r="AH685" s="10">
        <f>IFERROR(VLOOKUP(B685,'Regiões Administrativas'!$A$1:$I$646,5,0),"")</f>
        <v>3517406</v>
      </c>
      <c r="AI685" s="10">
        <f>IFERROR(VLOOKUP(B685,'Regiões Administrativas'!$A$1:$I$646,6,0),"")</f>
        <v>-48.314470499999999</v>
      </c>
      <c r="AJ685" s="10">
        <f>IFERROR(VLOOKUP(B685,'Regiões Administrativas'!$A$1:$I$646,8,0),"")</f>
        <v>517.52504299999998</v>
      </c>
      <c r="AK685" s="10" t="str">
        <f>IFERROR(VLOOKUP(Form_Responses[[#This Row],[Município]],'Regiões Administrativas'!$A$1:$I$646,9,0),"")</f>
        <v>1J6R9vRh6ePf</v>
      </c>
    </row>
    <row r="686" spans="1:37" ht="22.5" customHeight="1">
      <c r="A686" s="18">
        <v>46118.62297546296</v>
      </c>
      <c r="B686" s="10" t="s">
        <v>781</v>
      </c>
      <c r="C686" s="10" t="s">
        <v>38</v>
      </c>
      <c r="D686" s="10" t="s">
        <v>880</v>
      </c>
      <c r="E686" s="10" t="s">
        <v>3349</v>
      </c>
      <c r="G686" s="10" t="s">
        <v>3350</v>
      </c>
      <c r="H686" s="10" t="s">
        <v>3351</v>
      </c>
      <c r="I686" s="10" t="s">
        <v>72</v>
      </c>
      <c r="J686" s="16">
        <v>46215</v>
      </c>
      <c r="K686" s="16">
        <v>46215</v>
      </c>
      <c r="N686" s="10" t="s">
        <v>44</v>
      </c>
      <c r="O686" s="10" t="s">
        <v>45</v>
      </c>
      <c r="P686" s="10" t="s">
        <v>63</v>
      </c>
      <c r="Q686" s="10" t="s">
        <v>47</v>
      </c>
      <c r="R686" s="10" t="s">
        <v>74</v>
      </c>
      <c r="S686" s="10">
        <v>3000</v>
      </c>
      <c r="T686" s="10">
        <v>3000</v>
      </c>
      <c r="W686" s="10" t="s">
        <v>3352</v>
      </c>
      <c r="Y686" s="10" t="s">
        <v>3353</v>
      </c>
      <c r="Z686" s="10" t="s">
        <v>76</v>
      </c>
      <c r="AA686" s="10" t="s">
        <v>113</v>
      </c>
      <c r="AB686" s="10" t="s">
        <v>344</v>
      </c>
      <c r="AC686" s="10" t="s">
        <v>68</v>
      </c>
      <c r="AD686" s="10" t="str">
        <f>IFERROR(VLOOKUP(B686,'Regiões Administrativas'!$A$1:$B$646,2,0),"")</f>
        <v>Barretos</v>
      </c>
      <c r="AE686" s="10">
        <f>IFERROR(VLOOKUP(Form_Responses[[#This Row],[Município]],'Regiões Administrativas'!$A$1:$I$646,3,0),"")</f>
        <v>15945</v>
      </c>
      <c r="AF686" s="10">
        <f>IFERROR(VLOOKUP(Form_Responses[[#This Row],[Município]],'Regiões Administrativas'!$A$1:$I$646,4,0),"")</f>
        <v>351740605000001</v>
      </c>
      <c r="AG686" s="10">
        <f>IFERROR(VLOOKUP(Form_Responses[[#This Row],[Município]],'Regiões Administrativas'!$A$1:$I$646,4,0),"")</f>
        <v>351740605000001</v>
      </c>
      <c r="AH686" s="10">
        <f>IFERROR(VLOOKUP(B686,'Regiões Administrativas'!$A$1:$I$646,5,0),"")</f>
        <v>3517406</v>
      </c>
      <c r="AI686" s="10">
        <f>IFERROR(VLOOKUP(B686,'Regiões Administrativas'!$A$1:$I$646,6,0),"")</f>
        <v>-48.314470499999999</v>
      </c>
      <c r="AJ686" s="10">
        <f>IFERROR(VLOOKUP(B686,'Regiões Administrativas'!$A$1:$I$646,8,0),"")</f>
        <v>517.52504299999998</v>
      </c>
      <c r="AK686" s="10" t="str">
        <f>IFERROR(VLOOKUP(Form_Responses[[#This Row],[Município]],'Regiões Administrativas'!$A$1:$I$646,9,0),"")</f>
        <v>1J6R9vRh6ePf</v>
      </c>
    </row>
    <row r="687" spans="1:37" ht="24" customHeight="1">
      <c r="A687" s="18">
        <v>46118.623351585644</v>
      </c>
      <c r="B687" s="10" t="s">
        <v>781</v>
      </c>
      <c r="C687" s="10" t="s">
        <v>38</v>
      </c>
      <c r="D687" s="10" t="s">
        <v>3354</v>
      </c>
      <c r="E687" s="10" t="s">
        <v>3355</v>
      </c>
      <c r="F687" s="10" t="s">
        <v>3325</v>
      </c>
      <c r="G687" s="10" t="s">
        <v>3354</v>
      </c>
      <c r="I687" s="10" t="s">
        <v>128</v>
      </c>
      <c r="J687" s="16">
        <v>46123</v>
      </c>
      <c r="K687" s="16">
        <v>46123</v>
      </c>
      <c r="L687" s="17">
        <v>0.5625</v>
      </c>
      <c r="M687" s="17">
        <v>0.70833333333575865</v>
      </c>
      <c r="N687" s="10" t="s">
        <v>268</v>
      </c>
      <c r="O687" s="10" t="s">
        <v>45</v>
      </c>
      <c r="P687" s="10" t="s">
        <v>63</v>
      </c>
      <c r="Q687" s="10" t="s">
        <v>47</v>
      </c>
      <c r="R687" s="10" t="s">
        <v>256</v>
      </c>
      <c r="S687" s="10">
        <v>20000</v>
      </c>
      <c r="W687" s="10" t="s">
        <v>3354</v>
      </c>
      <c r="Y687" s="10" t="s">
        <v>3330</v>
      </c>
      <c r="Z687" s="10" t="s">
        <v>76</v>
      </c>
      <c r="AA687" s="10" t="s">
        <v>225</v>
      </c>
      <c r="AB687" s="10" t="s">
        <v>66</v>
      </c>
      <c r="AC687" s="10" t="s">
        <v>68</v>
      </c>
      <c r="AD687" s="10" t="str">
        <f>IFERROR(VLOOKUP(B687,'Regiões Administrativas'!$A$1:$B$646,2,0),"")</f>
        <v>Barretos</v>
      </c>
      <c r="AE687" s="10">
        <f>IFERROR(VLOOKUP(Form_Responses[[#This Row],[Município]],'Regiões Administrativas'!$A$1:$I$646,3,0),"")</f>
        <v>15945</v>
      </c>
      <c r="AF687" s="10">
        <f>IFERROR(VLOOKUP(Form_Responses[[#This Row],[Município]],'Regiões Administrativas'!$A$1:$I$646,4,0),"")</f>
        <v>351740605000001</v>
      </c>
      <c r="AG687" s="10">
        <f>IFERROR(VLOOKUP(Form_Responses[[#This Row],[Município]],'Regiões Administrativas'!$A$1:$I$646,4,0),"")</f>
        <v>351740605000001</v>
      </c>
      <c r="AH687" s="10">
        <f>IFERROR(VLOOKUP(B687,'Regiões Administrativas'!$A$1:$I$646,5,0),"")</f>
        <v>3517406</v>
      </c>
      <c r="AI687" s="10">
        <f>IFERROR(VLOOKUP(B687,'Regiões Administrativas'!$A$1:$I$646,6,0),"")</f>
        <v>-48.314470499999999</v>
      </c>
      <c r="AJ687" s="10">
        <f>IFERROR(VLOOKUP(B687,'Regiões Administrativas'!$A$1:$I$646,8,0),"")</f>
        <v>517.52504299999998</v>
      </c>
      <c r="AK687" s="10" t="str">
        <f>IFERROR(VLOOKUP(Form_Responses[[#This Row],[Município]],'Regiões Administrativas'!$A$1:$I$646,9,0),"")</f>
        <v>1J6R9vRh6ePf</v>
      </c>
    </row>
    <row r="688" spans="1:37" ht="25.5" customHeight="1">
      <c r="A688" s="18">
        <v>46118.629754710651</v>
      </c>
      <c r="B688" s="10" t="s">
        <v>781</v>
      </c>
      <c r="C688" s="10" t="s">
        <v>38</v>
      </c>
      <c r="D688" s="10" t="s">
        <v>3356</v>
      </c>
      <c r="E688" s="10" t="s">
        <v>3357</v>
      </c>
      <c r="F688" s="10" t="s">
        <v>3325</v>
      </c>
      <c r="G688" s="10" t="s">
        <v>3358</v>
      </c>
      <c r="H688" s="72" t="s">
        <v>3340</v>
      </c>
      <c r="I688" s="10" t="s">
        <v>72</v>
      </c>
      <c r="J688" s="16">
        <v>46207</v>
      </c>
      <c r="K688" s="16">
        <v>46207</v>
      </c>
      <c r="N688" s="10" t="s">
        <v>61</v>
      </c>
      <c r="O688" s="10" t="s">
        <v>62</v>
      </c>
      <c r="P688" s="10" t="s">
        <v>63</v>
      </c>
      <c r="Q688" s="10" t="s">
        <v>47</v>
      </c>
      <c r="R688" s="10" t="s">
        <v>48</v>
      </c>
      <c r="S688" s="10">
        <v>3000</v>
      </c>
      <c r="T688" s="10">
        <v>3000</v>
      </c>
      <c r="W688" s="10" t="s">
        <v>3359</v>
      </c>
      <c r="Y688" s="10" t="s">
        <v>3360</v>
      </c>
      <c r="Z688" s="10" t="s">
        <v>76</v>
      </c>
      <c r="AA688" s="10" t="s">
        <v>113</v>
      </c>
      <c r="AB688" s="10" t="s">
        <v>344</v>
      </c>
      <c r="AC688" s="10" t="s">
        <v>68</v>
      </c>
      <c r="AD688" s="10" t="str">
        <f>IFERROR(VLOOKUP(B688,'Regiões Administrativas'!$A$1:$B$646,2,0),"")</f>
        <v>Barretos</v>
      </c>
      <c r="AE688" s="10">
        <f>IFERROR(VLOOKUP(Form_Responses[[#This Row],[Município]],'Regiões Administrativas'!$A$1:$I$646,3,0),"")</f>
        <v>15945</v>
      </c>
      <c r="AF688" s="10">
        <f>IFERROR(VLOOKUP(Form_Responses[[#This Row],[Município]],'Regiões Administrativas'!$A$1:$I$646,4,0),"")</f>
        <v>351740605000001</v>
      </c>
      <c r="AG688" s="10">
        <f>IFERROR(VLOOKUP(Form_Responses[[#This Row],[Município]],'Regiões Administrativas'!$A$1:$I$646,4,0),"")</f>
        <v>351740605000001</v>
      </c>
      <c r="AH688" s="10">
        <f>IFERROR(VLOOKUP(B688,'Regiões Administrativas'!$A$1:$I$646,5,0),"")</f>
        <v>3517406</v>
      </c>
      <c r="AI688" s="10">
        <f>IFERROR(VLOOKUP(B688,'Regiões Administrativas'!$A$1:$I$646,6,0),"")</f>
        <v>-48.314470499999999</v>
      </c>
      <c r="AJ688" s="10">
        <f>IFERROR(VLOOKUP(B688,'Regiões Administrativas'!$A$1:$I$646,8,0),"")</f>
        <v>517.52504299999998</v>
      </c>
      <c r="AK688" s="10" t="str">
        <f>IFERROR(VLOOKUP(Form_Responses[[#This Row],[Município]],'Regiões Administrativas'!$A$1:$I$646,9,0),"")</f>
        <v>1J6R9vRh6ePf</v>
      </c>
    </row>
    <row r="689" spans="1:37" ht="22.5" customHeight="1">
      <c r="A689" s="18">
        <v>46118.638548900461</v>
      </c>
      <c r="B689" s="10" t="s">
        <v>781</v>
      </c>
      <c r="C689" s="10" t="s">
        <v>38</v>
      </c>
      <c r="D689" s="10" t="s">
        <v>3361</v>
      </c>
      <c r="E689" s="10" t="s">
        <v>3362</v>
      </c>
      <c r="F689" s="10" t="s">
        <v>3325</v>
      </c>
      <c r="G689" s="10" t="s">
        <v>3363</v>
      </c>
      <c r="H689" s="72" t="s">
        <v>3340</v>
      </c>
      <c r="I689" s="10" t="s">
        <v>267</v>
      </c>
      <c r="J689" s="16">
        <v>46407</v>
      </c>
      <c r="K689" s="16">
        <v>46407</v>
      </c>
      <c r="N689" s="10" t="s">
        <v>98</v>
      </c>
      <c r="O689" s="10" t="s">
        <v>221</v>
      </c>
      <c r="P689" s="10" t="s">
        <v>221</v>
      </c>
      <c r="Q689" s="10" t="s">
        <v>47</v>
      </c>
      <c r="R689" s="10" t="s">
        <v>74</v>
      </c>
      <c r="S689" s="10">
        <v>2000</v>
      </c>
      <c r="T689" s="10">
        <v>2000</v>
      </c>
      <c r="W689" s="10" t="s">
        <v>3364</v>
      </c>
      <c r="Y689" s="10" t="s">
        <v>3360</v>
      </c>
      <c r="Z689" s="10" t="s">
        <v>76</v>
      </c>
      <c r="AA689" s="10" t="s">
        <v>113</v>
      </c>
      <c r="AB689" s="10" t="s">
        <v>344</v>
      </c>
      <c r="AC689" s="10" t="s">
        <v>68</v>
      </c>
      <c r="AD689" s="10" t="str">
        <f>IFERROR(VLOOKUP(B689,'Regiões Administrativas'!$A$1:$B$646,2,0),"")</f>
        <v>Barretos</v>
      </c>
      <c r="AE689" s="10">
        <f>IFERROR(VLOOKUP(Form_Responses[[#This Row],[Município]],'Regiões Administrativas'!$A$1:$I$646,3,0),"")</f>
        <v>15945</v>
      </c>
      <c r="AF689" s="10">
        <f>IFERROR(VLOOKUP(Form_Responses[[#This Row],[Município]],'Regiões Administrativas'!$A$1:$I$646,4,0),"")</f>
        <v>351740605000001</v>
      </c>
      <c r="AG689" s="10">
        <f>IFERROR(VLOOKUP(Form_Responses[[#This Row],[Município]],'Regiões Administrativas'!$A$1:$I$646,4,0),"")</f>
        <v>351740605000001</v>
      </c>
      <c r="AH689" s="10">
        <f>IFERROR(VLOOKUP(B689,'Regiões Administrativas'!$A$1:$I$646,5,0),"")</f>
        <v>3517406</v>
      </c>
      <c r="AI689" s="10">
        <f>IFERROR(VLOOKUP(B689,'Regiões Administrativas'!$A$1:$I$646,6,0),"")</f>
        <v>-48.314470499999999</v>
      </c>
      <c r="AJ689" s="10">
        <f>IFERROR(VLOOKUP(B689,'Regiões Administrativas'!$A$1:$I$646,8,0),"")</f>
        <v>517.52504299999998</v>
      </c>
      <c r="AK689" s="10" t="str">
        <f>IFERROR(VLOOKUP(Form_Responses[[#This Row],[Município]],'Regiões Administrativas'!$A$1:$I$646,9,0),"")</f>
        <v>1J6R9vRh6ePf</v>
      </c>
    </row>
    <row r="690" spans="1:37" ht="22.5" customHeight="1">
      <c r="A690" s="18">
        <v>46118.649856701391</v>
      </c>
      <c r="B690" s="10" t="s">
        <v>781</v>
      </c>
      <c r="C690" s="10" t="s">
        <v>38</v>
      </c>
      <c r="D690" s="10" t="s">
        <v>3365</v>
      </c>
      <c r="E690" s="10" t="s">
        <v>3366</v>
      </c>
      <c r="G690" s="10" t="s">
        <v>3367</v>
      </c>
      <c r="H690" s="72" t="s">
        <v>3340</v>
      </c>
      <c r="I690" s="10" t="s">
        <v>267</v>
      </c>
      <c r="J690" s="16">
        <v>46416</v>
      </c>
      <c r="K690" s="16">
        <v>46418</v>
      </c>
      <c r="N690" s="10" t="s">
        <v>73</v>
      </c>
      <c r="O690" s="10" t="s">
        <v>62</v>
      </c>
      <c r="P690" s="10" t="s">
        <v>63</v>
      </c>
      <c r="Q690" s="10" t="s">
        <v>47</v>
      </c>
      <c r="R690" s="10" t="s">
        <v>256</v>
      </c>
      <c r="S690" s="10">
        <v>2000</v>
      </c>
      <c r="T690" s="10">
        <v>2000</v>
      </c>
      <c r="W690" s="10" t="s">
        <v>3336</v>
      </c>
      <c r="Y690" s="10" t="s">
        <v>3360</v>
      </c>
      <c r="Z690" s="10" t="s">
        <v>76</v>
      </c>
      <c r="AA690" s="10" t="s">
        <v>113</v>
      </c>
      <c r="AB690" s="10" t="s">
        <v>344</v>
      </c>
      <c r="AC690" s="10" t="s">
        <v>68</v>
      </c>
      <c r="AD690" s="10" t="str">
        <f>IFERROR(VLOOKUP(B690,'Regiões Administrativas'!$A$1:$B$646,2,0),"")</f>
        <v>Barretos</v>
      </c>
      <c r="AE690" s="10">
        <f>IFERROR(VLOOKUP(Form_Responses[[#This Row],[Município]],'Regiões Administrativas'!$A$1:$I$646,3,0),"")</f>
        <v>15945</v>
      </c>
      <c r="AF690" s="10">
        <f>IFERROR(VLOOKUP(Form_Responses[[#This Row],[Município]],'Regiões Administrativas'!$A$1:$I$646,4,0),"")</f>
        <v>351740605000001</v>
      </c>
      <c r="AG690" s="10">
        <f>IFERROR(VLOOKUP(Form_Responses[[#This Row],[Município]],'Regiões Administrativas'!$A$1:$I$646,4,0),"")</f>
        <v>351740605000001</v>
      </c>
      <c r="AH690" s="10">
        <f>IFERROR(VLOOKUP(B690,'Regiões Administrativas'!$A$1:$I$646,5,0),"")</f>
        <v>3517406</v>
      </c>
      <c r="AI690" s="10">
        <f>IFERROR(VLOOKUP(B690,'Regiões Administrativas'!$A$1:$I$646,6,0),"")</f>
        <v>-48.314470499999999</v>
      </c>
      <c r="AJ690" s="10">
        <f>IFERROR(VLOOKUP(B690,'Regiões Administrativas'!$A$1:$I$646,8,0),"")</f>
        <v>517.52504299999998</v>
      </c>
      <c r="AK690" s="10" t="str">
        <f>IFERROR(VLOOKUP(Form_Responses[[#This Row],[Município]],'Regiões Administrativas'!$A$1:$I$646,9,0),"")</f>
        <v>1J6R9vRh6ePf</v>
      </c>
    </row>
    <row r="691" spans="1:37" ht="22.5" customHeight="1">
      <c r="A691" s="18">
        <v>46118.699684328705</v>
      </c>
      <c r="B691" s="10" t="s">
        <v>3368</v>
      </c>
      <c r="C691" s="10" t="s">
        <v>209</v>
      </c>
      <c r="D691" s="10" t="s">
        <v>3369</v>
      </c>
      <c r="E691" s="10" t="s">
        <v>3370</v>
      </c>
      <c r="G691" s="10" t="s">
        <v>3371</v>
      </c>
      <c r="H691" s="72" t="s">
        <v>3372</v>
      </c>
      <c r="I691" s="10" t="s">
        <v>60</v>
      </c>
      <c r="J691" s="16">
        <v>46179</v>
      </c>
      <c r="K691" s="16">
        <v>46179</v>
      </c>
      <c r="L691" s="17">
        <v>0.79166666666424135</v>
      </c>
      <c r="M691" s="17">
        <v>4.1666666664241347E-2</v>
      </c>
      <c r="N691" s="10" t="s">
        <v>44</v>
      </c>
      <c r="O691" s="10" t="s">
        <v>45</v>
      </c>
      <c r="P691" s="10" t="s">
        <v>135</v>
      </c>
      <c r="Q691" s="10" t="s">
        <v>47</v>
      </c>
      <c r="R691" s="10" t="s">
        <v>74</v>
      </c>
      <c r="S691" s="19">
        <v>3000</v>
      </c>
      <c r="T691" s="19">
        <v>2500</v>
      </c>
      <c r="U691" s="19">
        <v>2500</v>
      </c>
      <c r="V691" s="19">
        <v>2000</v>
      </c>
      <c r="W691" s="10" t="s">
        <v>3373</v>
      </c>
      <c r="Y691" s="10" t="s">
        <v>3374</v>
      </c>
      <c r="Z691" s="10" t="s">
        <v>76</v>
      </c>
      <c r="AA691" s="10" t="s">
        <v>113</v>
      </c>
      <c r="AB691" s="10" t="s">
        <v>66</v>
      </c>
      <c r="AC691" s="10" t="s">
        <v>68</v>
      </c>
      <c r="AD691" s="10" t="str">
        <f>IFERROR(VLOOKUP(B691,'Regiões Administrativas'!$A$1:$B$646,2,0),"")</f>
        <v>Presidente Prudente</v>
      </c>
      <c r="AE691" s="10">
        <f>IFERROR(VLOOKUP(Form_Responses[[#This Row],[Município]],'Regiões Administrativas'!$A$1:$I$646,3,0),"")</f>
        <v>16705</v>
      </c>
      <c r="AF691" s="10">
        <f>IFERROR(VLOOKUP(Form_Responses[[#This Row],[Município]],'Regiões Administrativas'!$A$1:$I$646,4,0),"")</f>
        <v>353540805000001</v>
      </c>
      <c r="AG691" s="10">
        <f>IFERROR(VLOOKUP(Form_Responses[[#This Row],[Município]],'Regiões Administrativas'!$A$1:$I$646,4,0),"")</f>
        <v>353540805000001</v>
      </c>
      <c r="AH691" s="10">
        <f>IFERROR(VLOOKUP(B691,'Regiões Administrativas'!$A$1:$I$646,5,0),"")</f>
        <v>3535408</v>
      </c>
      <c r="AI691" s="10">
        <f>IFERROR(VLOOKUP(B691,'Regiões Administrativas'!$A$1:$I$646,6,0),"")</f>
        <v>-51.856574199999997</v>
      </c>
      <c r="AJ691" s="10">
        <f>IFERROR(VLOOKUP(B691,'Regiões Administrativas'!$A$1:$I$646,8,0),"")</f>
        <v>300.140829</v>
      </c>
      <c r="AK691" s="10" t="str">
        <f>IFERROR(VLOOKUP(Form_Responses[[#This Row],[Município]],'Regiões Administrativas'!$A$1:$I$646,9,0),"")</f>
        <v>1J6R_R=E_8B-</v>
      </c>
    </row>
    <row r="692" spans="1:37" ht="22.5" customHeight="1">
      <c r="A692" s="18">
        <v>46118.705926979164</v>
      </c>
      <c r="B692" s="10" t="s">
        <v>3368</v>
      </c>
      <c r="C692" s="10" t="s">
        <v>209</v>
      </c>
      <c r="D692" s="10" t="s">
        <v>3375</v>
      </c>
      <c r="E692" s="10" t="s">
        <v>3376</v>
      </c>
      <c r="G692" s="10" t="s">
        <v>3377</v>
      </c>
      <c r="H692" s="72" t="s">
        <v>3372</v>
      </c>
      <c r="I692" s="10" t="s">
        <v>81</v>
      </c>
      <c r="J692" s="16">
        <v>46271</v>
      </c>
      <c r="K692" s="16">
        <v>46271</v>
      </c>
      <c r="L692" s="17">
        <v>0.54166666666424135</v>
      </c>
      <c r="M692" s="17">
        <v>0.75</v>
      </c>
      <c r="N692" s="10" t="s">
        <v>61</v>
      </c>
      <c r="O692" s="10" t="s">
        <v>62</v>
      </c>
      <c r="P692" s="10" t="s">
        <v>99</v>
      </c>
      <c r="Q692" s="10" t="s">
        <v>47</v>
      </c>
      <c r="R692" s="10" t="s">
        <v>48</v>
      </c>
      <c r="S692" s="19">
        <v>5000</v>
      </c>
      <c r="T692" s="19">
        <v>4500</v>
      </c>
      <c r="U692" s="19">
        <v>4500</v>
      </c>
      <c r="V692" s="19">
        <v>4500</v>
      </c>
      <c r="W692" s="10" t="s">
        <v>3378</v>
      </c>
      <c r="Y692" s="10" t="s">
        <v>3379</v>
      </c>
      <c r="Z692" s="10" t="s">
        <v>296</v>
      </c>
      <c r="AA692" s="10" t="s">
        <v>3095</v>
      </c>
      <c r="AB692" s="10" t="s">
        <v>66</v>
      </c>
      <c r="AC692" s="10" t="s">
        <v>68</v>
      </c>
      <c r="AD692" s="10" t="str">
        <f>IFERROR(VLOOKUP(B692,'Regiões Administrativas'!$A$1:$B$646,2,0),"")</f>
        <v>Presidente Prudente</v>
      </c>
      <c r="AE692" s="10">
        <f>IFERROR(VLOOKUP(Form_Responses[[#This Row],[Município]],'Regiões Administrativas'!$A$1:$I$646,3,0),"")</f>
        <v>16705</v>
      </c>
      <c r="AF692" s="10">
        <f>IFERROR(VLOOKUP(Form_Responses[[#This Row],[Município]],'Regiões Administrativas'!$A$1:$I$646,4,0),"")</f>
        <v>353540805000001</v>
      </c>
      <c r="AG692" s="10">
        <f>IFERROR(VLOOKUP(Form_Responses[[#This Row],[Município]],'Regiões Administrativas'!$A$1:$I$646,4,0),"")</f>
        <v>353540805000001</v>
      </c>
      <c r="AH692" s="10">
        <f>IFERROR(VLOOKUP(B692,'Regiões Administrativas'!$A$1:$I$646,5,0),"")</f>
        <v>3535408</v>
      </c>
      <c r="AI692" s="10">
        <f>IFERROR(VLOOKUP(B692,'Regiões Administrativas'!$A$1:$I$646,6,0),"")</f>
        <v>-51.856574199999997</v>
      </c>
      <c r="AJ692" s="10">
        <f>IFERROR(VLOOKUP(B692,'Regiões Administrativas'!$A$1:$I$646,8,0),"")</f>
        <v>300.140829</v>
      </c>
      <c r="AK692" s="10" t="str">
        <f>IFERROR(VLOOKUP(Form_Responses[[#This Row],[Município]],'Regiões Administrativas'!$A$1:$I$646,9,0),"")</f>
        <v>1J6R_R=E_8B-</v>
      </c>
    </row>
    <row r="693" spans="1:37" ht="22.5" customHeight="1">
      <c r="A693" s="18">
        <v>46118.710631284717</v>
      </c>
      <c r="B693" s="10" t="s">
        <v>3368</v>
      </c>
      <c r="C693" s="10" t="s">
        <v>209</v>
      </c>
      <c r="D693" s="10" t="s">
        <v>3380</v>
      </c>
      <c r="E693" s="10" t="s">
        <v>3381</v>
      </c>
      <c r="G693" s="10" t="s">
        <v>3382</v>
      </c>
      <c r="H693" s="72" t="s">
        <v>3372</v>
      </c>
      <c r="I693" s="10" t="s">
        <v>81</v>
      </c>
      <c r="J693" s="16">
        <v>46272</v>
      </c>
      <c r="K693" s="16">
        <v>46272</v>
      </c>
      <c r="L693" s="17">
        <v>0.29166666666424135</v>
      </c>
      <c r="M693" s="17">
        <v>0.5</v>
      </c>
      <c r="N693" s="10" t="s">
        <v>61</v>
      </c>
      <c r="O693" s="10" t="s">
        <v>62</v>
      </c>
      <c r="P693" s="10" t="s">
        <v>99</v>
      </c>
      <c r="Q693" s="10" t="s">
        <v>47</v>
      </c>
      <c r="R693" s="10" t="s">
        <v>74</v>
      </c>
      <c r="S693" s="19">
        <v>1000</v>
      </c>
      <c r="T693" s="19">
        <v>1000</v>
      </c>
      <c r="U693" s="19">
        <v>1000</v>
      </c>
      <c r="V693" s="19">
        <v>1000</v>
      </c>
      <c r="W693" s="10" t="s">
        <v>3378</v>
      </c>
      <c r="Y693" s="10" t="s">
        <v>3374</v>
      </c>
      <c r="Z693" s="10" t="s">
        <v>66</v>
      </c>
      <c r="AA693" s="10" t="s">
        <v>66</v>
      </c>
      <c r="AB693" s="10" t="s">
        <v>66</v>
      </c>
      <c r="AC693" s="10" t="s">
        <v>68</v>
      </c>
      <c r="AD693" s="10" t="str">
        <f>IFERROR(VLOOKUP(B693,'Regiões Administrativas'!$A$1:$B$646,2,0),"")</f>
        <v>Presidente Prudente</v>
      </c>
      <c r="AE693" s="10">
        <f>IFERROR(VLOOKUP(Form_Responses[[#This Row],[Município]],'Regiões Administrativas'!$A$1:$I$646,3,0),"")</f>
        <v>16705</v>
      </c>
      <c r="AF693" s="10">
        <f>IFERROR(VLOOKUP(Form_Responses[[#This Row],[Município]],'Regiões Administrativas'!$A$1:$I$646,4,0),"")</f>
        <v>353540805000001</v>
      </c>
      <c r="AG693" s="10">
        <f>IFERROR(VLOOKUP(Form_Responses[[#This Row],[Município]],'Regiões Administrativas'!$A$1:$I$646,4,0),"")</f>
        <v>353540805000001</v>
      </c>
      <c r="AH693" s="10">
        <f>IFERROR(VLOOKUP(B693,'Regiões Administrativas'!$A$1:$I$646,5,0),"")</f>
        <v>3535408</v>
      </c>
      <c r="AI693" s="10">
        <f>IFERROR(VLOOKUP(B693,'Regiões Administrativas'!$A$1:$I$646,6,0),"")</f>
        <v>-51.856574199999997</v>
      </c>
      <c r="AJ693" s="10">
        <f>IFERROR(VLOOKUP(B693,'Regiões Administrativas'!$A$1:$I$646,8,0),"")</f>
        <v>300.140829</v>
      </c>
      <c r="AK693" s="10" t="str">
        <f>IFERROR(VLOOKUP(Form_Responses[[#This Row],[Município]],'Regiões Administrativas'!$A$1:$I$646,9,0),"")</f>
        <v>1J6R_R=E_8B-</v>
      </c>
    </row>
    <row r="694" spans="1:37" ht="22.5" customHeight="1">
      <c r="A694" s="18">
        <v>46118.743886469907</v>
      </c>
      <c r="B694" s="10" t="s">
        <v>3383</v>
      </c>
      <c r="C694" s="10" t="s">
        <v>1933</v>
      </c>
      <c r="D694" s="10" t="s">
        <v>3384</v>
      </c>
      <c r="E694" s="10" t="s">
        <v>3385</v>
      </c>
      <c r="G694" s="10" t="s">
        <v>3386</v>
      </c>
      <c r="I694" s="10" t="s">
        <v>128</v>
      </c>
      <c r="J694" s="16">
        <v>46122</v>
      </c>
      <c r="K694" s="16">
        <v>46124</v>
      </c>
      <c r="L694" s="17">
        <v>0.75</v>
      </c>
      <c r="M694" s="17">
        <v>0.58333333333575865</v>
      </c>
      <c r="N694" s="10" t="s">
        <v>44</v>
      </c>
      <c r="O694" s="10" t="s">
        <v>190</v>
      </c>
      <c r="P694" s="10" t="s">
        <v>99</v>
      </c>
      <c r="Q694" s="10" t="s">
        <v>47</v>
      </c>
      <c r="R694" s="10" t="s">
        <v>74</v>
      </c>
      <c r="S694" s="10">
        <v>20000</v>
      </c>
      <c r="T694" s="10">
        <v>15000</v>
      </c>
      <c r="U694" s="10">
        <v>15000</v>
      </c>
      <c r="V694" s="10">
        <v>12000</v>
      </c>
      <c r="W694" s="10" t="s">
        <v>3387</v>
      </c>
      <c r="Y694" s="10" t="s">
        <v>3388</v>
      </c>
      <c r="Z694" s="10" t="s">
        <v>361</v>
      </c>
      <c r="AA694" s="10" t="s">
        <v>113</v>
      </c>
      <c r="AB694" s="10" t="s">
        <v>66</v>
      </c>
      <c r="AC694" s="10" t="s">
        <v>68</v>
      </c>
      <c r="AD694" s="10" t="str">
        <f>IFERROR(VLOOKUP(B694,'Regiões Administrativas'!$A$1:$B$646,2,0),"")</f>
        <v>Araçatuba</v>
      </c>
      <c r="AE694" s="10">
        <f>IFERROR(VLOOKUP(Form_Responses[[#This Row],[Município]],'Regiões Administrativas'!$A$1:$I$646,3,0),"")</f>
        <v>15578</v>
      </c>
      <c r="AF694" s="10">
        <f>IFERROR(VLOOKUP(Form_Responses[[#This Row],[Município]],'Regiões Administrativas'!$A$1:$I$646,4,0),"")</f>
        <v>350640905000001</v>
      </c>
      <c r="AG694" s="10">
        <f>IFERROR(VLOOKUP(Form_Responses[[#This Row],[Município]],'Regiões Administrativas'!$A$1:$I$646,4,0),"")</f>
        <v>350640905000001</v>
      </c>
      <c r="AH694" s="10">
        <f>IFERROR(VLOOKUP(B694,'Regiões Administrativas'!$A$1:$I$646,5,0),"")</f>
        <v>3506409</v>
      </c>
      <c r="AI694" s="10">
        <f>IFERROR(VLOOKUP(B694,'Regiões Administrativas'!$A$1:$I$646,6,0),"")</f>
        <v>-50.4811105</v>
      </c>
      <c r="AJ694" s="10">
        <f>IFERROR(VLOOKUP(B694,'Regiões Administrativas'!$A$1:$I$646,8,0),"")</f>
        <v>439.42571500000003</v>
      </c>
      <c r="AK694" s="10" t="str">
        <f>IFERROR(VLOOKUP(Form_Responses[[#This Row],[Município]],'Regiões Administrativas'!$A$1:$I$646,9,0),"")</f>
        <v>1J6R=TZPJ?3-</v>
      </c>
    </row>
    <row r="695" spans="1:37" ht="22.5" customHeight="1">
      <c r="A695" s="18">
        <v>46119.52855560185</v>
      </c>
      <c r="B695" s="10" t="s">
        <v>3300</v>
      </c>
      <c r="C695" s="10" t="s">
        <v>608</v>
      </c>
      <c r="D695" s="10" t="s">
        <v>3389</v>
      </c>
      <c r="E695" s="10" t="s">
        <v>3390</v>
      </c>
      <c r="G695" s="10" t="s">
        <v>3391</v>
      </c>
      <c r="H695" s="10" t="s">
        <v>3392</v>
      </c>
      <c r="I695" s="10" t="s">
        <v>60</v>
      </c>
      <c r="J695" s="16">
        <v>46193</v>
      </c>
      <c r="K695" s="16">
        <v>46193</v>
      </c>
      <c r="L695" s="17">
        <v>0.83333333333575865</v>
      </c>
      <c r="N695" s="10" t="s">
        <v>44</v>
      </c>
      <c r="O695" s="10" t="s">
        <v>45</v>
      </c>
      <c r="P695" s="10" t="s">
        <v>221</v>
      </c>
      <c r="Q695" s="10" t="s">
        <v>47</v>
      </c>
      <c r="R695" s="10" t="s">
        <v>74</v>
      </c>
      <c r="S695" s="10">
        <v>600</v>
      </c>
      <c r="T695" s="10">
        <v>580</v>
      </c>
      <c r="U695" s="10">
        <v>550</v>
      </c>
      <c r="V695" s="10">
        <v>520</v>
      </c>
      <c r="W695" s="10" t="s">
        <v>3393</v>
      </c>
      <c r="X695" s="10" t="s">
        <v>3392</v>
      </c>
      <c r="Y695" s="10" t="s">
        <v>3394</v>
      </c>
      <c r="Z695" s="10" t="s">
        <v>76</v>
      </c>
      <c r="AA695" s="10" t="s">
        <v>93</v>
      </c>
      <c r="AB695" s="10" t="s">
        <v>66</v>
      </c>
      <c r="AC695" s="10" t="s">
        <v>68</v>
      </c>
      <c r="AD695" s="10" t="str">
        <f>IFERROR(VLOOKUP(B695,'Regiões Administrativas'!$A$1:$B$646,2,0),"")</f>
        <v>Ribeirão Preto</v>
      </c>
      <c r="AE695" s="10">
        <f>IFERROR(VLOOKUP(Form_Responses[[#This Row],[Município]],'Regiões Administrativas'!$A$1:$I$646,3,0),"")</f>
        <v>15355</v>
      </c>
      <c r="AF695" s="10">
        <f>IFERROR(VLOOKUP(Form_Responses[[#This Row],[Município]],'Regiões Administrativas'!$A$1:$I$646,4,0),"")</f>
        <v>350100405000001</v>
      </c>
      <c r="AG695" s="10">
        <f>IFERROR(VLOOKUP(Form_Responses[[#This Row],[Município]],'Regiões Administrativas'!$A$1:$I$646,4,0),"")</f>
        <v>350100405000001</v>
      </c>
      <c r="AH695" s="10">
        <f>IFERROR(VLOOKUP(B695,'Regiões Administrativas'!$A$1:$I$646,5,0),"")</f>
        <v>3501004</v>
      </c>
      <c r="AI695" s="10">
        <f>IFERROR(VLOOKUP(B695,'Regiões Administrativas'!$A$1:$I$646,6,0),"")</f>
        <v>-47.373280299999998</v>
      </c>
      <c r="AJ695" s="10">
        <f>IFERROR(VLOOKUP(B695,'Regiões Administrativas'!$A$1:$I$646,8,0),"")</f>
        <v>904.24177599999996</v>
      </c>
      <c r="AK695" s="10" t="str">
        <f>IFERROR(VLOOKUP(Form_Responses[[#This Row],[Município]],'Regiões Administrativas'!$A$1:$I$646,9,0),"")</f>
        <v>1J6t]MMKE3;f</v>
      </c>
    </row>
    <row r="696" spans="1:37" ht="22.5" customHeight="1">
      <c r="A696" s="18">
        <v>46119.536752685184</v>
      </c>
      <c r="B696" s="10" t="s">
        <v>3300</v>
      </c>
      <c r="C696" s="10" t="s">
        <v>608</v>
      </c>
      <c r="D696" s="10" t="s">
        <v>3395</v>
      </c>
      <c r="E696" s="10" t="s">
        <v>3396</v>
      </c>
      <c r="F696" s="10" t="s">
        <v>2860</v>
      </c>
      <c r="G696" s="10" t="s">
        <v>3397</v>
      </c>
      <c r="I696" s="10" t="s">
        <v>81</v>
      </c>
      <c r="J696" s="16">
        <v>46291</v>
      </c>
      <c r="K696" s="16">
        <v>46291</v>
      </c>
      <c r="L696" s="17">
        <v>0.66666666666424135</v>
      </c>
      <c r="M696" s="17">
        <v>0.91666666666424135</v>
      </c>
      <c r="N696" s="10" t="s">
        <v>268</v>
      </c>
      <c r="O696" s="10" t="s">
        <v>234</v>
      </c>
      <c r="P696" s="10" t="s">
        <v>235</v>
      </c>
      <c r="Q696" s="10" t="s">
        <v>47</v>
      </c>
      <c r="R696" s="10" t="s">
        <v>74</v>
      </c>
      <c r="S696" s="10">
        <v>1500</v>
      </c>
      <c r="T696" s="10">
        <v>1200</v>
      </c>
      <c r="U696" s="10">
        <v>1000</v>
      </c>
      <c r="W696" s="10" t="s">
        <v>3398</v>
      </c>
      <c r="Y696" s="10" t="s">
        <v>3319</v>
      </c>
      <c r="Z696" s="10" t="s">
        <v>76</v>
      </c>
      <c r="AA696" s="10" t="s">
        <v>2986</v>
      </c>
      <c r="AB696" s="10" t="s">
        <v>66</v>
      </c>
      <c r="AC696" s="10" t="s">
        <v>68</v>
      </c>
      <c r="AD696" s="10" t="str">
        <f>IFERROR(VLOOKUP(B696,'Regiões Administrativas'!$A$1:$B$646,2,0),"")</f>
        <v>Ribeirão Preto</v>
      </c>
      <c r="AE696" s="10">
        <f>IFERROR(VLOOKUP(Form_Responses[[#This Row],[Município]],'Regiões Administrativas'!$A$1:$I$646,3,0),"")</f>
        <v>15355</v>
      </c>
      <c r="AF696" s="10">
        <f>IFERROR(VLOOKUP(Form_Responses[[#This Row],[Município]],'Regiões Administrativas'!$A$1:$I$646,4,0),"")</f>
        <v>350100405000001</v>
      </c>
      <c r="AG696" s="10">
        <f>IFERROR(VLOOKUP(Form_Responses[[#This Row],[Município]],'Regiões Administrativas'!$A$1:$I$646,4,0),"")</f>
        <v>350100405000001</v>
      </c>
      <c r="AH696" s="10">
        <f>IFERROR(VLOOKUP(B696,'Regiões Administrativas'!$A$1:$I$646,5,0),"")</f>
        <v>3501004</v>
      </c>
      <c r="AI696" s="10">
        <f>IFERROR(VLOOKUP(B696,'Regiões Administrativas'!$A$1:$I$646,6,0),"")</f>
        <v>-47.373280299999998</v>
      </c>
      <c r="AJ696" s="10">
        <f>IFERROR(VLOOKUP(B696,'Regiões Administrativas'!$A$1:$I$646,8,0),"")</f>
        <v>904.24177599999996</v>
      </c>
      <c r="AK696" s="10" t="str">
        <f>IFERROR(VLOOKUP(Form_Responses[[#This Row],[Município]],'Regiões Administrativas'!$A$1:$I$646,9,0),"")</f>
        <v>1J6t]MMKE3;f</v>
      </c>
    </row>
    <row r="697" spans="1:37" ht="22.5" customHeight="1">
      <c r="A697" s="18">
        <v>46119.546176226853</v>
      </c>
      <c r="B697" s="10" t="s">
        <v>3300</v>
      </c>
      <c r="C697" s="10" t="s">
        <v>608</v>
      </c>
      <c r="D697" s="10" t="s">
        <v>3077</v>
      </c>
      <c r="E697" s="10" t="s">
        <v>3399</v>
      </c>
      <c r="G697" s="10" t="s">
        <v>3400</v>
      </c>
      <c r="I697" s="10" t="s">
        <v>81</v>
      </c>
      <c r="J697" s="16">
        <v>46271</v>
      </c>
      <c r="K697" s="16">
        <v>46271</v>
      </c>
      <c r="L697" s="17">
        <v>0.33333333333575865</v>
      </c>
      <c r="M697" s="17">
        <v>0.70833333333575865</v>
      </c>
      <c r="N697" s="10" t="s">
        <v>268</v>
      </c>
      <c r="O697" s="10" t="s">
        <v>62</v>
      </c>
      <c r="P697" s="10" t="s">
        <v>99</v>
      </c>
      <c r="Q697" s="10" t="s">
        <v>47</v>
      </c>
      <c r="R697" s="10" t="s">
        <v>74</v>
      </c>
      <c r="S697" s="10">
        <v>450</v>
      </c>
      <c r="T697" s="10">
        <v>380</v>
      </c>
      <c r="U697" s="10">
        <v>360</v>
      </c>
      <c r="V697" s="10">
        <v>350</v>
      </c>
      <c r="W697" s="10" t="s">
        <v>3401</v>
      </c>
      <c r="X697" s="10" t="s">
        <v>126</v>
      </c>
      <c r="Y697" s="10" t="s">
        <v>3319</v>
      </c>
      <c r="Z697" s="10" t="s">
        <v>76</v>
      </c>
      <c r="AA697" s="10" t="s">
        <v>244</v>
      </c>
      <c r="AB697" s="10" t="s">
        <v>66</v>
      </c>
      <c r="AC697" s="10" t="s">
        <v>68</v>
      </c>
      <c r="AD697" s="10" t="str">
        <f>IFERROR(VLOOKUP(B697,'Regiões Administrativas'!$A$1:$B$646,2,0),"")</f>
        <v>Ribeirão Preto</v>
      </c>
      <c r="AE697" s="10">
        <f>IFERROR(VLOOKUP(Form_Responses[[#This Row],[Município]],'Regiões Administrativas'!$A$1:$I$646,3,0),"")</f>
        <v>15355</v>
      </c>
      <c r="AF697" s="10">
        <f>IFERROR(VLOOKUP(Form_Responses[[#This Row],[Município]],'Regiões Administrativas'!$A$1:$I$646,4,0),"")</f>
        <v>350100405000001</v>
      </c>
      <c r="AG697" s="10">
        <f>IFERROR(VLOOKUP(Form_Responses[[#This Row],[Município]],'Regiões Administrativas'!$A$1:$I$646,4,0),"")</f>
        <v>350100405000001</v>
      </c>
      <c r="AH697" s="10">
        <f>IFERROR(VLOOKUP(B697,'Regiões Administrativas'!$A$1:$I$646,5,0),"")</f>
        <v>3501004</v>
      </c>
      <c r="AI697" s="10">
        <f>IFERROR(VLOOKUP(B697,'Regiões Administrativas'!$A$1:$I$646,6,0),"")</f>
        <v>-47.373280299999998</v>
      </c>
      <c r="AJ697" s="10">
        <f>IFERROR(VLOOKUP(B697,'Regiões Administrativas'!$A$1:$I$646,8,0),"")</f>
        <v>904.24177599999996</v>
      </c>
      <c r="AK697" s="10" t="str">
        <f>IFERROR(VLOOKUP(Form_Responses[[#This Row],[Município]],'Regiões Administrativas'!$A$1:$I$646,9,0),"")</f>
        <v>1J6t]MMKE3;f</v>
      </c>
    </row>
    <row r="698" spans="1:37" ht="22.5" customHeight="1">
      <c r="A698" s="18">
        <v>46119.55112960648</v>
      </c>
      <c r="B698" s="10" t="s">
        <v>3300</v>
      </c>
      <c r="C698" s="10" t="s">
        <v>608</v>
      </c>
      <c r="D698" s="10" t="s">
        <v>3402</v>
      </c>
      <c r="E698" s="10" t="s">
        <v>3403</v>
      </c>
      <c r="F698" s="10" t="s">
        <v>2860</v>
      </c>
      <c r="G698" s="10" t="s">
        <v>1385</v>
      </c>
      <c r="I698" s="10" t="s">
        <v>81</v>
      </c>
      <c r="J698" s="16">
        <v>46269</v>
      </c>
      <c r="K698" s="16">
        <v>46284</v>
      </c>
      <c r="L698" s="17">
        <v>0.79166666666424135</v>
      </c>
      <c r="M698" s="17">
        <v>0.95833333333575865</v>
      </c>
      <c r="N698" s="10" t="s">
        <v>98</v>
      </c>
      <c r="O698" s="10" t="s">
        <v>190</v>
      </c>
      <c r="P698" s="10" t="s">
        <v>221</v>
      </c>
      <c r="Q698" s="10" t="s">
        <v>47</v>
      </c>
      <c r="R698" s="10" t="s">
        <v>1002</v>
      </c>
      <c r="S698" s="10">
        <v>2000</v>
      </c>
      <c r="T698" s="10">
        <v>1800</v>
      </c>
      <c r="U698" s="10">
        <v>1800</v>
      </c>
      <c r="V698" s="10">
        <v>1700</v>
      </c>
      <c r="W698" s="10" t="s">
        <v>3404</v>
      </c>
      <c r="Y698" s="10" t="s">
        <v>3405</v>
      </c>
      <c r="Z698" s="10" t="s">
        <v>76</v>
      </c>
      <c r="AA698" s="10" t="s">
        <v>708</v>
      </c>
      <c r="AB698" s="10" t="s">
        <v>66</v>
      </c>
      <c r="AC698" s="10" t="s">
        <v>68</v>
      </c>
      <c r="AD698" s="10" t="str">
        <f>IFERROR(VLOOKUP(B698,'Regiões Administrativas'!$A$1:$B$646,2,0),"")</f>
        <v>Ribeirão Preto</v>
      </c>
      <c r="AE698" s="10">
        <f>IFERROR(VLOOKUP(Form_Responses[[#This Row],[Município]],'Regiões Administrativas'!$A$1:$I$646,3,0),"")</f>
        <v>15355</v>
      </c>
      <c r="AF698" s="10">
        <f>IFERROR(VLOOKUP(Form_Responses[[#This Row],[Município]],'Regiões Administrativas'!$A$1:$I$646,4,0),"")</f>
        <v>350100405000001</v>
      </c>
      <c r="AG698" s="10">
        <f>IFERROR(VLOOKUP(Form_Responses[[#This Row],[Município]],'Regiões Administrativas'!$A$1:$I$646,4,0),"")</f>
        <v>350100405000001</v>
      </c>
      <c r="AH698" s="10">
        <f>IFERROR(VLOOKUP(B698,'Regiões Administrativas'!$A$1:$I$646,5,0),"")</f>
        <v>3501004</v>
      </c>
      <c r="AI698" s="10">
        <f>IFERROR(VLOOKUP(B698,'Regiões Administrativas'!$A$1:$I$646,6,0),"")</f>
        <v>-47.373280299999998</v>
      </c>
      <c r="AJ698" s="10">
        <f>IFERROR(VLOOKUP(B698,'Regiões Administrativas'!$A$1:$I$646,8,0),"")</f>
        <v>904.24177599999996</v>
      </c>
      <c r="AK698" s="10" t="str">
        <f>IFERROR(VLOOKUP(Form_Responses[[#This Row],[Município]],'Regiões Administrativas'!$A$1:$I$646,9,0),"")</f>
        <v>1J6t]MMKE3;f</v>
      </c>
    </row>
    <row r="699" spans="1:37" ht="22.5" customHeight="1">
      <c r="A699" s="18">
        <v>46119.672722881944</v>
      </c>
      <c r="B699" s="10" t="s">
        <v>3406</v>
      </c>
      <c r="C699" s="10" t="s">
        <v>185</v>
      </c>
      <c r="D699" s="10" t="s">
        <v>3407</v>
      </c>
      <c r="E699" s="10" t="s">
        <v>3408</v>
      </c>
      <c r="F699" s="10" t="s">
        <v>3409</v>
      </c>
      <c r="G699" s="10" t="s">
        <v>3410</v>
      </c>
      <c r="H699" s="10" t="s">
        <v>126</v>
      </c>
      <c r="I699" s="10" t="s">
        <v>220</v>
      </c>
      <c r="J699" s="16">
        <v>46171</v>
      </c>
      <c r="K699" s="16">
        <v>46173</v>
      </c>
      <c r="L699" s="17">
        <v>0.58333333333575865</v>
      </c>
      <c r="M699" s="17">
        <v>0.91666666666424135</v>
      </c>
      <c r="N699" s="10" t="s">
        <v>268</v>
      </c>
      <c r="O699" s="10" t="s">
        <v>142</v>
      </c>
      <c r="P699" s="10" t="s">
        <v>63</v>
      </c>
      <c r="Q699" s="10" t="s">
        <v>629</v>
      </c>
      <c r="R699" s="10" t="s">
        <v>48</v>
      </c>
      <c r="S699" s="19">
        <v>20000</v>
      </c>
      <c r="T699" s="19">
        <v>15000</v>
      </c>
      <c r="U699" s="19">
        <v>10000</v>
      </c>
      <c r="V699" s="19">
        <v>7000</v>
      </c>
      <c r="W699" s="10" t="s">
        <v>756</v>
      </c>
      <c r="Y699" s="10" t="s">
        <v>3411</v>
      </c>
      <c r="Z699" s="10" t="s">
        <v>76</v>
      </c>
      <c r="AA699" s="10" t="s">
        <v>536</v>
      </c>
      <c r="AB699" s="10" t="s">
        <v>66</v>
      </c>
      <c r="AC699" s="10" t="s">
        <v>68</v>
      </c>
      <c r="AD699" s="10" t="str">
        <f>IFERROR(VLOOKUP(B699,'Regiões Administrativas'!$A$1:$B$646,2,0),"")</f>
        <v>Registro</v>
      </c>
      <c r="AE699" s="10">
        <f>IFERROR(VLOOKUP(Form_Responses[[#This Row],[Município]],'Regiões Administrativas'!$A$1:$I$646,3,0),"")</f>
        <v>16945</v>
      </c>
      <c r="AF699" s="10">
        <f>IFERROR(VLOOKUP(Form_Responses[[#This Row],[Município]],'Regiões Administrativas'!$A$1:$I$646,4,0),"")</f>
        <v>354260205000001</v>
      </c>
      <c r="AG699" s="10">
        <f>IFERROR(VLOOKUP(Form_Responses[[#This Row],[Município]],'Regiões Administrativas'!$A$1:$I$646,4,0),"")</f>
        <v>354260205000001</v>
      </c>
      <c r="AH699" s="10">
        <f>IFERROR(VLOOKUP(B699,'Regiões Administrativas'!$A$1:$I$646,5,0),"")</f>
        <v>3542602</v>
      </c>
      <c r="AI699" s="10">
        <f>IFERROR(VLOOKUP(B699,'Regiões Administrativas'!$A$1:$I$646,6,0),"")</f>
        <v>-47.841054800000002</v>
      </c>
      <c r="AJ699" s="10">
        <f>IFERROR(VLOOKUP(B699,'Regiões Administrativas'!$A$1:$I$646,8,0),"")</f>
        <v>19.002613</v>
      </c>
      <c r="AK699" s="10" t="str">
        <f>IFERROR(VLOOKUP(Form_Responses[[#This Row],[Município]],'Regiões Administrativas'!$A$1:$I$646,9,0),"")</f>
        <v>1J6U)n9B{+.&gt;</v>
      </c>
    </row>
    <row r="700" spans="1:37" ht="22.5" customHeight="1">
      <c r="A700" s="18">
        <v>46121.410815370371</v>
      </c>
      <c r="B700" s="10" t="s">
        <v>84</v>
      </c>
      <c r="C700" s="10" t="s">
        <v>85</v>
      </c>
      <c r="D700" s="10" t="s">
        <v>3412</v>
      </c>
      <c r="E700" s="10" t="s">
        <v>3413</v>
      </c>
      <c r="G700" s="10" t="s">
        <v>3414</v>
      </c>
      <c r="H700" s="72" t="s">
        <v>3415</v>
      </c>
      <c r="I700" s="10" t="s">
        <v>72</v>
      </c>
      <c r="J700" s="16">
        <v>46211</v>
      </c>
      <c r="K700" s="16">
        <v>46215</v>
      </c>
      <c r="L700" s="17">
        <v>0.66666666666424135</v>
      </c>
      <c r="M700" s="17">
        <v>0.66666666666424135</v>
      </c>
      <c r="N700" s="10" t="s">
        <v>268</v>
      </c>
      <c r="O700" s="10" t="s">
        <v>45</v>
      </c>
      <c r="P700" s="10" t="s">
        <v>63</v>
      </c>
      <c r="Q700" s="10" t="s">
        <v>47</v>
      </c>
      <c r="R700" s="10" t="s">
        <v>74</v>
      </c>
      <c r="S700" s="10">
        <v>15000</v>
      </c>
      <c r="T700" s="10">
        <v>12000</v>
      </c>
      <c r="U700" s="10">
        <v>11000</v>
      </c>
      <c r="V700" s="10">
        <v>10000</v>
      </c>
      <c r="W700" s="10" t="s">
        <v>3416</v>
      </c>
      <c r="Y700" s="10" t="s">
        <v>948</v>
      </c>
      <c r="Z700" s="10" t="s">
        <v>76</v>
      </c>
      <c r="AA700" s="10" t="s">
        <v>113</v>
      </c>
      <c r="AB700" s="10" t="s">
        <v>344</v>
      </c>
      <c r="AC700" s="10" t="s">
        <v>68</v>
      </c>
      <c r="AD700" s="10" t="str">
        <f>IFERROR(VLOOKUP(B700,'Regiões Administrativas'!$A$1:$B$646,2,0),"")</f>
        <v>Campinas</v>
      </c>
      <c r="AE700" s="10">
        <f>IFERROR(VLOOKUP(Form_Responses[[#This Row],[Município]],'Regiões Administrativas'!$A$1:$I$646,3,0),"")</f>
        <v>17171</v>
      </c>
      <c r="AF700" s="10">
        <f>IFERROR(VLOOKUP(Form_Responses[[#This Row],[Município]],'Regiões Administrativas'!$A$1:$I$646,4,0),"")</f>
        <v>354970605000001</v>
      </c>
      <c r="AG700" s="10">
        <f>IFERROR(VLOOKUP(Form_Responses[[#This Row],[Município]],'Regiões Administrativas'!$A$1:$I$646,4,0),"")</f>
        <v>354970605000001</v>
      </c>
      <c r="AH700" s="10">
        <f>IFERROR(VLOOKUP(B700,'Regiões Administrativas'!$A$1:$I$646,5,0),"")</f>
        <v>3549706</v>
      </c>
      <c r="AI700" s="10">
        <f>IFERROR(VLOOKUP(B700,'Regiões Administrativas'!$A$1:$I$646,6,0),"")</f>
        <v>-46.8882659</v>
      </c>
      <c r="AJ700" s="10">
        <f>IFERROR(VLOOKUP(B700,'Regiões Administrativas'!$A$1:$I$646,8,0),"")</f>
        <v>718.57108200000005</v>
      </c>
      <c r="AK700" s="10" t="str">
        <f>IFERROR(VLOOKUP(Form_Responses[[#This Row],[Município]],'Regiões Administrativas'!$A$1:$I$646,9,0),"")</f>
        <v>1J6t_zRG&lt;GU-</v>
      </c>
    </row>
    <row r="701" spans="1:37" ht="22.5" customHeight="1">
      <c r="A701" s="18">
        <v>46121.419897708329</v>
      </c>
      <c r="B701" s="10" t="s">
        <v>84</v>
      </c>
      <c r="C701" s="10" t="s">
        <v>85</v>
      </c>
      <c r="D701" s="10" t="s">
        <v>3417</v>
      </c>
      <c r="E701" s="10" t="s">
        <v>3418</v>
      </c>
      <c r="G701" s="10" t="s">
        <v>3419</v>
      </c>
      <c r="H701" s="72" t="s">
        <v>3420</v>
      </c>
      <c r="I701" s="10" t="s">
        <v>43</v>
      </c>
      <c r="J701" s="16">
        <v>46243</v>
      </c>
      <c r="K701" s="16">
        <v>46249</v>
      </c>
      <c r="L701" s="17">
        <v>0.33333333333575865</v>
      </c>
      <c r="M701" s="17">
        <v>0.66666666666424135</v>
      </c>
      <c r="N701" s="10" t="s">
        <v>421</v>
      </c>
      <c r="O701" s="10" t="s">
        <v>45</v>
      </c>
      <c r="P701" s="10" t="s">
        <v>99</v>
      </c>
      <c r="Q701" s="10" t="s">
        <v>47</v>
      </c>
      <c r="R701" s="10" t="s">
        <v>48</v>
      </c>
      <c r="S701" s="10">
        <v>15000</v>
      </c>
      <c r="T701" s="10">
        <v>12000</v>
      </c>
      <c r="U701" s="10">
        <v>11000</v>
      </c>
      <c r="V701" s="10">
        <v>10000</v>
      </c>
      <c r="W701" s="10" t="s">
        <v>1800</v>
      </c>
      <c r="Y701" s="10" t="s">
        <v>948</v>
      </c>
      <c r="Z701" s="10" t="s">
        <v>76</v>
      </c>
      <c r="AA701" s="10" t="s">
        <v>113</v>
      </c>
      <c r="AB701" s="10" t="s">
        <v>344</v>
      </c>
      <c r="AC701" s="10" t="s">
        <v>68</v>
      </c>
      <c r="AD701" s="10" t="str">
        <f>IFERROR(VLOOKUP(B701,'Regiões Administrativas'!$A$1:$B$646,2,0),"")</f>
        <v>Campinas</v>
      </c>
      <c r="AE701" s="10">
        <f>IFERROR(VLOOKUP(Form_Responses[[#This Row],[Município]],'Regiões Administrativas'!$A$1:$I$646,3,0),"")</f>
        <v>17171</v>
      </c>
      <c r="AF701" s="10">
        <f>IFERROR(VLOOKUP(Form_Responses[[#This Row],[Município]],'Regiões Administrativas'!$A$1:$I$646,4,0),"")</f>
        <v>354970605000001</v>
      </c>
      <c r="AG701" s="10">
        <f>IFERROR(VLOOKUP(Form_Responses[[#This Row],[Município]],'Regiões Administrativas'!$A$1:$I$646,4,0),"")</f>
        <v>354970605000001</v>
      </c>
      <c r="AH701" s="10">
        <f>IFERROR(VLOOKUP(B701,'Regiões Administrativas'!$A$1:$I$646,5,0),"")</f>
        <v>3549706</v>
      </c>
      <c r="AI701" s="10">
        <f>IFERROR(VLOOKUP(B701,'Regiões Administrativas'!$A$1:$I$646,6,0),"")</f>
        <v>-46.8882659</v>
      </c>
      <c r="AJ701" s="10">
        <f>IFERROR(VLOOKUP(B701,'Regiões Administrativas'!$A$1:$I$646,8,0),"")</f>
        <v>718.57108200000005</v>
      </c>
      <c r="AK701" s="10" t="str">
        <f>IFERROR(VLOOKUP(Form_Responses[[#This Row],[Município]],'Regiões Administrativas'!$A$1:$I$646,9,0),"")</f>
        <v>1J6t_zRG&lt;GU-</v>
      </c>
    </row>
    <row r="702" spans="1:37" ht="22.5" customHeight="1">
      <c r="A702" s="18">
        <v>46121.611903055556</v>
      </c>
      <c r="B702" s="10" t="s">
        <v>1968</v>
      </c>
      <c r="C702" s="10" t="s">
        <v>85</v>
      </c>
      <c r="D702" s="10" t="s">
        <v>1969</v>
      </c>
      <c r="E702" s="10" t="s">
        <v>3421</v>
      </c>
      <c r="F702" s="10" t="s">
        <v>1998</v>
      </c>
      <c r="G702" s="10" t="s">
        <v>3422</v>
      </c>
      <c r="H702" s="72" t="s">
        <v>2158</v>
      </c>
      <c r="I702" s="10" t="s">
        <v>220</v>
      </c>
      <c r="J702" s="16">
        <v>46150</v>
      </c>
      <c r="K702" s="16">
        <v>46152</v>
      </c>
      <c r="L702" s="17">
        <v>0.79166666666424135</v>
      </c>
      <c r="M702" s="17">
        <v>0.95833333333575865</v>
      </c>
      <c r="N702" s="10" t="s">
        <v>73</v>
      </c>
      <c r="O702" s="10" t="s">
        <v>190</v>
      </c>
      <c r="P702" s="10" t="s">
        <v>235</v>
      </c>
      <c r="Q702" s="10" t="s">
        <v>47</v>
      </c>
      <c r="R702" s="10" t="s">
        <v>74</v>
      </c>
      <c r="S702" s="19">
        <v>12240</v>
      </c>
      <c r="T702" s="19">
        <v>10200</v>
      </c>
      <c r="U702" s="10">
        <v>0</v>
      </c>
      <c r="V702" s="10">
        <v>0</v>
      </c>
      <c r="W702" s="10" t="s">
        <v>1973</v>
      </c>
      <c r="X702" s="10" t="s">
        <v>2201</v>
      </c>
      <c r="Y702" s="10" t="s">
        <v>3423</v>
      </c>
      <c r="Z702" s="10" t="s">
        <v>76</v>
      </c>
      <c r="AA702" s="10" t="s">
        <v>113</v>
      </c>
      <c r="AB702" s="10" t="s">
        <v>66</v>
      </c>
      <c r="AC702" s="10" t="s">
        <v>68</v>
      </c>
      <c r="AD702" s="10" t="str">
        <f>IFERROR(VLOOKUP(B702,'Regiões Administrativas'!$A$1:$B$646,2,0),"")</f>
        <v>Campinas</v>
      </c>
      <c r="AE702" s="10">
        <f>IFERROR(VLOOKUP(Form_Responses[[#This Row],[Município]],'Regiões Administrativas'!$A$1:$I$646,3,0),"")</f>
        <v>15756</v>
      </c>
      <c r="AF702" s="10">
        <f>IFERROR(VLOOKUP(Form_Responses[[#This Row],[Município]],'Regiões Administrativas'!$A$1:$I$646,4,0),"")</f>
        <v>351080705000001</v>
      </c>
      <c r="AG702" s="10">
        <f>IFERROR(VLOOKUP(Form_Responses[[#This Row],[Município]],'Regiões Administrativas'!$A$1:$I$646,4,0),"")</f>
        <v>351080705000001</v>
      </c>
      <c r="AH702" s="10">
        <f>IFERROR(VLOOKUP(B702,'Regiões Administrativas'!$A$1:$I$646,5,0),"")</f>
        <v>3510807</v>
      </c>
      <c r="AI702" s="10">
        <f>IFERROR(VLOOKUP(B702,'Regiões Administrativas'!$A$1:$I$646,6,0),"")</f>
        <v>-47.079758200000001</v>
      </c>
      <c r="AJ702" s="10">
        <f>IFERROR(VLOOKUP(B702,'Regiões Administrativas'!$A$1:$I$646,8,0),"")</f>
        <v>718.09278400000005</v>
      </c>
      <c r="AK702" s="10" t="str">
        <f>IFERROR(VLOOKUP(Form_Responses[[#This Row],[Município]],'Regiões Administrativas'!$A$1:$I$646,9,0),"")</f>
        <v>1J6tG4mZ^Rw-</v>
      </c>
    </row>
    <row r="703" spans="1:37" ht="22.5" customHeight="1">
      <c r="A703" s="18">
        <v>46121.632375868052</v>
      </c>
      <c r="B703" s="10" t="s">
        <v>3424</v>
      </c>
      <c r="C703" s="10" t="s">
        <v>555</v>
      </c>
      <c r="D703" s="10" t="s">
        <v>3425</v>
      </c>
      <c r="E703" s="10" t="s">
        <v>3426</v>
      </c>
      <c r="G703" s="10" t="s">
        <v>3427</v>
      </c>
      <c r="H703" s="10" t="s">
        <v>3428</v>
      </c>
      <c r="I703" s="10" t="s">
        <v>220</v>
      </c>
      <c r="J703" s="16" t="s">
        <v>3429</v>
      </c>
      <c r="K703" s="16">
        <v>46166</v>
      </c>
      <c r="L703" s="17">
        <v>0.75</v>
      </c>
      <c r="M703" s="17">
        <v>0</v>
      </c>
      <c r="N703" s="10" t="s">
        <v>268</v>
      </c>
      <c r="O703" s="10" t="s">
        <v>234</v>
      </c>
      <c r="P703" s="10" t="s">
        <v>235</v>
      </c>
      <c r="Q703" s="10" t="s">
        <v>47</v>
      </c>
      <c r="R703" s="10" t="s">
        <v>48</v>
      </c>
      <c r="S703" s="10">
        <v>60000</v>
      </c>
      <c r="T703" s="10">
        <v>30000</v>
      </c>
      <c r="W703" s="10" t="s">
        <v>3430</v>
      </c>
      <c r="Y703" s="72" t="s">
        <v>3431</v>
      </c>
      <c r="Z703" s="10" t="s">
        <v>76</v>
      </c>
      <c r="AA703" s="10" t="s">
        <v>66</v>
      </c>
      <c r="AB703" s="10" t="s">
        <v>66</v>
      </c>
      <c r="AC703" s="10" t="s">
        <v>68</v>
      </c>
      <c r="AD703" s="10" t="str">
        <f>IFERROR(VLOOKUP(B703,'Regiões Administrativas'!$A$1:$B$646,2,0),"")</f>
        <v>São José do Rio Preto</v>
      </c>
      <c r="AE703" s="10">
        <f>IFERROR(VLOOKUP(Form_Responses[[#This Row],[Município]],'Regiões Administrativas'!$A$1:$I$646,3,0),"")</f>
        <v>15897</v>
      </c>
      <c r="AF703" s="10">
        <f>IFERROR(VLOOKUP(Form_Responses[[#This Row],[Município]],'Regiões Administrativas'!$A$1:$I$646,4,0),"")</f>
        <v>351550905000001</v>
      </c>
      <c r="AG703" s="10">
        <f>IFERROR(VLOOKUP(Form_Responses[[#This Row],[Município]],'Regiões Administrativas'!$A$1:$I$646,4,0),"")</f>
        <v>351550905000001</v>
      </c>
      <c r="AH703" s="10">
        <f>IFERROR(VLOOKUP(B703,'Regiões Administrativas'!$A$1:$I$646,5,0),"")</f>
        <v>3515509</v>
      </c>
      <c r="AI703" s="10">
        <f>IFERROR(VLOOKUP(B703,'Regiões Administrativas'!$A$1:$I$646,6,0),"")</f>
        <v>-50.248748399999997</v>
      </c>
      <c r="AJ703" s="10">
        <f>IFERROR(VLOOKUP(B703,'Regiões Administrativas'!$A$1:$I$646,8,0),"")</f>
        <v>538.77885400000002</v>
      </c>
      <c r="AK703" s="10" t="str">
        <f>IFERROR(VLOOKUP(Form_Responses[[#This Row],[Município]],'Regiões Administrativas'!$A$1:$I$646,9,0),"")</f>
        <v>1J6R3n7GP;E-</v>
      </c>
    </row>
    <row r="704" spans="1:37" ht="22.5" customHeight="1">
      <c r="A704" s="18">
        <v>46122.371936365744</v>
      </c>
      <c r="B704" s="10" t="s">
        <v>1235</v>
      </c>
      <c r="C704" s="10" t="s">
        <v>1236</v>
      </c>
      <c r="D704" s="10" t="s">
        <v>3432</v>
      </c>
      <c r="E704" s="10" t="s">
        <v>3433</v>
      </c>
      <c r="G704" s="10" t="s">
        <v>3434</v>
      </c>
      <c r="I704" s="10" t="s">
        <v>60</v>
      </c>
      <c r="J704" s="16">
        <v>46192</v>
      </c>
      <c r="K704" s="16">
        <v>46193</v>
      </c>
      <c r="N704" s="10" t="s">
        <v>73</v>
      </c>
      <c r="O704" s="10" t="s">
        <v>45</v>
      </c>
      <c r="P704" s="10" t="s">
        <v>63</v>
      </c>
      <c r="Q704" s="10" t="s">
        <v>47</v>
      </c>
      <c r="R704" s="10" t="s">
        <v>74</v>
      </c>
      <c r="S704" s="10">
        <v>1000</v>
      </c>
      <c r="W704" s="10" t="s">
        <v>2600</v>
      </c>
      <c r="Y704" s="10" t="s">
        <v>2601</v>
      </c>
      <c r="Z704" s="10" t="s">
        <v>66</v>
      </c>
      <c r="AA704" s="10" t="s">
        <v>66</v>
      </c>
      <c r="AB704" s="10" t="s">
        <v>66</v>
      </c>
      <c r="AC704" s="10" t="s">
        <v>68</v>
      </c>
      <c r="AD704" s="10" t="str">
        <f>IFERROR(VLOOKUP(B704,'Regiões Administrativas'!$A$1:$B$646,2,0),"")</f>
        <v>RMSP</v>
      </c>
      <c r="AE704" s="10">
        <f>IFERROR(VLOOKUP(Form_Responses[[#This Row],[Município]],'Regiões Administrativas'!$A$1:$I$646,3,0),"")</f>
        <v>15696</v>
      </c>
      <c r="AF704" s="10">
        <f>IFERROR(VLOOKUP(Form_Responses[[#This Row],[Município]],'Regiões Administrativas'!$A$1:$I$646,4,0),"")</f>
        <v>350920505000001</v>
      </c>
      <c r="AG704" s="10">
        <f>IFERROR(VLOOKUP(Form_Responses[[#This Row],[Município]],'Regiões Administrativas'!$A$1:$I$646,4,0),"")</f>
        <v>350920505000001</v>
      </c>
      <c r="AH704" s="10">
        <f>IFERROR(VLOOKUP(B704,'Regiões Administrativas'!$A$1:$I$646,5,0),"")</f>
        <v>3509205</v>
      </c>
      <c r="AI704" s="10">
        <f>IFERROR(VLOOKUP(B704,'Regiões Administrativas'!$A$1:$I$646,6,0),"")</f>
        <v>-46.8829201</v>
      </c>
      <c r="AJ704" s="10">
        <f>IFERROR(VLOOKUP(B704,'Regiões Administrativas'!$A$1:$I$646,8,0),"")</f>
        <v>867.050792</v>
      </c>
      <c r="AK704" s="10" t="str">
        <f>IFERROR(VLOOKUP(Form_Responses[[#This Row],[Município]],'Regiões Administrativas'!$A$1:$I$646,9,0),"")</f>
        <v>1J6tLz2ReX+f</v>
      </c>
    </row>
    <row r="705" spans="1:37" ht="22.5" customHeight="1">
      <c r="A705" s="18">
        <v>46122.398625555557</v>
      </c>
      <c r="B705" s="10" t="s">
        <v>1235</v>
      </c>
      <c r="C705" s="10" t="s">
        <v>1236</v>
      </c>
      <c r="D705" s="10" t="s">
        <v>3435</v>
      </c>
      <c r="E705" s="10" t="s">
        <v>3436</v>
      </c>
      <c r="G705" s="10" t="s">
        <v>3437</v>
      </c>
      <c r="I705" s="10" t="s">
        <v>72</v>
      </c>
      <c r="J705" s="16">
        <v>46215</v>
      </c>
      <c r="K705" s="16">
        <v>46215</v>
      </c>
      <c r="N705" s="10" t="s">
        <v>73</v>
      </c>
      <c r="O705" s="10" t="s">
        <v>45</v>
      </c>
      <c r="P705" s="10" t="s">
        <v>63</v>
      </c>
      <c r="Q705" s="10" t="s">
        <v>47</v>
      </c>
      <c r="R705" s="10" t="s">
        <v>256</v>
      </c>
      <c r="S705" s="19">
        <v>1000</v>
      </c>
      <c r="W705" s="10" t="s">
        <v>3438</v>
      </c>
      <c r="Y705" s="10" t="s">
        <v>3439</v>
      </c>
      <c r="Z705" s="10" t="s">
        <v>66</v>
      </c>
      <c r="AA705" s="10" t="s">
        <v>66</v>
      </c>
      <c r="AB705" s="10" t="s">
        <v>66</v>
      </c>
      <c r="AC705" s="10" t="s">
        <v>68</v>
      </c>
      <c r="AD705" s="10" t="str">
        <f>IFERROR(VLOOKUP(B705,'Regiões Administrativas'!$A$1:$B$646,2,0),"")</f>
        <v>RMSP</v>
      </c>
      <c r="AE705" s="10">
        <f>IFERROR(VLOOKUP(Form_Responses[[#This Row],[Município]],'Regiões Administrativas'!$A$1:$I$646,3,0),"")</f>
        <v>15696</v>
      </c>
      <c r="AF705" s="10">
        <f>IFERROR(VLOOKUP(Form_Responses[[#This Row],[Município]],'Regiões Administrativas'!$A$1:$I$646,4,0),"")</f>
        <v>350920505000001</v>
      </c>
      <c r="AG705" s="10">
        <f>IFERROR(VLOOKUP(Form_Responses[[#This Row],[Município]],'Regiões Administrativas'!$A$1:$I$646,4,0),"")</f>
        <v>350920505000001</v>
      </c>
      <c r="AH705" s="10">
        <f>IFERROR(VLOOKUP(B705,'Regiões Administrativas'!$A$1:$I$646,5,0),"")</f>
        <v>3509205</v>
      </c>
      <c r="AI705" s="10">
        <f>IFERROR(VLOOKUP(B705,'Regiões Administrativas'!$A$1:$I$646,6,0),"")</f>
        <v>-46.8829201</v>
      </c>
      <c r="AJ705" s="10">
        <f>IFERROR(VLOOKUP(B705,'Regiões Administrativas'!$A$1:$I$646,8,0),"")</f>
        <v>867.050792</v>
      </c>
      <c r="AK705" s="10" t="str">
        <f>IFERROR(VLOOKUP(Form_Responses[[#This Row],[Município]],'Regiões Administrativas'!$A$1:$I$646,9,0),"")</f>
        <v>1J6tLz2ReX+f</v>
      </c>
    </row>
    <row r="706" spans="1:37" ht="22.5" customHeight="1">
      <c r="A706" s="18">
        <v>46122.405602893516</v>
      </c>
      <c r="B706" s="10" t="s">
        <v>1235</v>
      </c>
      <c r="C706" s="10" t="s">
        <v>1236</v>
      </c>
      <c r="D706" s="10" t="s">
        <v>3440</v>
      </c>
      <c r="E706" s="10" t="s">
        <v>3441</v>
      </c>
      <c r="G706" s="10" t="s">
        <v>3442</v>
      </c>
      <c r="I706" s="10" t="s">
        <v>72</v>
      </c>
      <c r="J706" s="16">
        <v>46229</v>
      </c>
      <c r="K706" s="16">
        <v>46229</v>
      </c>
      <c r="N706" s="10" t="s">
        <v>61</v>
      </c>
      <c r="O706" s="10" t="s">
        <v>62</v>
      </c>
      <c r="P706" s="10" t="s">
        <v>63</v>
      </c>
      <c r="Q706" s="10" t="s">
        <v>47</v>
      </c>
      <c r="R706" s="10" t="s">
        <v>74</v>
      </c>
      <c r="S706" s="19">
        <v>1000</v>
      </c>
      <c r="W706" s="10" t="s">
        <v>3443</v>
      </c>
      <c r="Y706" s="10" t="s">
        <v>3439</v>
      </c>
      <c r="Z706" s="10" t="s">
        <v>66</v>
      </c>
      <c r="AA706" s="10" t="s">
        <v>66</v>
      </c>
      <c r="AB706" s="10" t="s">
        <v>66</v>
      </c>
      <c r="AC706" s="10" t="s">
        <v>68</v>
      </c>
      <c r="AD706" s="10" t="str">
        <f>IFERROR(VLOOKUP(B706,'Regiões Administrativas'!$A$1:$B$646,2,0),"")</f>
        <v>RMSP</v>
      </c>
      <c r="AE706" s="10">
        <f>IFERROR(VLOOKUP(Form_Responses[[#This Row],[Município]],'Regiões Administrativas'!$A$1:$I$646,3,0),"")</f>
        <v>15696</v>
      </c>
      <c r="AF706" s="10">
        <f>IFERROR(VLOOKUP(Form_Responses[[#This Row],[Município]],'Regiões Administrativas'!$A$1:$I$646,4,0),"")</f>
        <v>350920505000001</v>
      </c>
      <c r="AG706" s="10">
        <f>IFERROR(VLOOKUP(Form_Responses[[#This Row],[Município]],'Regiões Administrativas'!$A$1:$I$646,4,0),"")</f>
        <v>350920505000001</v>
      </c>
      <c r="AH706" s="10">
        <f>IFERROR(VLOOKUP(B706,'Regiões Administrativas'!$A$1:$I$646,5,0),"")</f>
        <v>3509205</v>
      </c>
      <c r="AI706" s="10">
        <f>IFERROR(VLOOKUP(B706,'Regiões Administrativas'!$A$1:$I$646,6,0),"")</f>
        <v>-46.8829201</v>
      </c>
      <c r="AJ706" s="10">
        <f>IFERROR(VLOOKUP(B706,'Regiões Administrativas'!$A$1:$I$646,8,0),"")</f>
        <v>867.050792</v>
      </c>
      <c r="AK706" s="10" t="str">
        <f>IFERROR(VLOOKUP(Form_Responses[[#This Row],[Município]],'Regiões Administrativas'!$A$1:$I$646,9,0),"")</f>
        <v>1J6tLz2ReX+f</v>
      </c>
    </row>
    <row r="707" spans="1:37" ht="22.5" customHeight="1">
      <c r="A707" s="18">
        <v>46122.411115474533</v>
      </c>
      <c r="B707" s="10" t="s">
        <v>1235</v>
      </c>
      <c r="C707" s="10" t="s">
        <v>1236</v>
      </c>
      <c r="D707" s="10" t="s">
        <v>3444</v>
      </c>
      <c r="E707" s="10" t="s">
        <v>3445</v>
      </c>
      <c r="G707" s="10" t="s">
        <v>3437</v>
      </c>
      <c r="I707" s="10" t="s">
        <v>43</v>
      </c>
      <c r="J707" s="16">
        <v>46241</v>
      </c>
      <c r="K707" s="16">
        <v>46241</v>
      </c>
      <c r="N707" s="10" t="s">
        <v>61</v>
      </c>
      <c r="O707" s="10" t="s">
        <v>62</v>
      </c>
      <c r="P707" s="10" t="s">
        <v>63</v>
      </c>
      <c r="Q707" s="10" t="s">
        <v>47</v>
      </c>
      <c r="R707" s="10" t="s">
        <v>256</v>
      </c>
      <c r="S707" s="19">
        <v>1000</v>
      </c>
      <c r="W707" s="10" t="s">
        <v>3446</v>
      </c>
      <c r="Y707" s="10" t="s">
        <v>3439</v>
      </c>
      <c r="Z707" s="10" t="s">
        <v>66</v>
      </c>
      <c r="AA707" s="10" t="s">
        <v>66</v>
      </c>
      <c r="AB707" s="10" t="s">
        <v>66</v>
      </c>
      <c r="AC707" s="10" t="s">
        <v>68</v>
      </c>
      <c r="AD707" s="10" t="str">
        <f>IFERROR(VLOOKUP(B707,'Regiões Administrativas'!$A$1:$B$646,2,0),"")</f>
        <v>RMSP</v>
      </c>
      <c r="AE707" s="10">
        <f>IFERROR(VLOOKUP(Form_Responses[[#This Row],[Município]],'Regiões Administrativas'!$A$1:$I$646,3,0),"")</f>
        <v>15696</v>
      </c>
      <c r="AF707" s="10">
        <f>IFERROR(VLOOKUP(Form_Responses[[#This Row],[Município]],'Regiões Administrativas'!$A$1:$I$646,4,0),"")</f>
        <v>350920505000001</v>
      </c>
      <c r="AG707" s="10">
        <f>IFERROR(VLOOKUP(Form_Responses[[#This Row],[Município]],'Regiões Administrativas'!$A$1:$I$646,4,0),"")</f>
        <v>350920505000001</v>
      </c>
      <c r="AH707" s="10">
        <f>IFERROR(VLOOKUP(B707,'Regiões Administrativas'!$A$1:$I$646,5,0),"")</f>
        <v>3509205</v>
      </c>
      <c r="AI707" s="10">
        <f>IFERROR(VLOOKUP(B707,'Regiões Administrativas'!$A$1:$I$646,6,0),"")</f>
        <v>-46.8829201</v>
      </c>
      <c r="AJ707" s="10">
        <f>IFERROR(VLOOKUP(B707,'Regiões Administrativas'!$A$1:$I$646,8,0),"")</f>
        <v>867.050792</v>
      </c>
      <c r="AK707" s="10" t="str">
        <f>IFERROR(VLOOKUP(Form_Responses[[#This Row],[Município]],'Regiões Administrativas'!$A$1:$I$646,9,0),"")</f>
        <v>1J6tLz2ReX+f</v>
      </c>
    </row>
    <row r="708" spans="1:37" ht="22.5" customHeight="1">
      <c r="A708" s="18">
        <v>46122.414342523145</v>
      </c>
      <c r="B708" s="10" t="s">
        <v>1235</v>
      </c>
      <c r="C708" s="10" t="s">
        <v>1236</v>
      </c>
      <c r="D708" s="10" t="s">
        <v>3447</v>
      </c>
      <c r="E708" s="10" t="s">
        <v>3448</v>
      </c>
      <c r="G708" s="10" t="s">
        <v>3449</v>
      </c>
      <c r="I708" s="10" t="s">
        <v>43</v>
      </c>
      <c r="J708" s="16">
        <v>46256</v>
      </c>
      <c r="K708" s="16">
        <v>46256</v>
      </c>
      <c r="N708" s="10" t="s">
        <v>268</v>
      </c>
      <c r="O708" s="10" t="s">
        <v>45</v>
      </c>
      <c r="P708" s="10" t="s">
        <v>63</v>
      </c>
      <c r="Q708" s="10" t="s">
        <v>47</v>
      </c>
      <c r="R708" s="10" t="s">
        <v>256</v>
      </c>
      <c r="S708" s="19">
        <v>1000</v>
      </c>
      <c r="W708" s="10" t="s">
        <v>3446</v>
      </c>
      <c r="Y708" s="10" t="s">
        <v>3439</v>
      </c>
      <c r="Z708" s="10" t="s">
        <v>66</v>
      </c>
      <c r="AA708" s="10" t="s">
        <v>66</v>
      </c>
      <c r="AB708" s="10" t="s">
        <v>66</v>
      </c>
      <c r="AC708" s="10" t="s">
        <v>68</v>
      </c>
      <c r="AD708" s="10" t="str">
        <f>IFERROR(VLOOKUP(B708,'Regiões Administrativas'!$A$1:$B$646,2,0),"")</f>
        <v>RMSP</v>
      </c>
      <c r="AE708" s="10">
        <f>IFERROR(VLOOKUP(Form_Responses[[#This Row],[Município]],'Regiões Administrativas'!$A$1:$I$646,3,0),"")</f>
        <v>15696</v>
      </c>
      <c r="AF708" s="10">
        <f>IFERROR(VLOOKUP(Form_Responses[[#This Row],[Município]],'Regiões Administrativas'!$A$1:$I$646,4,0),"")</f>
        <v>350920505000001</v>
      </c>
      <c r="AG708" s="10">
        <f>IFERROR(VLOOKUP(Form_Responses[[#This Row],[Município]],'Regiões Administrativas'!$A$1:$I$646,4,0),"")</f>
        <v>350920505000001</v>
      </c>
      <c r="AH708" s="10">
        <f>IFERROR(VLOOKUP(B708,'Regiões Administrativas'!$A$1:$I$646,5,0),"")</f>
        <v>3509205</v>
      </c>
      <c r="AI708" s="10">
        <f>IFERROR(VLOOKUP(B708,'Regiões Administrativas'!$A$1:$I$646,6,0),"")</f>
        <v>-46.8829201</v>
      </c>
      <c r="AJ708" s="10">
        <f>IFERROR(VLOOKUP(B708,'Regiões Administrativas'!$A$1:$I$646,8,0),"")</f>
        <v>867.050792</v>
      </c>
      <c r="AK708" s="10" t="str">
        <f>IFERROR(VLOOKUP(Form_Responses[[#This Row],[Município]],'Regiões Administrativas'!$A$1:$I$646,9,0),"")</f>
        <v>1J6tLz2ReX+f</v>
      </c>
    </row>
    <row r="709" spans="1:37" ht="22.5" customHeight="1">
      <c r="A709" s="18">
        <v>46122.422659826392</v>
      </c>
      <c r="B709" s="10" t="s">
        <v>1235</v>
      </c>
      <c r="C709" s="10" t="s">
        <v>1236</v>
      </c>
      <c r="D709" s="10" t="s">
        <v>3450</v>
      </c>
      <c r="E709" s="10" t="s">
        <v>3451</v>
      </c>
      <c r="G709" s="10" t="s">
        <v>3452</v>
      </c>
      <c r="I709" s="10" t="s">
        <v>81</v>
      </c>
      <c r="J709" s="16">
        <v>46272</v>
      </c>
      <c r="K709" s="16">
        <v>46272</v>
      </c>
      <c r="N709" s="10" t="s">
        <v>421</v>
      </c>
      <c r="O709" s="10" t="s">
        <v>99</v>
      </c>
      <c r="P709" s="10" t="s">
        <v>99</v>
      </c>
      <c r="Q709" s="10" t="s">
        <v>47</v>
      </c>
      <c r="R709" s="10" t="s">
        <v>74</v>
      </c>
      <c r="S709" s="19">
        <v>5000</v>
      </c>
      <c r="V709" s="19">
        <v>7000</v>
      </c>
      <c r="W709" s="10" t="s">
        <v>3446</v>
      </c>
      <c r="Y709" s="10" t="s">
        <v>3439</v>
      </c>
      <c r="Z709" s="10" t="s">
        <v>66</v>
      </c>
      <c r="AA709" s="10" t="s">
        <v>66</v>
      </c>
      <c r="AB709" s="10" t="s">
        <v>66</v>
      </c>
      <c r="AC709" s="10" t="s">
        <v>68</v>
      </c>
      <c r="AD709" s="10" t="str">
        <f>IFERROR(VLOOKUP(B709,'Regiões Administrativas'!$A$1:$B$646,2,0),"")</f>
        <v>RMSP</v>
      </c>
      <c r="AE709" s="10">
        <f>IFERROR(VLOOKUP(Form_Responses[[#This Row],[Município]],'Regiões Administrativas'!$A$1:$I$646,3,0),"")</f>
        <v>15696</v>
      </c>
      <c r="AF709" s="10">
        <f>IFERROR(VLOOKUP(Form_Responses[[#This Row],[Município]],'Regiões Administrativas'!$A$1:$I$646,4,0),"")</f>
        <v>350920505000001</v>
      </c>
      <c r="AG709" s="10">
        <f>IFERROR(VLOOKUP(Form_Responses[[#This Row],[Município]],'Regiões Administrativas'!$A$1:$I$646,4,0),"")</f>
        <v>350920505000001</v>
      </c>
      <c r="AH709" s="10">
        <f>IFERROR(VLOOKUP(B709,'Regiões Administrativas'!$A$1:$I$646,5,0),"")</f>
        <v>3509205</v>
      </c>
      <c r="AI709" s="10">
        <f>IFERROR(VLOOKUP(B709,'Regiões Administrativas'!$A$1:$I$646,6,0),"")</f>
        <v>-46.8829201</v>
      </c>
      <c r="AJ709" s="10">
        <f>IFERROR(VLOOKUP(B709,'Regiões Administrativas'!$A$1:$I$646,8,0),"")</f>
        <v>867.050792</v>
      </c>
      <c r="AK709" s="10" t="str">
        <f>IFERROR(VLOOKUP(Form_Responses[[#This Row],[Município]],'Regiões Administrativas'!$A$1:$I$646,9,0),"")</f>
        <v>1J6tLz2ReX+f</v>
      </c>
    </row>
    <row r="710" spans="1:37" ht="22.5" customHeight="1">
      <c r="A710" s="18">
        <v>46122.431778622689</v>
      </c>
      <c r="B710" s="10" t="s">
        <v>1235</v>
      </c>
      <c r="C710" s="10" t="s">
        <v>1236</v>
      </c>
      <c r="D710" s="10" t="s">
        <v>3453</v>
      </c>
      <c r="E710" s="10" t="s">
        <v>3454</v>
      </c>
      <c r="G710" s="10" t="s">
        <v>3136</v>
      </c>
      <c r="I710" s="10" t="s">
        <v>81</v>
      </c>
      <c r="J710" s="16">
        <v>46276</v>
      </c>
      <c r="K710" s="16">
        <v>46278</v>
      </c>
      <c r="N710" s="10" t="s">
        <v>73</v>
      </c>
      <c r="O710" s="10" t="s">
        <v>190</v>
      </c>
      <c r="P710" s="10" t="s">
        <v>63</v>
      </c>
      <c r="Q710" s="10" t="s">
        <v>47</v>
      </c>
      <c r="R710" s="10" t="s">
        <v>74</v>
      </c>
      <c r="S710" s="19">
        <v>1000</v>
      </c>
      <c r="W710" s="10" t="s">
        <v>3446</v>
      </c>
      <c r="Y710" s="10" t="s">
        <v>2601</v>
      </c>
      <c r="Z710" s="10" t="s">
        <v>66</v>
      </c>
      <c r="AA710" s="10" t="s">
        <v>66</v>
      </c>
      <c r="AB710" s="10" t="s">
        <v>66</v>
      </c>
      <c r="AC710" s="10" t="s">
        <v>68</v>
      </c>
      <c r="AD710" s="10" t="str">
        <f>IFERROR(VLOOKUP(B710,'Regiões Administrativas'!$A$1:$B$646,2,0),"")</f>
        <v>RMSP</v>
      </c>
      <c r="AE710" s="10">
        <f>IFERROR(VLOOKUP(Form_Responses[[#This Row],[Município]],'Regiões Administrativas'!$A$1:$I$646,3,0),"")</f>
        <v>15696</v>
      </c>
      <c r="AF710" s="10">
        <f>IFERROR(VLOOKUP(Form_Responses[[#This Row],[Município]],'Regiões Administrativas'!$A$1:$I$646,4,0),"")</f>
        <v>350920505000001</v>
      </c>
      <c r="AG710" s="10">
        <f>IFERROR(VLOOKUP(Form_Responses[[#This Row],[Município]],'Regiões Administrativas'!$A$1:$I$646,4,0),"")</f>
        <v>350920505000001</v>
      </c>
      <c r="AH710" s="10">
        <f>IFERROR(VLOOKUP(B710,'Regiões Administrativas'!$A$1:$I$646,5,0),"")</f>
        <v>3509205</v>
      </c>
      <c r="AI710" s="10">
        <f>IFERROR(VLOOKUP(B710,'Regiões Administrativas'!$A$1:$I$646,6,0),"")</f>
        <v>-46.8829201</v>
      </c>
      <c r="AJ710" s="10">
        <f>IFERROR(VLOOKUP(B710,'Regiões Administrativas'!$A$1:$I$646,8,0),"")</f>
        <v>867.050792</v>
      </c>
      <c r="AK710" s="10" t="str">
        <f>IFERROR(VLOOKUP(Form_Responses[[#This Row],[Município]],'Regiões Administrativas'!$A$1:$I$646,9,0),"")</f>
        <v>1J6tLz2ReX+f</v>
      </c>
    </row>
    <row r="711" spans="1:37" ht="22.5" customHeight="1">
      <c r="A711" s="18">
        <v>46122.436876921296</v>
      </c>
      <c r="B711" s="10" t="s">
        <v>1235</v>
      </c>
      <c r="C711" s="10" t="s">
        <v>1236</v>
      </c>
      <c r="D711" s="10" t="s">
        <v>3455</v>
      </c>
      <c r="E711" s="10" t="s">
        <v>3456</v>
      </c>
      <c r="G711" s="10" t="s">
        <v>3437</v>
      </c>
      <c r="I711" s="10" t="s">
        <v>81</v>
      </c>
      <c r="J711" s="16">
        <v>46291</v>
      </c>
      <c r="K711" s="16">
        <v>46291</v>
      </c>
      <c r="N711" s="10" t="s">
        <v>98</v>
      </c>
      <c r="O711" s="10" t="s">
        <v>221</v>
      </c>
      <c r="P711" s="10" t="s">
        <v>221</v>
      </c>
      <c r="Q711" s="10" t="s">
        <v>47</v>
      </c>
      <c r="R711" s="10" t="s">
        <v>74</v>
      </c>
      <c r="S711" s="19">
        <v>1000</v>
      </c>
      <c r="W711" s="10" t="s">
        <v>3457</v>
      </c>
      <c r="Y711" s="10" t="s">
        <v>2601</v>
      </c>
      <c r="Z711" s="10" t="s">
        <v>66</v>
      </c>
      <c r="AA711" s="10" t="s">
        <v>66</v>
      </c>
      <c r="AB711" s="10" t="s">
        <v>66</v>
      </c>
      <c r="AC711" s="10" t="s">
        <v>68</v>
      </c>
      <c r="AD711" s="10" t="str">
        <f>IFERROR(VLOOKUP(B711,'Regiões Administrativas'!$A$1:$B$646,2,0),"")</f>
        <v>RMSP</v>
      </c>
      <c r="AE711" s="10">
        <f>IFERROR(VLOOKUP(Form_Responses[[#This Row],[Município]],'Regiões Administrativas'!$A$1:$I$646,3,0),"")</f>
        <v>15696</v>
      </c>
      <c r="AF711" s="10">
        <f>IFERROR(VLOOKUP(Form_Responses[[#This Row],[Município]],'Regiões Administrativas'!$A$1:$I$646,4,0),"")</f>
        <v>350920505000001</v>
      </c>
      <c r="AG711" s="10">
        <f>IFERROR(VLOOKUP(Form_Responses[[#This Row],[Município]],'Regiões Administrativas'!$A$1:$I$646,4,0),"")</f>
        <v>350920505000001</v>
      </c>
      <c r="AH711" s="10">
        <f>IFERROR(VLOOKUP(B711,'Regiões Administrativas'!$A$1:$I$646,5,0),"")</f>
        <v>3509205</v>
      </c>
      <c r="AI711" s="10">
        <f>IFERROR(VLOOKUP(B711,'Regiões Administrativas'!$A$1:$I$646,6,0),"")</f>
        <v>-46.8829201</v>
      </c>
      <c r="AJ711" s="10">
        <f>IFERROR(VLOOKUP(B711,'Regiões Administrativas'!$A$1:$I$646,8,0),"")</f>
        <v>867.050792</v>
      </c>
      <c r="AK711" s="10" t="str">
        <f>IFERROR(VLOOKUP(Form_Responses[[#This Row],[Município]],'Regiões Administrativas'!$A$1:$I$646,9,0),"")</f>
        <v>1J6tLz2ReX+f</v>
      </c>
    </row>
    <row r="712" spans="1:37" ht="22.5" customHeight="1">
      <c r="A712" s="18">
        <v>46122.442152835647</v>
      </c>
      <c r="B712" s="10" t="s">
        <v>1235</v>
      </c>
      <c r="C712" s="10" t="s">
        <v>1236</v>
      </c>
      <c r="D712" s="10" t="s">
        <v>3458</v>
      </c>
      <c r="E712" s="10" t="s">
        <v>3459</v>
      </c>
      <c r="G712" s="10" t="s">
        <v>3460</v>
      </c>
      <c r="I712" s="10" t="s">
        <v>255</v>
      </c>
      <c r="J712" s="16">
        <v>46304</v>
      </c>
      <c r="K712" s="16">
        <v>46305</v>
      </c>
      <c r="N712" s="10" t="s">
        <v>44</v>
      </c>
      <c r="O712" s="10" t="s">
        <v>45</v>
      </c>
      <c r="P712" s="10" t="s">
        <v>63</v>
      </c>
      <c r="Q712" s="10" t="s">
        <v>47</v>
      </c>
      <c r="R712" s="10" t="s">
        <v>74</v>
      </c>
      <c r="S712" s="19">
        <v>5000</v>
      </c>
      <c r="W712" s="10" t="s">
        <v>3446</v>
      </c>
      <c r="Y712" s="10" t="s">
        <v>2601</v>
      </c>
      <c r="Z712" s="10" t="s">
        <v>66</v>
      </c>
      <c r="AA712" s="10" t="s">
        <v>66</v>
      </c>
      <c r="AB712" s="10" t="s">
        <v>66</v>
      </c>
      <c r="AC712" s="10" t="s">
        <v>68</v>
      </c>
      <c r="AD712" s="10" t="str">
        <f>IFERROR(VLOOKUP(B712,'Regiões Administrativas'!$A$1:$B$646,2,0),"")</f>
        <v>RMSP</v>
      </c>
      <c r="AE712" s="10">
        <f>IFERROR(VLOOKUP(Form_Responses[[#This Row],[Município]],'Regiões Administrativas'!$A$1:$I$646,3,0),"")</f>
        <v>15696</v>
      </c>
      <c r="AF712" s="10">
        <f>IFERROR(VLOOKUP(Form_Responses[[#This Row],[Município]],'Regiões Administrativas'!$A$1:$I$646,4,0),"")</f>
        <v>350920505000001</v>
      </c>
      <c r="AG712" s="10">
        <f>IFERROR(VLOOKUP(Form_Responses[[#This Row],[Município]],'Regiões Administrativas'!$A$1:$I$646,4,0),"")</f>
        <v>350920505000001</v>
      </c>
      <c r="AH712" s="10">
        <f>IFERROR(VLOOKUP(B712,'Regiões Administrativas'!$A$1:$I$646,5,0),"")</f>
        <v>3509205</v>
      </c>
      <c r="AI712" s="10">
        <f>IFERROR(VLOOKUP(B712,'Regiões Administrativas'!$A$1:$I$646,6,0),"")</f>
        <v>-46.8829201</v>
      </c>
      <c r="AJ712" s="10">
        <f>IFERROR(VLOOKUP(B712,'Regiões Administrativas'!$A$1:$I$646,8,0),"")</f>
        <v>867.050792</v>
      </c>
      <c r="AK712" s="10" t="str">
        <f>IFERROR(VLOOKUP(Form_Responses[[#This Row],[Município]],'Regiões Administrativas'!$A$1:$I$646,9,0),"")</f>
        <v>1J6tLz2ReX+f</v>
      </c>
    </row>
    <row r="713" spans="1:37" ht="22.5" customHeight="1">
      <c r="A713" s="18">
        <v>46122.449126944441</v>
      </c>
      <c r="B713" s="10" t="s">
        <v>1235</v>
      </c>
      <c r="C713" s="10" t="s">
        <v>1236</v>
      </c>
      <c r="D713" s="10" t="s">
        <v>3461</v>
      </c>
      <c r="E713" s="10" t="s">
        <v>3462</v>
      </c>
      <c r="G713" s="10" t="s">
        <v>3463</v>
      </c>
      <c r="I713" s="10" t="s">
        <v>255</v>
      </c>
      <c r="J713" s="16">
        <v>46305</v>
      </c>
      <c r="K713" s="16">
        <v>46305</v>
      </c>
      <c r="N713" s="10" t="s">
        <v>61</v>
      </c>
      <c r="O713" s="10" t="s">
        <v>3464</v>
      </c>
      <c r="P713" s="10" t="s">
        <v>63</v>
      </c>
      <c r="Q713" s="10" t="s">
        <v>47</v>
      </c>
      <c r="R713" s="10" t="s">
        <v>74</v>
      </c>
      <c r="S713" s="19">
        <v>1000</v>
      </c>
      <c r="W713" s="10" t="s">
        <v>3446</v>
      </c>
      <c r="Y713" s="10" t="s">
        <v>2601</v>
      </c>
      <c r="Z713" s="10" t="s">
        <v>66</v>
      </c>
      <c r="AA713" s="10" t="s">
        <v>66</v>
      </c>
      <c r="AB713" s="10" t="s">
        <v>66</v>
      </c>
      <c r="AC713" s="10" t="s">
        <v>68</v>
      </c>
      <c r="AD713" s="10" t="str">
        <f>IFERROR(VLOOKUP(B713,'Regiões Administrativas'!$A$1:$B$646,2,0),"")</f>
        <v>RMSP</v>
      </c>
      <c r="AE713" s="10">
        <f>IFERROR(VLOOKUP(Form_Responses[[#This Row],[Município]],'Regiões Administrativas'!$A$1:$I$646,3,0),"")</f>
        <v>15696</v>
      </c>
      <c r="AF713" s="10">
        <f>IFERROR(VLOOKUP(Form_Responses[[#This Row],[Município]],'Regiões Administrativas'!$A$1:$I$646,4,0),"")</f>
        <v>350920505000001</v>
      </c>
      <c r="AG713" s="10">
        <f>IFERROR(VLOOKUP(Form_Responses[[#This Row],[Município]],'Regiões Administrativas'!$A$1:$I$646,4,0),"")</f>
        <v>350920505000001</v>
      </c>
      <c r="AH713" s="10">
        <f>IFERROR(VLOOKUP(B713,'Regiões Administrativas'!$A$1:$I$646,5,0),"")</f>
        <v>3509205</v>
      </c>
      <c r="AI713" s="10">
        <f>IFERROR(VLOOKUP(B713,'Regiões Administrativas'!$A$1:$I$646,6,0),"")</f>
        <v>-46.8829201</v>
      </c>
      <c r="AJ713" s="10">
        <f>IFERROR(VLOOKUP(B713,'Regiões Administrativas'!$A$1:$I$646,8,0),"")</f>
        <v>867.050792</v>
      </c>
      <c r="AK713" s="10" t="str">
        <f>IFERROR(VLOOKUP(Form_Responses[[#This Row],[Município]],'Regiões Administrativas'!$A$1:$I$646,9,0),"")</f>
        <v>1J6tLz2ReX+f</v>
      </c>
    </row>
    <row r="714" spans="1:37" ht="22.5" customHeight="1">
      <c r="A714" s="18">
        <v>46122.453573831022</v>
      </c>
      <c r="B714" s="10" t="s">
        <v>1235</v>
      </c>
      <c r="C714" s="10" t="s">
        <v>1236</v>
      </c>
      <c r="D714" s="10" t="s">
        <v>3465</v>
      </c>
      <c r="E714" s="10" t="s">
        <v>3466</v>
      </c>
      <c r="G714" s="10" t="s">
        <v>3467</v>
      </c>
      <c r="I714" s="10" t="s">
        <v>255</v>
      </c>
      <c r="J714" s="16">
        <v>46307</v>
      </c>
      <c r="K714" s="16">
        <v>46307</v>
      </c>
      <c r="N714" s="10" t="s">
        <v>44</v>
      </c>
      <c r="O714" s="10" t="s">
        <v>99</v>
      </c>
      <c r="P714" s="10" t="s">
        <v>99</v>
      </c>
      <c r="Q714" s="10" t="s">
        <v>47</v>
      </c>
      <c r="R714" s="10" t="s">
        <v>74</v>
      </c>
      <c r="S714" s="19">
        <v>1000</v>
      </c>
      <c r="W714" s="10" t="s">
        <v>3446</v>
      </c>
      <c r="Y714" s="10" t="s">
        <v>2601</v>
      </c>
      <c r="Z714" s="10" t="s">
        <v>66</v>
      </c>
      <c r="AA714" s="10" t="s">
        <v>66</v>
      </c>
      <c r="AB714" s="10" t="s">
        <v>66</v>
      </c>
      <c r="AC714" s="10" t="s">
        <v>68</v>
      </c>
      <c r="AD714" s="10" t="str">
        <f>IFERROR(VLOOKUP(B714,'Regiões Administrativas'!$A$1:$B$646,2,0),"")</f>
        <v>RMSP</v>
      </c>
      <c r="AE714" s="10">
        <f>IFERROR(VLOOKUP(Form_Responses[[#This Row],[Município]],'Regiões Administrativas'!$A$1:$I$646,3,0),"")</f>
        <v>15696</v>
      </c>
      <c r="AF714" s="10">
        <f>IFERROR(VLOOKUP(Form_Responses[[#This Row],[Município]],'Regiões Administrativas'!$A$1:$I$646,4,0),"")</f>
        <v>350920505000001</v>
      </c>
      <c r="AG714" s="10">
        <f>IFERROR(VLOOKUP(Form_Responses[[#This Row],[Município]],'Regiões Administrativas'!$A$1:$I$646,4,0),"")</f>
        <v>350920505000001</v>
      </c>
      <c r="AH714" s="10">
        <f>IFERROR(VLOOKUP(B714,'Regiões Administrativas'!$A$1:$I$646,5,0),"")</f>
        <v>3509205</v>
      </c>
      <c r="AI714" s="10">
        <f>IFERROR(VLOOKUP(B714,'Regiões Administrativas'!$A$1:$I$646,6,0),"")</f>
        <v>-46.8829201</v>
      </c>
      <c r="AJ714" s="10">
        <f>IFERROR(VLOOKUP(B714,'Regiões Administrativas'!$A$1:$I$646,8,0),"")</f>
        <v>867.050792</v>
      </c>
      <c r="AK714" s="10" t="str">
        <f>IFERROR(VLOOKUP(Form_Responses[[#This Row],[Município]],'Regiões Administrativas'!$A$1:$I$646,9,0),"")</f>
        <v>1J6tLz2ReX+f</v>
      </c>
    </row>
    <row r="715" spans="1:37" ht="22.5" customHeight="1">
      <c r="A715" s="18">
        <v>46122.458110231484</v>
      </c>
      <c r="B715" s="10" t="s">
        <v>1235</v>
      </c>
      <c r="C715" s="10" t="s">
        <v>1236</v>
      </c>
      <c r="D715" s="10" t="s">
        <v>3468</v>
      </c>
      <c r="E715" s="10" t="s">
        <v>3469</v>
      </c>
      <c r="G715" s="10" t="s">
        <v>3470</v>
      </c>
      <c r="I715" s="10" t="s">
        <v>255</v>
      </c>
      <c r="J715" s="16">
        <v>46326</v>
      </c>
      <c r="K715" s="16">
        <v>46326</v>
      </c>
      <c r="N715" s="10" t="s">
        <v>98</v>
      </c>
      <c r="O715" s="10" t="s">
        <v>62</v>
      </c>
      <c r="P715" s="10" t="s">
        <v>99</v>
      </c>
      <c r="Q715" s="10" t="s">
        <v>47</v>
      </c>
      <c r="R715" s="10" t="s">
        <v>74</v>
      </c>
      <c r="S715" s="19">
        <v>1000</v>
      </c>
      <c r="W715" s="10" t="s">
        <v>3446</v>
      </c>
      <c r="Y715" s="10" t="s">
        <v>2601</v>
      </c>
      <c r="Z715" s="10" t="s">
        <v>66</v>
      </c>
      <c r="AA715" s="10" t="s">
        <v>66</v>
      </c>
      <c r="AB715" s="10" t="s">
        <v>66</v>
      </c>
      <c r="AC715" s="10" t="s">
        <v>68</v>
      </c>
      <c r="AD715" s="10" t="str">
        <f>IFERROR(VLOOKUP(B715,'Regiões Administrativas'!$A$1:$B$646,2,0),"")</f>
        <v>RMSP</v>
      </c>
      <c r="AE715" s="10">
        <f>IFERROR(VLOOKUP(Form_Responses[[#This Row],[Município]],'Regiões Administrativas'!$A$1:$I$646,3,0),"")</f>
        <v>15696</v>
      </c>
      <c r="AF715" s="10">
        <f>IFERROR(VLOOKUP(Form_Responses[[#This Row],[Município]],'Regiões Administrativas'!$A$1:$I$646,4,0),"")</f>
        <v>350920505000001</v>
      </c>
      <c r="AG715" s="10">
        <f>IFERROR(VLOOKUP(Form_Responses[[#This Row],[Município]],'Regiões Administrativas'!$A$1:$I$646,4,0),"")</f>
        <v>350920505000001</v>
      </c>
      <c r="AH715" s="10">
        <f>IFERROR(VLOOKUP(B715,'Regiões Administrativas'!$A$1:$I$646,5,0),"")</f>
        <v>3509205</v>
      </c>
      <c r="AI715" s="10">
        <f>IFERROR(VLOOKUP(B715,'Regiões Administrativas'!$A$1:$I$646,6,0),"")</f>
        <v>-46.8829201</v>
      </c>
      <c r="AJ715" s="10">
        <f>IFERROR(VLOOKUP(B715,'Regiões Administrativas'!$A$1:$I$646,8,0),"")</f>
        <v>867.050792</v>
      </c>
      <c r="AK715" s="10" t="str">
        <f>IFERROR(VLOOKUP(Form_Responses[[#This Row],[Município]],'Regiões Administrativas'!$A$1:$I$646,9,0),"")</f>
        <v>1J6tLz2ReX+f</v>
      </c>
    </row>
    <row r="716" spans="1:37" ht="22.5" customHeight="1">
      <c r="A716" s="18">
        <v>46122.465974178238</v>
      </c>
      <c r="B716" s="10" t="s">
        <v>1235</v>
      </c>
      <c r="C716" s="10" t="s">
        <v>1236</v>
      </c>
      <c r="D716" s="10" t="s">
        <v>3471</v>
      </c>
      <c r="E716" s="10" t="s">
        <v>3472</v>
      </c>
      <c r="G716" s="10" t="s">
        <v>3473</v>
      </c>
      <c r="I716" s="10" t="s">
        <v>197</v>
      </c>
      <c r="J716" s="16">
        <v>46345</v>
      </c>
      <c r="K716" s="16">
        <v>46345</v>
      </c>
      <c r="N716" s="10" t="s">
        <v>73</v>
      </c>
      <c r="O716" s="10" t="s">
        <v>45</v>
      </c>
      <c r="P716" s="10" t="s">
        <v>99</v>
      </c>
      <c r="Q716" s="10" t="s">
        <v>47</v>
      </c>
      <c r="R716" s="10" t="s">
        <v>74</v>
      </c>
      <c r="S716" s="19">
        <v>1000</v>
      </c>
      <c r="W716" s="10" t="s">
        <v>3446</v>
      </c>
      <c r="Y716" s="10" t="s">
        <v>2601</v>
      </c>
      <c r="Z716" s="10" t="s">
        <v>66</v>
      </c>
      <c r="AA716" s="10" t="s">
        <v>66</v>
      </c>
      <c r="AB716" s="10" t="s">
        <v>66</v>
      </c>
      <c r="AC716" s="10" t="s">
        <v>68</v>
      </c>
      <c r="AD716" s="10" t="str">
        <f>IFERROR(VLOOKUP(B716,'Regiões Administrativas'!$A$1:$B$646,2,0),"")</f>
        <v>RMSP</v>
      </c>
      <c r="AE716" s="10">
        <f>IFERROR(VLOOKUP(Form_Responses[[#This Row],[Município]],'Regiões Administrativas'!$A$1:$I$646,3,0),"")</f>
        <v>15696</v>
      </c>
      <c r="AF716" s="10">
        <f>IFERROR(VLOOKUP(Form_Responses[[#This Row],[Município]],'Regiões Administrativas'!$A$1:$I$646,4,0),"")</f>
        <v>350920505000001</v>
      </c>
      <c r="AG716" s="10">
        <f>IFERROR(VLOOKUP(Form_Responses[[#This Row],[Município]],'Regiões Administrativas'!$A$1:$I$646,4,0),"")</f>
        <v>350920505000001</v>
      </c>
      <c r="AH716" s="10">
        <f>IFERROR(VLOOKUP(B716,'Regiões Administrativas'!$A$1:$I$646,5,0),"")</f>
        <v>3509205</v>
      </c>
      <c r="AI716" s="10">
        <f>IFERROR(VLOOKUP(B716,'Regiões Administrativas'!$A$1:$I$646,6,0),"")</f>
        <v>-46.8829201</v>
      </c>
      <c r="AJ716" s="10">
        <f>IFERROR(VLOOKUP(B716,'Regiões Administrativas'!$A$1:$I$646,8,0),"")</f>
        <v>867.050792</v>
      </c>
      <c r="AK716" s="10" t="str">
        <f>IFERROR(VLOOKUP(Form_Responses[[#This Row],[Município]],'Regiões Administrativas'!$A$1:$I$646,9,0),"")</f>
        <v>1J6tLz2ReX+f</v>
      </c>
    </row>
    <row r="717" spans="1:37" ht="22.5" customHeight="1">
      <c r="A717" s="18">
        <v>46122.4717968287</v>
      </c>
      <c r="B717" s="10" t="s">
        <v>1235</v>
      </c>
      <c r="C717" s="10" t="s">
        <v>1236</v>
      </c>
      <c r="D717" s="10" t="s">
        <v>3474</v>
      </c>
      <c r="E717" s="10" t="s">
        <v>3475</v>
      </c>
      <c r="G717" s="10" t="s">
        <v>3476</v>
      </c>
      <c r="I717" s="10" t="s">
        <v>162</v>
      </c>
      <c r="J717" s="16">
        <v>46369</v>
      </c>
      <c r="K717" s="16">
        <v>46369</v>
      </c>
      <c r="N717" s="10" t="s">
        <v>268</v>
      </c>
      <c r="O717" s="10" t="s">
        <v>142</v>
      </c>
      <c r="P717" s="10" t="s">
        <v>251</v>
      </c>
      <c r="Q717" s="10" t="s">
        <v>47</v>
      </c>
      <c r="R717" s="10" t="s">
        <v>74</v>
      </c>
      <c r="S717" s="19">
        <v>1000</v>
      </c>
      <c r="W717" s="10" t="s">
        <v>3446</v>
      </c>
      <c r="Y717" s="10" t="s">
        <v>2601</v>
      </c>
      <c r="Z717" s="10" t="s">
        <v>66</v>
      </c>
      <c r="AA717" s="10" t="s">
        <v>66</v>
      </c>
      <c r="AB717" s="10" t="s">
        <v>66</v>
      </c>
      <c r="AC717" s="10" t="s">
        <v>68</v>
      </c>
      <c r="AD717" s="10" t="str">
        <f>IFERROR(VLOOKUP(B717,'Regiões Administrativas'!$A$1:$B$646,2,0),"")</f>
        <v>RMSP</v>
      </c>
      <c r="AE717" s="10">
        <f>IFERROR(VLOOKUP(Form_Responses[[#This Row],[Município]],'Regiões Administrativas'!$A$1:$I$646,3,0),"")</f>
        <v>15696</v>
      </c>
      <c r="AF717" s="10">
        <f>IFERROR(VLOOKUP(Form_Responses[[#This Row],[Município]],'Regiões Administrativas'!$A$1:$I$646,4,0),"")</f>
        <v>350920505000001</v>
      </c>
      <c r="AG717" s="10">
        <f>IFERROR(VLOOKUP(Form_Responses[[#This Row],[Município]],'Regiões Administrativas'!$A$1:$I$646,4,0),"")</f>
        <v>350920505000001</v>
      </c>
      <c r="AH717" s="10">
        <f>IFERROR(VLOOKUP(B717,'Regiões Administrativas'!$A$1:$I$646,5,0),"")</f>
        <v>3509205</v>
      </c>
      <c r="AI717" s="10">
        <f>IFERROR(VLOOKUP(B717,'Regiões Administrativas'!$A$1:$I$646,6,0),"")</f>
        <v>-46.8829201</v>
      </c>
      <c r="AJ717" s="10">
        <f>IFERROR(VLOOKUP(B717,'Regiões Administrativas'!$A$1:$I$646,8,0),"")</f>
        <v>867.050792</v>
      </c>
      <c r="AK717" s="10" t="str">
        <f>IFERROR(VLOOKUP(Form_Responses[[#This Row],[Município]],'Regiões Administrativas'!$A$1:$I$646,9,0),"")</f>
        <v>1J6tLz2ReX+f</v>
      </c>
    </row>
    <row r="718" spans="1:37" ht="22.5" customHeight="1">
      <c r="A718" s="18">
        <v>46122.480349687496</v>
      </c>
      <c r="B718" s="10" t="s">
        <v>1235</v>
      </c>
      <c r="C718" s="10" t="s">
        <v>1236</v>
      </c>
      <c r="D718" s="10" t="s">
        <v>3477</v>
      </c>
      <c r="E718" s="10" t="s">
        <v>3478</v>
      </c>
      <c r="G718" s="10" t="s">
        <v>3437</v>
      </c>
      <c r="I718" s="10" t="s">
        <v>162</v>
      </c>
      <c r="J718" s="16">
        <v>46340</v>
      </c>
      <c r="K718" s="16">
        <v>46548</v>
      </c>
      <c r="N718" s="10" t="s">
        <v>73</v>
      </c>
      <c r="O718" s="10" t="s">
        <v>99</v>
      </c>
      <c r="P718" s="10" t="s">
        <v>251</v>
      </c>
      <c r="Q718" s="10" t="s">
        <v>47</v>
      </c>
      <c r="R718" s="10" t="s">
        <v>74</v>
      </c>
      <c r="S718" s="19">
        <v>10000</v>
      </c>
      <c r="W718" s="10" t="s">
        <v>3446</v>
      </c>
      <c r="Y718" s="10" t="s">
        <v>2601</v>
      </c>
      <c r="Z718" s="10" t="s">
        <v>66</v>
      </c>
      <c r="AA718" s="10" t="s">
        <v>66</v>
      </c>
      <c r="AB718" s="10" t="s">
        <v>66</v>
      </c>
      <c r="AC718" s="10" t="s">
        <v>68</v>
      </c>
      <c r="AD718" s="10" t="str">
        <f>IFERROR(VLOOKUP(B718,'Regiões Administrativas'!$A$1:$B$646,2,0),"")</f>
        <v>RMSP</v>
      </c>
      <c r="AE718" s="10">
        <f>IFERROR(VLOOKUP(Form_Responses[[#This Row],[Município]],'Regiões Administrativas'!$A$1:$I$646,3,0),"")</f>
        <v>15696</v>
      </c>
      <c r="AF718" s="10">
        <f>IFERROR(VLOOKUP(Form_Responses[[#This Row],[Município]],'Regiões Administrativas'!$A$1:$I$646,4,0),"")</f>
        <v>350920505000001</v>
      </c>
      <c r="AG718" s="10">
        <f>IFERROR(VLOOKUP(Form_Responses[[#This Row],[Município]],'Regiões Administrativas'!$A$1:$I$646,4,0),"")</f>
        <v>350920505000001</v>
      </c>
      <c r="AH718" s="10">
        <f>IFERROR(VLOOKUP(B718,'Regiões Administrativas'!$A$1:$I$646,5,0),"")</f>
        <v>3509205</v>
      </c>
      <c r="AI718" s="10">
        <f>IFERROR(VLOOKUP(B718,'Regiões Administrativas'!$A$1:$I$646,6,0),"")</f>
        <v>-46.8829201</v>
      </c>
      <c r="AJ718" s="10">
        <f>IFERROR(VLOOKUP(B718,'Regiões Administrativas'!$A$1:$I$646,8,0),"")</f>
        <v>867.050792</v>
      </c>
      <c r="AK718" s="10" t="str">
        <f>IFERROR(VLOOKUP(Form_Responses[[#This Row],[Município]],'Regiões Administrativas'!$A$1:$I$646,9,0),"")</f>
        <v>1J6tLz2ReX+f</v>
      </c>
    </row>
    <row r="719" spans="1:37" ht="22.5" customHeight="1">
      <c r="A719" s="18">
        <v>46122.541100219911</v>
      </c>
      <c r="B719" s="10" t="s">
        <v>3479</v>
      </c>
      <c r="C719" s="10" t="s">
        <v>57</v>
      </c>
      <c r="D719" s="10" t="s">
        <v>3480</v>
      </c>
      <c r="E719" s="10" t="s">
        <v>3481</v>
      </c>
      <c r="F719" s="10" t="s">
        <v>3482</v>
      </c>
      <c r="G719" s="10" t="s">
        <v>3483</v>
      </c>
      <c r="I719" s="10" t="s">
        <v>60</v>
      </c>
      <c r="J719" s="16">
        <v>46192</v>
      </c>
      <c r="K719" s="16">
        <v>46201</v>
      </c>
      <c r="L719" s="17">
        <v>0.75</v>
      </c>
      <c r="M719" s="17">
        <v>4.1666666664241347E-2</v>
      </c>
      <c r="N719" s="10" t="s">
        <v>44</v>
      </c>
      <c r="O719" s="10" t="s">
        <v>45</v>
      </c>
      <c r="P719" s="10" t="s">
        <v>135</v>
      </c>
      <c r="Q719" s="10" t="s">
        <v>47</v>
      </c>
      <c r="R719" s="10" t="s">
        <v>74</v>
      </c>
      <c r="S719" s="19">
        <v>65000</v>
      </c>
      <c r="T719" s="19">
        <v>60000</v>
      </c>
      <c r="U719" s="19">
        <v>55000</v>
      </c>
      <c r="V719" s="19">
        <v>53000</v>
      </c>
      <c r="W719" s="10" t="s">
        <v>3484</v>
      </c>
      <c r="Y719" s="10" t="s">
        <v>3485</v>
      </c>
      <c r="Z719" s="10" t="s">
        <v>76</v>
      </c>
      <c r="AA719" s="10" t="s">
        <v>156</v>
      </c>
      <c r="AB719" s="10" t="s">
        <v>344</v>
      </c>
      <c r="AC719" s="10" t="s">
        <v>68</v>
      </c>
      <c r="AD719" s="10" t="str">
        <f>IFERROR(VLOOKUP(B719,'Regiões Administrativas'!$A$1:$B$646,2,0),"")</f>
        <v>Sorocaba</v>
      </c>
      <c r="AE719" s="10">
        <f>IFERROR(VLOOKUP(Form_Responses[[#This Row],[Município]],'Regiões Administrativas'!$A$1:$I$646,3,0),"")</f>
        <v>16315</v>
      </c>
      <c r="AF719" s="10">
        <f>IFERROR(VLOOKUP(Form_Responses[[#This Row],[Município]],'Regiões Administrativas'!$A$1:$I$646,4,0),"")</f>
        <v>352640705000001</v>
      </c>
      <c r="AG719" s="10">
        <f>IFERROR(VLOOKUP(Form_Responses[[#This Row],[Município]],'Regiões Administrativas'!$A$1:$I$646,4,0),"")</f>
        <v>352640705000001</v>
      </c>
      <c r="AH719" s="10">
        <f>IFERROR(VLOOKUP(B719,'Regiões Administrativas'!$A$1:$I$646,5,0),"")</f>
        <v>3526407</v>
      </c>
      <c r="AI719" s="10">
        <f>IFERROR(VLOOKUP(B719,'Regiões Administrativas'!$A$1:$I$646,6,0),"")</f>
        <v>-47.833780699999998</v>
      </c>
      <c r="AJ719" s="10">
        <f>IFERROR(VLOOKUP(B719,'Regiões Administrativas'!$A$1:$I$646,8,0),"")</f>
        <v>546.12378100000001</v>
      </c>
      <c r="AK719" s="10" t="str">
        <f>IFERROR(VLOOKUP(Form_Responses[[#This Row],[Município]],'Regiões Administrativas'!$A$1:$I$646,9,0),"")</f>
        <v>1J6tl+mOP9D&gt;</v>
      </c>
    </row>
    <row r="720" spans="1:37" ht="22.5" customHeight="1">
      <c r="A720" s="18">
        <v>46122.637044293981</v>
      </c>
      <c r="B720" s="10" t="s">
        <v>581</v>
      </c>
      <c r="C720" s="10" t="s">
        <v>1870</v>
      </c>
      <c r="D720" s="10" t="s">
        <v>3486</v>
      </c>
      <c r="E720" s="10" t="s">
        <v>3487</v>
      </c>
      <c r="G720" s="10" t="s">
        <v>3488</v>
      </c>
      <c r="H720" s="72" t="s">
        <v>3489</v>
      </c>
      <c r="I720" s="10" t="s">
        <v>60</v>
      </c>
      <c r="J720" s="16">
        <v>46184</v>
      </c>
      <c r="K720" s="16">
        <v>46187</v>
      </c>
      <c r="L720" s="17">
        <v>0.58333333333575865</v>
      </c>
      <c r="M720" s="17">
        <v>0.91666666666424135</v>
      </c>
      <c r="N720" s="10" t="s">
        <v>268</v>
      </c>
      <c r="O720" s="10" t="s">
        <v>142</v>
      </c>
      <c r="P720" s="10" t="s">
        <v>63</v>
      </c>
      <c r="Q720" s="10" t="s">
        <v>47</v>
      </c>
      <c r="R720" s="10" t="s">
        <v>74</v>
      </c>
      <c r="S720" s="10">
        <v>18000</v>
      </c>
      <c r="T720" s="10">
        <v>15000</v>
      </c>
      <c r="V720" s="10">
        <v>8000</v>
      </c>
      <c r="W720" s="10" t="s">
        <v>3490</v>
      </c>
      <c r="Y720" s="10" t="s">
        <v>3491</v>
      </c>
      <c r="Z720" s="10" t="s">
        <v>76</v>
      </c>
      <c r="AA720" s="10" t="s">
        <v>93</v>
      </c>
      <c r="AB720" s="10" t="s">
        <v>66</v>
      </c>
      <c r="AC720" s="10" t="s">
        <v>68</v>
      </c>
      <c r="AD720" s="10" t="str">
        <f>IFERROR(VLOOKUP(B720,'Regiões Administrativas'!$A$1:$B$646,2,0),"")</f>
        <v>RMSP</v>
      </c>
      <c r="AE720" s="10">
        <f>IFERROR(VLOOKUP(Form_Responses[[#This Row],[Município]],'Regiões Administrativas'!$A$1:$I$646,3,0),"")</f>
        <v>17077</v>
      </c>
      <c r="AF720" s="10">
        <f>IFERROR(VLOOKUP(Form_Responses[[#This Row],[Município]],'Regiões Administrativas'!$A$1:$I$646,4,0),"")</f>
        <v>354680105000001</v>
      </c>
      <c r="AG720" s="10">
        <f>IFERROR(VLOOKUP(Form_Responses[[#This Row],[Município]],'Regiões Administrativas'!$A$1:$I$646,4,0),"")</f>
        <v>354680105000001</v>
      </c>
      <c r="AH720" s="10">
        <f>IFERROR(VLOOKUP(B720,'Regiões Administrativas'!$A$1:$I$646,5,0),"")</f>
        <v>3546801</v>
      </c>
      <c r="AI720" s="10">
        <f>IFERROR(VLOOKUP(B720,'Regiões Administrativas'!$A$1:$I$646,6,0),"")</f>
        <v>-46.227012799999997</v>
      </c>
      <c r="AJ720" s="10">
        <f>IFERROR(VLOOKUP(B720,'Regiões Administrativas'!$A$1:$I$646,8,0),"")</f>
        <v>646.60742200000004</v>
      </c>
      <c r="AK720" s="10" t="str">
        <f>IFERROR(VLOOKUP(Form_Responses[[#This Row],[Município]],'Regiões Administrativas'!$A$1:$I$646,9,0),"")</f>
        <v>1J6tOl=wZJb&gt;</v>
      </c>
    </row>
    <row r="721" spans="1:37" ht="22.5" customHeight="1">
      <c r="A721" s="1"/>
      <c r="B721" s="1"/>
      <c r="C721" s="1"/>
      <c r="D721" s="1"/>
      <c r="E721" s="1"/>
      <c r="F721" s="1"/>
      <c r="G721" s="1"/>
      <c r="H721" s="1"/>
      <c r="I721" s="1"/>
      <c r="J721" s="1"/>
      <c r="K721" s="1"/>
      <c r="L721" s="10"/>
      <c r="M721" s="10"/>
      <c r="N721" s="10"/>
      <c r="O721" s="10"/>
      <c r="P721" s="10"/>
      <c r="Q721" s="10"/>
      <c r="R721" s="10"/>
      <c r="S721" s="8"/>
      <c r="T721" s="8"/>
      <c r="U721" s="8"/>
      <c r="V721" s="8"/>
      <c r="W721" s="10"/>
      <c r="X721" s="10"/>
      <c r="Y721" s="10"/>
      <c r="Z721" s="10"/>
      <c r="AA721" s="10"/>
      <c r="AB721" s="10"/>
      <c r="AC721" s="10"/>
      <c r="AD721" s="1" t="str">
        <f>IFERROR(VLOOKUP(B721,'Regiões Administrativas'!$A$1:$B$646,2,0),"")</f>
        <v/>
      </c>
      <c r="AE721" s="1" t="str">
        <f>IFERROR(VLOOKUP(Form_Responses[[#This Row],[Município]],'Regiões Administrativas'!$A$1:$I$646,3,0),"")</f>
        <v/>
      </c>
      <c r="AF721" s="1" t="str">
        <f>IFERROR(VLOOKUP(Form_Responses[[#This Row],[Município]],'Regiões Administrativas'!$A$1:$I$646,4,0),"")</f>
        <v/>
      </c>
      <c r="AG721" s="1" t="str">
        <f>IFERROR(VLOOKUP(Form_Responses[[#This Row],[Município]],'Regiões Administrativas'!$A$1:$I$646,4,0),"")</f>
        <v/>
      </c>
      <c r="AH721" s="1" t="str">
        <f>IFERROR(VLOOKUP(B721,'Regiões Administrativas'!$A$1:$I$646,5,0),"")</f>
        <v/>
      </c>
      <c r="AI721" s="1" t="str">
        <f>IFERROR(VLOOKUP(B721,'Regiões Administrativas'!$A$1:$I$646,6,0),"")</f>
        <v/>
      </c>
      <c r="AJ721" s="1" t="str">
        <f>IFERROR(VLOOKUP(B721,'Regiões Administrativas'!$A$1:$I$646,8,0),"")</f>
        <v/>
      </c>
      <c r="AK721" s="1" t="str">
        <f>IFERROR(VLOOKUP(Form_Responses[[#This Row],[Município]],'Regiões Administrativas'!$A$1:$I$646,9,0),"")</f>
        <v/>
      </c>
    </row>
  </sheetData>
  <hyperlinks>
    <hyperlink ref="H2" r:id="rId1" xr:uid="{00000000-0004-0000-0000-000000000000}"/>
    <hyperlink ref="X2" r:id="rId2" xr:uid="{00000000-0004-0000-0000-000001000000}"/>
    <hyperlink ref="H8" r:id="rId3" xr:uid="{00000000-0004-0000-0000-000002000000}"/>
    <hyperlink ref="H14" r:id="rId4" xr:uid="{00000000-0004-0000-0000-000003000000}"/>
    <hyperlink ref="H15" r:id="rId5" xr:uid="{00000000-0004-0000-0000-000004000000}"/>
    <hyperlink ref="H17" r:id="rId6" xr:uid="{00000000-0004-0000-0000-000005000000}"/>
    <hyperlink ref="X17" r:id="rId7" xr:uid="{00000000-0004-0000-0000-000006000000}"/>
    <hyperlink ref="H21" r:id="rId8" xr:uid="{00000000-0004-0000-0000-000007000000}"/>
    <hyperlink ref="H27" r:id="rId9" xr:uid="{00000000-0004-0000-0000-000008000000}"/>
    <hyperlink ref="H31" r:id="rId10" xr:uid="{00000000-0004-0000-0000-000009000000}"/>
    <hyperlink ref="H32" r:id="rId11" xr:uid="{00000000-0004-0000-0000-00000A000000}"/>
    <hyperlink ref="H34" r:id="rId12" xr:uid="{00000000-0004-0000-0000-00000B000000}"/>
    <hyperlink ref="H36" r:id="rId13" xr:uid="{00000000-0004-0000-0000-00000C000000}"/>
    <hyperlink ref="H41" r:id="rId14" xr:uid="{00000000-0004-0000-0000-00000D000000}"/>
    <hyperlink ref="H42" r:id="rId15" xr:uid="{00000000-0004-0000-0000-00000E000000}"/>
    <hyperlink ref="H43" r:id="rId16" xr:uid="{00000000-0004-0000-0000-00000F000000}"/>
    <hyperlink ref="H44" r:id="rId17" xr:uid="{00000000-0004-0000-0000-000010000000}"/>
    <hyperlink ref="H45" r:id="rId18" xr:uid="{00000000-0004-0000-0000-000011000000}"/>
    <hyperlink ref="H46" r:id="rId19" xr:uid="{00000000-0004-0000-0000-000012000000}"/>
    <hyperlink ref="H47" r:id="rId20" xr:uid="{00000000-0004-0000-0000-000013000000}"/>
    <hyperlink ref="H48" r:id="rId21" xr:uid="{00000000-0004-0000-0000-000014000000}"/>
    <hyperlink ref="H49" r:id="rId22" xr:uid="{00000000-0004-0000-0000-000015000000}"/>
    <hyperlink ref="X49" r:id="rId23" xr:uid="{00000000-0004-0000-0000-000016000000}"/>
    <hyperlink ref="H51" r:id="rId24" xr:uid="{00000000-0004-0000-0000-000017000000}"/>
    <hyperlink ref="H52" r:id="rId25" xr:uid="{00000000-0004-0000-0000-000018000000}"/>
    <hyperlink ref="H54" r:id="rId26" xr:uid="{00000000-0004-0000-0000-000019000000}"/>
    <hyperlink ref="H55" r:id="rId27" xr:uid="{00000000-0004-0000-0000-00001A000000}"/>
    <hyperlink ref="H56" r:id="rId28" xr:uid="{00000000-0004-0000-0000-00001B000000}"/>
    <hyperlink ref="H63" r:id="rId29" xr:uid="{00000000-0004-0000-0000-00001C000000}"/>
    <hyperlink ref="H64" r:id="rId30" xr:uid="{00000000-0004-0000-0000-00001D000000}"/>
    <hyperlink ref="H66" r:id="rId31" xr:uid="{00000000-0004-0000-0000-00001E000000}"/>
    <hyperlink ref="H67" r:id="rId32" xr:uid="{00000000-0004-0000-0000-00001F000000}"/>
    <hyperlink ref="H68" r:id="rId33" xr:uid="{00000000-0004-0000-0000-000020000000}"/>
    <hyperlink ref="H69" r:id="rId34" xr:uid="{00000000-0004-0000-0000-000021000000}"/>
    <hyperlink ref="H70" r:id="rId35" xr:uid="{00000000-0004-0000-0000-000022000000}"/>
    <hyperlink ref="H72" r:id="rId36" xr:uid="{00000000-0004-0000-0000-000023000000}"/>
    <hyperlink ref="H73" r:id="rId37" xr:uid="{00000000-0004-0000-0000-000024000000}"/>
    <hyperlink ref="H74" r:id="rId38" xr:uid="{00000000-0004-0000-0000-000025000000}"/>
    <hyperlink ref="H75" r:id="rId39" xr:uid="{00000000-0004-0000-0000-000026000000}"/>
    <hyperlink ref="H76" r:id="rId40" xr:uid="{00000000-0004-0000-0000-000027000000}"/>
    <hyperlink ref="H77" r:id="rId41" xr:uid="{00000000-0004-0000-0000-000028000000}"/>
    <hyperlink ref="H78" r:id="rId42" xr:uid="{00000000-0004-0000-0000-000029000000}"/>
    <hyperlink ref="X78" r:id="rId43" xr:uid="{00000000-0004-0000-0000-00002A000000}"/>
    <hyperlink ref="H80" r:id="rId44" xr:uid="{00000000-0004-0000-0000-00002B000000}"/>
    <hyperlink ref="H81" r:id="rId45" xr:uid="{00000000-0004-0000-0000-00002C000000}"/>
    <hyperlink ref="H83" r:id="rId46" xr:uid="{00000000-0004-0000-0000-00002D000000}"/>
    <hyperlink ref="H84" r:id="rId47" xr:uid="{00000000-0004-0000-0000-00002E000000}"/>
    <hyperlink ref="H85" r:id="rId48" xr:uid="{00000000-0004-0000-0000-00002F000000}"/>
    <hyperlink ref="H86" r:id="rId49" xr:uid="{00000000-0004-0000-0000-000030000000}"/>
    <hyperlink ref="X87" r:id="rId50" xr:uid="{00000000-0004-0000-0000-000031000000}"/>
    <hyperlink ref="H88" r:id="rId51" xr:uid="{00000000-0004-0000-0000-000032000000}"/>
    <hyperlink ref="X88" r:id="rId52" xr:uid="{00000000-0004-0000-0000-000033000000}"/>
    <hyperlink ref="Y90" r:id="rId53" xr:uid="{00000000-0004-0000-0000-000034000000}"/>
    <hyperlink ref="H91" r:id="rId54" xr:uid="{00000000-0004-0000-0000-000035000000}"/>
    <hyperlink ref="H92" r:id="rId55" xr:uid="{00000000-0004-0000-0000-000036000000}"/>
    <hyperlink ref="X92" r:id="rId56" xr:uid="{00000000-0004-0000-0000-000037000000}"/>
    <hyperlink ref="Y92" r:id="rId57" xr:uid="{00000000-0004-0000-0000-000038000000}"/>
    <hyperlink ref="H95" r:id="rId58" xr:uid="{00000000-0004-0000-0000-000039000000}"/>
    <hyperlink ref="H97" r:id="rId59" xr:uid="{00000000-0004-0000-0000-00003A000000}"/>
    <hyperlink ref="H98" r:id="rId60" xr:uid="{00000000-0004-0000-0000-00003B000000}"/>
    <hyperlink ref="H101" r:id="rId61" xr:uid="{00000000-0004-0000-0000-00003C000000}"/>
    <hyperlink ref="H102" r:id="rId62" xr:uid="{00000000-0004-0000-0000-00003D000000}"/>
    <hyperlink ref="H103" r:id="rId63" xr:uid="{00000000-0004-0000-0000-00003E000000}"/>
    <hyperlink ref="X103" r:id="rId64" xr:uid="{00000000-0004-0000-0000-00003F000000}"/>
    <hyperlink ref="H106" r:id="rId65" xr:uid="{00000000-0004-0000-0000-000040000000}"/>
    <hyperlink ref="X106" r:id="rId66" xr:uid="{00000000-0004-0000-0000-000041000000}"/>
    <hyperlink ref="H107" r:id="rId67" xr:uid="{00000000-0004-0000-0000-000042000000}"/>
    <hyperlink ref="H108" r:id="rId68" xr:uid="{00000000-0004-0000-0000-000043000000}"/>
    <hyperlink ref="H109" r:id="rId69" xr:uid="{00000000-0004-0000-0000-000044000000}"/>
    <hyperlink ref="H111" r:id="rId70" xr:uid="{00000000-0004-0000-0000-000045000000}"/>
    <hyperlink ref="H112" r:id="rId71" xr:uid="{00000000-0004-0000-0000-000046000000}"/>
    <hyperlink ref="H113" r:id="rId72" xr:uid="{00000000-0004-0000-0000-000047000000}"/>
    <hyperlink ref="H114" r:id="rId73" xr:uid="{00000000-0004-0000-0000-000048000000}"/>
    <hyperlink ref="H115" r:id="rId74" xr:uid="{00000000-0004-0000-0000-000049000000}"/>
    <hyperlink ref="X115" r:id="rId75" xr:uid="{00000000-0004-0000-0000-00004A000000}"/>
    <hyperlink ref="Y115" r:id="rId76" xr:uid="{00000000-0004-0000-0000-00004B000000}"/>
    <hyperlink ref="H118" r:id="rId77" xr:uid="{00000000-0004-0000-0000-00004C000000}"/>
    <hyperlink ref="H120" r:id="rId78" xr:uid="{00000000-0004-0000-0000-00004D000000}"/>
    <hyperlink ref="H125" r:id="rId79" xr:uid="{00000000-0004-0000-0000-00004E000000}"/>
    <hyperlink ref="H127" r:id="rId80" xr:uid="{00000000-0004-0000-0000-00004F000000}"/>
    <hyperlink ref="Y133" r:id="rId81" xr:uid="{00000000-0004-0000-0000-000050000000}"/>
    <hyperlink ref="Y136" r:id="rId82" xr:uid="{00000000-0004-0000-0000-000051000000}"/>
    <hyperlink ref="H142" r:id="rId83" xr:uid="{00000000-0004-0000-0000-000052000000}"/>
    <hyperlink ref="H154" r:id="rId84" xr:uid="{00000000-0004-0000-0000-000053000000}"/>
    <hyperlink ref="H159" r:id="rId85" xr:uid="{00000000-0004-0000-0000-000054000000}"/>
    <hyperlink ref="H160" r:id="rId86" xr:uid="{00000000-0004-0000-0000-000055000000}"/>
    <hyperlink ref="H162" r:id="rId87" xr:uid="{00000000-0004-0000-0000-000056000000}"/>
    <hyperlink ref="H164" r:id="rId88" xr:uid="{00000000-0004-0000-0000-000057000000}"/>
    <hyperlink ref="H166" r:id="rId89" xr:uid="{00000000-0004-0000-0000-000058000000}"/>
    <hyperlink ref="X166" r:id="rId90" xr:uid="{00000000-0004-0000-0000-000059000000}"/>
    <hyperlink ref="H167" r:id="rId91" xr:uid="{00000000-0004-0000-0000-00005A000000}"/>
    <hyperlink ref="X167" r:id="rId92" xr:uid="{00000000-0004-0000-0000-00005B000000}"/>
    <hyperlink ref="H169" r:id="rId93" xr:uid="{00000000-0004-0000-0000-00005C000000}"/>
    <hyperlink ref="X169" r:id="rId94" xr:uid="{00000000-0004-0000-0000-00005D000000}"/>
    <hyperlink ref="H170" r:id="rId95" xr:uid="{00000000-0004-0000-0000-00005E000000}"/>
    <hyperlink ref="X170" r:id="rId96" xr:uid="{00000000-0004-0000-0000-00005F000000}"/>
    <hyperlink ref="H171" r:id="rId97" xr:uid="{00000000-0004-0000-0000-000060000000}"/>
    <hyperlink ref="H172" r:id="rId98" xr:uid="{00000000-0004-0000-0000-000061000000}"/>
    <hyperlink ref="X172" r:id="rId99" xr:uid="{00000000-0004-0000-0000-000062000000}"/>
    <hyperlink ref="H173" r:id="rId100" xr:uid="{00000000-0004-0000-0000-000063000000}"/>
    <hyperlink ref="X173" r:id="rId101" xr:uid="{00000000-0004-0000-0000-000064000000}"/>
    <hyperlink ref="H174" r:id="rId102" xr:uid="{00000000-0004-0000-0000-000065000000}"/>
    <hyperlink ref="X174" r:id="rId103" xr:uid="{00000000-0004-0000-0000-000066000000}"/>
    <hyperlink ref="H175" r:id="rId104" xr:uid="{00000000-0004-0000-0000-000067000000}"/>
    <hyperlink ref="X175" r:id="rId105" xr:uid="{00000000-0004-0000-0000-000068000000}"/>
    <hyperlink ref="H176" r:id="rId106" xr:uid="{00000000-0004-0000-0000-000069000000}"/>
    <hyperlink ref="H177" r:id="rId107" xr:uid="{00000000-0004-0000-0000-00006A000000}"/>
    <hyperlink ref="X177" r:id="rId108" xr:uid="{00000000-0004-0000-0000-00006B000000}"/>
    <hyperlink ref="H178" r:id="rId109" xr:uid="{00000000-0004-0000-0000-00006C000000}"/>
    <hyperlink ref="X178" r:id="rId110" xr:uid="{00000000-0004-0000-0000-00006D000000}"/>
    <hyperlink ref="H181" r:id="rId111" xr:uid="{00000000-0004-0000-0000-00006E000000}"/>
    <hyperlink ref="X181" r:id="rId112" xr:uid="{00000000-0004-0000-0000-00006F000000}"/>
    <hyperlink ref="H183" r:id="rId113" xr:uid="{00000000-0004-0000-0000-000070000000}"/>
    <hyperlink ref="X183" r:id="rId114" xr:uid="{00000000-0004-0000-0000-000071000000}"/>
    <hyperlink ref="H185" r:id="rId115" xr:uid="{00000000-0004-0000-0000-000072000000}"/>
    <hyperlink ref="X185" r:id="rId116" xr:uid="{00000000-0004-0000-0000-000073000000}"/>
    <hyperlink ref="H187" r:id="rId117" xr:uid="{00000000-0004-0000-0000-000074000000}"/>
    <hyperlink ref="H190" r:id="rId118" xr:uid="{00000000-0004-0000-0000-000075000000}"/>
    <hyperlink ref="X192" r:id="rId119" xr:uid="{00000000-0004-0000-0000-000076000000}"/>
    <hyperlink ref="H194" r:id="rId120" xr:uid="{00000000-0004-0000-0000-000077000000}"/>
    <hyperlink ref="H197" r:id="rId121" xr:uid="{00000000-0004-0000-0000-000078000000}"/>
    <hyperlink ref="H198" r:id="rId122" xr:uid="{00000000-0004-0000-0000-000079000000}"/>
    <hyperlink ref="X198" r:id="rId123" xr:uid="{00000000-0004-0000-0000-00007A000000}"/>
    <hyperlink ref="H199" r:id="rId124" xr:uid="{00000000-0004-0000-0000-00007B000000}"/>
    <hyperlink ref="H200" r:id="rId125" xr:uid="{00000000-0004-0000-0000-00007C000000}"/>
    <hyperlink ref="H201" r:id="rId126" xr:uid="{00000000-0004-0000-0000-00007D000000}"/>
    <hyperlink ref="X201" r:id="rId127" xr:uid="{00000000-0004-0000-0000-00007E000000}"/>
    <hyperlink ref="H202" r:id="rId128" xr:uid="{00000000-0004-0000-0000-00007F000000}"/>
    <hyperlink ref="H204" r:id="rId129" xr:uid="{00000000-0004-0000-0000-000080000000}"/>
    <hyperlink ref="X204" r:id="rId130" xr:uid="{00000000-0004-0000-0000-000081000000}"/>
    <hyperlink ref="H205" r:id="rId131" xr:uid="{00000000-0004-0000-0000-000082000000}"/>
    <hyperlink ref="X205" r:id="rId132" xr:uid="{00000000-0004-0000-0000-000083000000}"/>
    <hyperlink ref="H207" r:id="rId133" xr:uid="{00000000-0004-0000-0000-000084000000}"/>
    <hyperlink ref="H213" r:id="rId134" xr:uid="{00000000-0004-0000-0000-000085000000}"/>
    <hyperlink ref="X216" r:id="rId135" xr:uid="{00000000-0004-0000-0000-000086000000}"/>
    <hyperlink ref="H222" r:id="rId136" xr:uid="{00000000-0004-0000-0000-000087000000}"/>
    <hyperlink ref="H233" r:id="rId137" xr:uid="{00000000-0004-0000-0000-000088000000}"/>
    <hyperlink ref="X233" r:id="rId138" xr:uid="{00000000-0004-0000-0000-000089000000}"/>
    <hyperlink ref="H235" r:id="rId139" xr:uid="{00000000-0004-0000-0000-00008A000000}"/>
    <hyperlink ref="H236" r:id="rId140" xr:uid="{00000000-0004-0000-0000-00008B000000}"/>
    <hyperlink ref="H237" r:id="rId141" xr:uid="{00000000-0004-0000-0000-00008C000000}"/>
    <hyperlink ref="H238" r:id="rId142" xr:uid="{00000000-0004-0000-0000-00008D000000}"/>
    <hyperlink ref="H240" r:id="rId143" xr:uid="{00000000-0004-0000-0000-00008E000000}"/>
    <hyperlink ref="H247" r:id="rId144" xr:uid="{00000000-0004-0000-0000-00008F000000}"/>
    <hyperlink ref="H251" r:id="rId145" xr:uid="{00000000-0004-0000-0000-000090000000}"/>
    <hyperlink ref="H254" r:id="rId146" xr:uid="{00000000-0004-0000-0000-000091000000}"/>
    <hyperlink ref="H256" r:id="rId147" xr:uid="{00000000-0004-0000-0000-000092000000}"/>
    <hyperlink ref="H257" r:id="rId148" xr:uid="{00000000-0004-0000-0000-000093000000}"/>
    <hyperlink ref="X257" r:id="rId149" xr:uid="{00000000-0004-0000-0000-000094000000}"/>
    <hyperlink ref="H258" r:id="rId150" xr:uid="{00000000-0004-0000-0000-000095000000}"/>
    <hyperlink ref="H259" r:id="rId151" xr:uid="{00000000-0004-0000-0000-000096000000}"/>
    <hyperlink ref="H262" r:id="rId152" xr:uid="{00000000-0004-0000-0000-000097000000}"/>
    <hyperlink ref="X274" r:id="rId153" xr:uid="{00000000-0004-0000-0000-000098000000}"/>
    <hyperlink ref="H286" r:id="rId154" xr:uid="{00000000-0004-0000-0000-000099000000}"/>
    <hyperlink ref="H289" r:id="rId155" xr:uid="{00000000-0004-0000-0000-00009A000000}"/>
    <hyperlink ref="X289" r:id="rId156" xr:uid="{00000000-0004-0000-0000-00009B000000}"/>
    <hyperlink ref="H296" r:id="rId157" xr:uid="{00000000-0004-0000-0000-00009C000000}"/>
    <hyperlink ref="X296" r:id="rId158" xr:uid="{00000000-0004-0000-0000-00009D000000}"/>
    <hyperlink ref="H297" r:id="rId159" xr:uid="{00000000-0004-0000-0000-00009E000000}"/>
    <hyperlink ref="H305" r:id="rId160" xr:uid="{00000000-0004-0000-0000-00009F000000}"/>
    <hyperlink ref="Y305" r:id="rId161" xr:uid="{00000000-0004-0000-0000-0000A0000000}"/>
    <hyperlink ref="H306" r:id="rId162" xr:uid="{00000000-0004-0000-0000-0000A1000000}"/>
    <hyperlink ref="Y306" r:id="rId163" xr:uid="{00000000-0004-0000-0000-0000A2000000}"/>
    <hyperlink ref="H308" r:id="rId164" xr:uid="{00000000-0004-0000-0000-0000A3000000}"/>
    <hyperlink ref="Y309" r:id="rId165" xr:uid="{00000000-0004-0000-0000-0000A4000000}"/>
    <hyperlink ref="H316" r:id="rId166" xr:uid="{00000000-0004-0000-0000-0000A5000000}"/>
    <hyperlink ref="H317" r:id="rId167" xr:uid="{00000000-0004-0000-0000-0000A6000000}"/>
    <hyperlink ref="H318" r:id="rId168" xr:uid="{00000000-0004-0000-0000-0000A7000000}"/>
    <hyperlink ref="X318" r:id="rId169" xr:uid="{00000000-0004-0000-0000-0000A8000000}"/>
    <hyperlink ref="H319" r:id="rId170" xr:uid="{00000000-0004-0000-0000-0000A9000000}"/>
    <hyperlink ref="H320" r:id="rId171" xr:uid="{00000000-0004-0000-0000-0000AA000000}"/>
    <hyperlink ref="H321" r:id="rId172" xr:uid="{00000000-0004-0000-0000-0000AB000000}"/>
    <hyperlink ref="X321" r:id="rId173" xr:uid="{00000000-0004-0000-0000-0000AC000000}"/>
    <hyperlink ref="H322" r:id="rId174" xr:uid="{00000000-0004-0000-0000-0000AD000000}"/>
    <hyperlink ref="H323" r:id="rId175" xr:uid="{00000000-0004-0000-0000-0000AE000000}"/>
    <hyperlink ref="X323" r:id="rId176" xr:uid="{00000000-0004-0000-0000-0000AF000000}"/>
    <hyperlink ref="H324" r:id="rId177" xr:uid="{00000000-0004-0000-0000-0000B0000000}"/>
    <hyperlink ref="X324" r:id="rId178" xr:uid="{00000000-0004-0000-0000-0000B1000000}"/>
    <hyperlink ref="H325" r:id="rId179" xr:uid="{00000000-0004-0000-0000-0000B2000000}"/>
    <hyperlink ref="H326" r:id="rId180" xr:uid="{00000000-0004-0000-0000-0000B3000000}"/>
    <hyperlink ref="H327" r:id="rId181" xr:uid="{00000000-0004-0000-0000-0000B4000000}"/>
    <hyperlink ref="H328" r:id="rId182" xr:uid="{00000000-0004-0000-0000-0000B5000000}"/>
    <hyperlink ref="H334" r:id="rId183" xr:uid="{00000000-0004-0000-0000-0000B6000000}"/>
    <hyperlink ref="H337" r:id="rId184" xr:uid="{00000000-0004-0000-0000-0000B7000000}"/>
    <hyperlink ref="H340" r:id="rId185" xr:uid="{00000000-0004-0000-0000-0000B8000000}"/>
    <hyperlink ref="H341" r:id="rId186" xr:uid="{00000000-0004-0000-0000-0000B9000000}"/>
    <hyperlink ref="H342" r:id="rId187" xr:uid="{00000000-0004-0000-0000-0000BA000000}"/>
    <hyperlink ref="H343" r:id="rId188" xr:uid="{00000000-0004-0000-0000-0000BB000000}"/>
    <hyperlink ref="X343" r:id="rId189" xr:uid="{00000000-0004-0000-0000-0000BC000000}"/>
    <hyperlink ref="H344" r:id="rId190" xr:uid="{00000000-0004-0000-0000-0000BD000000}"/>
    <hyperlink ref="H345" r:id="rId191" xr:uid="{00000000-0004-0000-0000-0000BE000000}"/>
    <hyperlink ref="X345" r:id="rId192" xr:uid="{00000000-0004-0000-0000-0000BF000000}"/>
    <hyperlink ref="H346" r:id="rId193" xr:uid="{00000000-0004-0000-0000-0000C0000000}"/>
    <hyperlink ref="H348" r:id="rId194" xr:uid="{00000000-0004-0000-0000-0000C1000000}"/>
    <hyperlink ref="H354" r:id="rId195" xr:uid="{00000000-0004-0000-0000-0000C2000000}"/>
    <hyperlink ref="H356" r:id="rId196" xr:uid="{00000000-0004-0000-0000-0000C3000000}"/>
    <hyperlink ref="H358" r:id="rId197" xr:uid="{00000000-0004-0000-0000-0000C4000000}"/>
    <hyperlink ref="H364" r:id="rId198" xr:uid="{00000000-0004-0000-0000-0000C5000000}"/>
    <hyperlink ref="H365" r:id="rId199" xr:uid="{00000000-0004-0000-0000-0000C6000000}"/>
    <hyperlink ref="H371" r:id="rId200" xr:uid="{00000000-0004-0000-0000-0000C7000000}"/>
    <hyperlink ref="H376" r:id="rId201" xr:uid="{00000000-0004-0000-0000-0000C8000000}"/>
    <hyperlink ref="X377" r:id="rId202" xr:uid="{00000000-0004-0000-0000-0000C9000000}"/>
    <hyperlink ref="Y386" r:id="rId203" xr:uid="{00000000-0004-0000-0000-0000CA000000}"/>
    <hyperlink ref="H396" r:id="rId204" xr:uid="{00000000-0004-0000-0000-0000CB000000}"/>
    <hyperlink ref="X410" r:id="rId205" xr:uid="{00000000-0004-0000-0000-0000CC000000}"/>
    <hyperlink ref="H429" r:id="rId206" xr:uid="{00000000-0004-0000-0000-0000CD000000}"/>
    <hyperlink ref="X429" r:id="rId207" xr:uid="{00000000-0004-0000-0000-0000CE000000}"/>
    <hyperlink ref="H430" r:id="rId208" xr:uid="{00000000-0004-0000-0000-0000CF000000}"/>
    <hyperlink ref="Y430" r:id="rId209" xr:uid="{00000000-0004-0000-0000-0000D0000000}"/>
    <hyperlink ref="H432" r:id="rId210" xr:uid="{00000000-0004-0000-0000-0000D1000000}"/>
    <hyperlink ref="H433" r:id="rId211" xr:uid="{00000000-0004-0000-0000-0000D2000000}"/>
    <hyperlink ref="H434" r:id="rId212" xr:uid="{00000000-0004-0000-0000-0000D3000000}"/>
    <hyperlink ref="H435" r:id="rId213" xr:uid="{00000000-0004-0000-0000-0000D4000000}"/>
    <hyperlink ref="H436" r:id="rId214" xr:uid="{00000000-0004-0000-0000-0000D5000000}"/>
    <hyperlink ref="H437" r:id="rId215" xr:uid="{00000000-0004-0000-0000-0000D6000000}"/>
    <hyperlink ref="H438" r:id="rId216" xr:uid="{00000000-0004-0000-0000-0000D7000000}"/>
    <hyperlink ref="H439" r:id="rId217" xr:uid="{00000000-0004-0000-0000-0000D8000000}"/>
    <hyperlink ref="H440" r:id="rId218" xr:uid="{00000000-0004-0000-0000-0000D9000000}"/>
    <hyperlink ref="H441" r:id="rId219" xr:uid="{00000000-0004-0000-0000-0000DA000000}"/>
    <hyperlink ref="H442" r:id="rId220" xr:uid="{00000000-0004-0000-0000-0000DB000000}"/>
    <hyperlink ref="H444" r:id="rId221" xr:uid="{00000000-0004-0000-0000-0000DC000000}"/>
    <hyperlink ref="H450" r:id="rId222" xr:uid="{00000000-0004-0000-0000-0000DD000000}"/>
    <hyperlink ref="H451" r:id="rId223" xr:uid="{00000000-0004-0000-0000-0000DE000000}"/>
    <hyperlink ref="H452" r:id="rId224" xr:uid="{00000000-0004-0000-0000-0000DF000000}"/>
    <hyperlink ref="H454" r:id="rId225" xr:uid="{00000000-0004-0000-0000-0000E0000000}"/>
    <hyperlink ref="X454" r:id="rId226" xr:uid="{00000000-0004-0000-0000-0000E1000000}"/>
    <hyperlink ref="H455" r:id="rId227" xr:uid="{00000000-0004-0000-0000-0000E2000000}"/>
    <hyperlink ref="H456" r:id="rId228" xr:uid="{00000000-0004-0000-0000-0000E3000000}"/>
    <hyperlink ref="H457" r:id="rId229" xr:uid="{00000000-0004-0000-0000-0000E4000000}"/>
    <hyperlink ref="X457" r:id="rId230" xr:uid="{00000000-0004-0000-0000-0000E5000000}"/>
    <hyperlink ref="H458" r:id="rId231" xr:uid="{00000000-0004-0000-0000-0000E6000000}"/>
    <hyperlink ref="X458" r:id="rId232" xr:uid="{00000000-0004-0000-0000-0000E7000000}"/>
    <hyperlink ref="H459" r:id="rId233" xr:uid="{00000000-0004-0000-0000-0000E8000000}"/>
    <hyperlink ref="H460" r:id="rId234" xr:uid="{00000000-0004-0000-0000-0000E9000000}"/>
    <hyperlink ref="H461" r:id="rId235" xr:uid="{00000000-0004-0000-0000-0000EA000000}"/>
    <hyperlink ref="X463" r:id="rId236" xr:uid="{00000000-0004-0000-0000-0000EB000000}"/>
    <hyperlink ref="H464" r:id="rId237" xr:uid="{00000000-0004-0000-0000-0000EC000000}"/>
    <hyperlink ref="H465" r:id="rId238" xr:uid="{00000000-0004-0000-0000-0000ED000000}"/>
    <hyperlink ref="H466" r:id="rId239" xr:uid="{00000000-0004-0000-0000-0000EE000000}"/>
    <hyperlink ref="H467" r:id="rId240" xr:uid="{00000000-0004-0000-0000-0000EF000000}"/>
    <hyperlink ref="H468" r:id="rId241" xr:uid="{00000000-0004-0000-0000-0000F0000000}"/>
    <hyperlink ref="H469" r:id="rId242" xr:uid="{00000000-0004-0000-0000-0000F1000000}"/>
    <hyperlink ref="H473" r:id="rId243" xr:uid="{00000000-0004-0000-0000-0000F2000000}"/>
    <hyperlink ref="X473" r:id="rId244" xr:uid="{00000000-0004-0000-0000-0000F3000000}"/>
    <hyperlink ref="H474" r:id="rId245" xr:uid="{00000000-0004-0000-0000-0000F4000000}"/>
    <hyperlink ref="X474" r:id="rId246" xr:uid="{00000000-0004-0000-0000-0000F5000000}"/>
    <hyperlink ref="H475" r:id="rId247" xr:uid="{00000000-0004-0000-0000-0000F6000000}"/>
    <hyperlink ref="H477" r:id="rId248" xr:uid="{00000000-0004-0000-0000-0000F7000000}"/>
    <hyperlink ref="H478" r:id="rId249" xr:uid="{00000000-0004-0000-0000-0000F8000000}"/>
    <hyperlink ref="X478" r:id="rId250" location="sobre" xr:uid="{00000000-0004-0000-0000-0000F9000000}"/>
    <hyperlink ref="H479" r:id="rId251" xr:uid="{00000000-0004-0000-0000-0000FA000000}"/>
    <hyperlink ref="X479" r:id="rId252" xr:uid="{00000000-0004-0000-0000-0000FB000000}"/>
    <hyperlink ref="H480" r:id="rId253" xr:uid="{00000000-0004-0000-0000-0000FC000000}"/>
    <hyperlink ref="H481" r:id="rId254" xr:uid="{00000000-0004-0000-0000-0000FD000000}"/>
    <hyperlink ref="H488" r:id="rId255" xr:uid="{00000000-0004-0000-0000-0000FE000000}"/>
    <hyperlink ref="X488" r:id="rId256" xr:uid="{00000000-0004-0000-0000-0000FF000000}"/>
    <hyperlink ref="H490" r:id="rId257" xr:uid="{00000000-0004-0000-0000-000000010000}"/>
    <hyperlink ref="H491" r:id="rId258" xr:uid="{00000000-0004-0000-0000-000001010000}"/>
    <hyperlink ref="H492" r:id="rId259" xr:uid="{00000000-0004-0000-0000-000002010000}"/>
    <hyperlink ref="H493" r:id="rId260" xr:uid="{00000000-0004-0000-0000-000003010000}"/>
    <hyperlink ref="H494" r:id="rId261" xr:uid="{00000000-0004-0000-0000-000004010000}"/>
    <hyperlink ref="H495" r:id="rId262" xr:uid="{00000000-0004-0000-0000-000005010000}"/>
    <hyperlink ref="H496" r:id="rId263" xr:uid="{00000000-0004-0000-0000-000006010000}"/>
    <hyperlink ref="H498" r:id="rId264" xr:uid="{00000000-0004-0000-0000-000007010000}"/>
    <hyperlink ref="H500" r:id="rId265" xr:uid="{00000000-0004-0000-0000-000008010000}"/>
    <hyperlink ref="H501" r:id="rId266" xr:uid="{00000000-0004-0000-0000-000009010000}"/>
    <hyperlink ref="H502" r:id="rId267" xr:uid="{00000000-0004-0000-0000-00000A010000}"/>
    <hyperlink ref="H503" r:id="rId268" xr:uid="{00000000-0004-0000-0000-00000B010000}"/>
    <hyperlink ref="H505" r:id="rId269" xr:uid="{00000000-0004-0000-0000-00000C010000}"/>
    <hyperlink ref="Y506" r:id="rId270" xr:uid="{00000000-0004-0000-0000-00000D010000}"/>
    <hyperlink ref="H507" r:id="rId271" xr:uid="{00000000-0004-0000-0000-00000E010000}"/>
    <hyperlink ref="H508" r:id="rId272" xr:uid="{00000000-0004-0000-0000-00000F010000}"/>
    <hyperlink ref="H511" r:id="rId273" xr:uid="{00000000-0004-0000-0000-000010010000}"/>
    <hyperlink ref="H512" r:id="rId274" xr:uid="{00000000-0004-0000-0000-000011010000}"/>
    <hyperlink ref="H513" r:id="rId275" xr:uid="{00000000-0004-0000-0000-000012010000}"/>
    <hyperlink ref="H514" r:id="rId276" xr:uid="{00000000-0004-0000-0000-000013010000}"/>
    <hyperlink ref="X514" r:id="rId277" xr:uid="{00000000-0004-0000-0000-000014010000}"/>
    <hyperlink ref="H515" r:id="rId278" xr:uid="{00000000-0004-0000-0000-000015010000}"/>
    <hyperlink ref="X515" r:id="rId279" xr:uid="{00000000-0004-0000-0000-000016010000}"/>
    <hyperlink ref="H516" r:id="rId280" xr:uid="{00000000-0004-0000-0000-000017010000}"/>
    <hyperlink ref="X516" r:id="rId281" xr:uid="{00000000-0004-0000-0000-000018010000}"/>
    <hyperlink ref="H517" r:id="rId282" xr:uid="{00000000-0004-0000-0000-000019010000}"/>
    <hyperlink ref="X517" r:id="rId283" xr:uid="{00000000-0004-0000-0000-00001A010000}"/>
    <hyperlink ref="H518" r:id="rId284" xr:uid="{00000000-0004-0000-0000-00001B010000}"/>
    <hyperlink ref="H519" r:id="rId285" xr:uid="{00000000-0004-0000-0000-00001C010000}"/>
    <hyperlink ref="H520" r:id="rId286" xr:uid="{00000000-0004-0000-0000-00001D010000}"/>
    <hyperlink ref="Y520" r:id="rId287" xr:uid="{00000000-0004-0000-0000-00001E010000}"/>
    <hyperlink ref="X521" r:id="rId288" xr:uid="{00000000-0004-0000-0000-00001F010000}"/>
    <hyperlink ref="H522" r:id="rId289" xr:uid="{00000000-0004-0000-0000-000020010000}"/>
    <hyperlink ref="X522" r:id="rId290" xr:uid="{00000000-0004-0000-0000-000021010000}"/>
    <hyperlink ref="H526" r:id="rId291" xr:uid="{00000000-0004-0000-0000-000022010000}"/>
    <hyperlink ref="W526" r:id="rId292" xr:uid="{00000000-0004-0000-0000-000023010000}"/>
    <hyperlink ref="X526" r:id="rId293" xr:uid="{00000000-0004-0000-0000-000024010000}"/>
    <hyperlink ref="Y526" r:id="rId294" xr:uid="{00000000-0004-0000-0000-000025010000}"/>
    <hyperlink ref="H527" r:id="rId295" xr:uid="{00000000-0004-0000-0000-000026010000}"/>
    <hyperlink ref="W527" r:id="rId296" xr:uid="{00000000-0004-0000-0000-000027010000}"/>
    <hyperlink ref="X527" r:id="rId297" xr:uid="{00000000-0004-0000-0000-000028010000}"/>
    <hyperlink ref="Y527" r:id="rId298" xr:uid="{00000000-0004-0000-0000-000029010000}"/>
    <hyperlink ref="X528" r:id="rId299" xr:uid="{00000000-0004-0000-0000-00002A010000}"/>
    <hyperlink ref="Y528" r:id="rId300" xr:uid="{00000000-0004-0000-0000-00002B010000}"/>
    <hyperlink ref="H531" r:id="rId301" xr:uid="{00000000-0004-0000-0000-00002C010000}"/>
    <hyperlink ref="X531" r:id="rId302" xr:uid="{00000000-0004-0000-0000-00002D010000}"/>
    <hyperlink ref="H532" r:id="rId303" xr:uid="{00000000-0004-0000-0000-00002E010000}"/>
    <hyperlink ref="X532" r:id="rId304" xr:uid="{00000000-0004-0000-0000-00002F010000}"/>
    <hyperlink ref="H533" r:id="rId305" xr:uid="{00000000-0004-0000-0000-000030010000}"/>
    <hyperlink ref="X533" r:id="rId306" xr:uid="{00000000-0004-0000-0000-000031010000}"/>
    <hyperlink ref="H534" r:id="rId307" xr:uid="{00000000-0004-0000-0000-000032010000}"/>
    <hyperlink ref="X534" r:id="rId308" xr:uid="{00000000-0004-0000-0000-000033010000}"/>
    <hyperlink ref="H536" r:id="rId309" xr:uid="{00000000-0004-0000-0000-000034010000}"/>
    <hyperlink ref="H537" r:id="rId310" xr:uid="{00000000-0004-0000-0000-000035010000}"/>
    <hyperlink ref="X537" r:id="rId311" xr:uid="{00000000-0004-0000-0000-000036010000}"/>
    <hyperlink ref="H538" r:id="rId312" xr:uid="{00000000-0004-0000-0000-000037010000}"/>
    <hyperlink ref="X538" r:id="rId313" xr:uid="{00000000-0004-0000-0000-000038010000}"/>
    <hyperlink ref="H540" r:id="rId314" xr:uid="{00000000-0004-0000-0000-000039010000}"/>
    <hyperlink ref="X540" r:id="rId315" xr:uid="{00000000-0004-0000-0000-00003A010000}"/>
    <hyperlink ref="Y543" r:id="rId316" xr:uid="{00000000-0004-0000-0000-00003B010000}"/>
    <hyperlink ref="H545" r:id="rId317" xr:uid="{00000000-0004-0000-0000-00003C010000}"/>
    <hyperlink ref="H547" r:id="rId318" xr:uid="{00000000-0004-0000-0000-00003D010000}"/>
    <hyperlink ref="H548" r:id="rId319" xr:uid="{00000000-0004-0000-0000-00003E010000}"/>
    <hyperlink ref="X548" r:id="rId320" xr:uid="{00000000-0004-0000-0000-00003F010000}"/>
    <hyperlink ref="H549" r:id="rId321" xr:uid="{00000000-0004-0000-0000-000040010000}"/>
    <hyperlink ref="H550" r:id="rId322" xr:uid="{00000000-0004-0000-0000-000041010000}"/>
    <hyperlink ref="H551" r:id="rId323" xr:uid="{00000000-0004-0000-0000-000042010000}"/>
    <hyperlink ref="X551" r:id="rId324" xr:uid="{00000000-0004-0000-0000-000043010000}"/>
    <hyperlink ref="H552" r:id="rId325" xr:uid="{00000000-0004-0000-0000-000044010000}"/>
    <hyperlink ref="H553" r:id="rId326" xr:uid="{00000000-0004-0000-0000-000045010000}"/>
    <hyperlink ref="H554" r:id="rId327" xr:uid="{00000000-0004-0000-0000-000046010000}"/>
    <hyperlink ref="X554" r:id="rId328" xr:uid="{00000000-0004-0000-0000-000047010000}"/>
    <hyperlink ref="H555" r:id="rId329" xr:uid="{00000000-0004-0000-0000-000048010000}"/>
    <hyperlink ref="H556" r:id="rId330" xr:uid="{00000000-0004-0000-0000-000049010000}"/>
    <hyperlink ref="H557" r:id="rId331" xr:uid="{00000000-0004-0000-0000-00004A010000}"/>
    <hyperlink ref="H559" r:id="rId332" xr:uid="{00000000-0004-0000-0000-00004B010000}"/>
    <hyperlink ref="H560" r:id="rId333" xr:uid="{00000000-0004-0000-0000-00004C010000}"/>
    <hyperlink ref="X560" r:id="rId334" xr:uid="{00000000-0004-0000-0000-00004D010000}"/>
    <hyperlink ref="H563" r:id="rId335" xr:uid="{00000000-0004-0000-0000-00004E010000}"/>
    <hyperlink ref="X563" r:id="rId336" xr:uid="{00000000-0004-0000-0000-00004F010000}"/>
    <hyperlink ref="H566" r:id="rId337" location="/evento/2-corrida-juntos-pelo-autismo-2026?utm_source=ig&amp;utm_medium=social&amp;utm_content=link_in_bio&amp;fbclid=PAZXh0bgNhZW0CMTEAc3J0YwZhcHBfaWQMMjU2MjgxMDQwNTU4AAGn-ME-OqG-ImJHRUbUdJ7mUDZvgFoYgX1xmFQqzGrOHm0Lmhm3a9AoVp1J90I_aem_R-rzRdlqLlCKQmyCGd9e4w" xr:uid="{00000000-0004-0000-0000-000050010000}"/>
    <hyperlink ref="X566" r:id="rId338" location="/evento/2-corrida-juntos-pelo-autismo-2026?utm_source=ig&amp;utm_medium=social&amp;utm_content=link_in_bio&amp;fbclid=PAZXh0bgNhZW0CMTEAc3J0YwZhcHBfaWQMMjU2MjgxMDQwNTU4AAGn-ME-OqG-ImJHRUbUdJ7mUDZvgFoYgX1xmFQqzGrOHm0Lmhm3a9AoVp1J90I_aem_R-rzRdlqLlCKQmyCGd9e4w" xr:uid="{00000000-0004-0000-0000-000051010000}"/>
    <hyperlink ref="X568" r:id="rId339" xr:uid="{00000000-0004-0000-0000-000052010000}"/>
    <hyperlink ref="H570" r:id="rId340" xr:uid="{00000000-0004-0000-0000-000053010000}"/>
    <hyperlink ref="H571" r:id="rId341" xr:uid="{00000000-0004-0000-0000-000054010000}"/>
    <hyperlink ref="H572" r:id="rId342" xr:uid="{00000000-0004-0000-0000-000055010000}"/>
    <hyperlink ref="H573" r:id="rId343" xr:uid="{00000000-0004-0000-0000-000056010000}"/>
    <hyperlink ref="H578" r:id="rId344" xr:uid="{00000000-0004-0000-0000-000057010000}"/>
    <hyperlink ref="H579" r:id="rId345" xr:uid="{00000000-0004-0000-0000-000058010000}"/>
    <hyperlink ref="H581" r:id="rId346" xr:uid="{00000000-0004-0000-0000-000059010000}"/>
    <hyperlink ref="H584" r:id="rId347" xr:uid="{00000000-0004-0000-0000-00005A010000}"/>
    <hyperlink ref="H585" r:id="rId348" xr:uid="{00000000-0004-0000-0000-00005B010000}"/>
    <hyperlink ref="H586" r:id="rId349" xr:uid="{00000000-0004-0000-0000-00005C010000}"/>
    <hyperlink ref="X586" r:id="rId350" xr:uid="{00000000-0004-0000-0000-00005D010000}"/>
    <hyperlink ref="H587" r:id="rId351" xr:uid="{00000000-0004-0000-0000-00005E010000}"/>
    <hyperlink ref="H588" r:id="rId352" xr:uid="{00000000-0004-0000-0000-00005F010000}"/>
    <hyperlink ref="X588" r:id="rId353" xr:uid="{00000000-0004-0000-0000-000060010000}"/>
    <hyperlink ref="H591" r:id="rId354" xr:uid="{00000000-0004-0000-0000-000061010000}"/>
    <hyperlink ref="H592" r:id="rId355" xr:uid="{00000000-0004-0000-0000-000062010000}"/>
    <hyperlink ref="H595" r:id="rId356" xr:uid="{00000000-0004-0000-0000-000063010000}"/>
    <hyperlink ref="X595" r:id="rId357" xr:uid="{00000000-0004-0000-0000-000064010000}"/>
    <hyperlink ref="H597" r:id="rId358" xr:uid="{00000000-0004-0000-0000-000065010000}"/>
    <hyperlink ref="X597" r:id="rId359" xr:uid="{00000000-0004-0000-0000-000066010000}"/>
    <hyperlink ref="Y597" r:id="rId360" xr:uid="{00000000-0004-0000-0000-000067010000}"/>
    <hyperlink ref="H600" r:id="rId361" xr:uid="{00000000-0004-0000-0000-000068010000}"/>
    <hyperlink ref="H601" r:id="rId362" xr:uid="{00000000-0004-0000-0000-000069010000}"/>
    <hyperlink ref="H614" r:id="rId363" xr:uid="{00000000-0004-0000-0000-00006A010000}"/>
    <hyperlink ref="Y617" r:id="rId364" xr:uid="{00000000-0004-0000-0000-00006B010000}"/>
    <hyperlink ref="Y619" r:id="rId365" xr:uid="{00000000-0004-0000-0000-00006C010000}"/>
    <hyperlink ref="Y622" r:id="rId366" xr:uid="{00000000-0004-0000-0000-00006D010000}"/>
    <hyperlink ref="Y623" r:id="rId367" xr:uid="{00000000-0004-0000-0000-00006E010000}"/>
    <hyperlink ref="Y625" r:id="rId368" xr:uid="{00000000-0004-0000-0000-00006F010000}"/>
    <hyperlink ref="Y628" r:id="rId369" xr:uid="{00000000-0004-0000-0000-000070010000}"/>
    <hyperlink ref="Y631" r:id="rId370" xr:uid="{00000000-0004-0000-0000-000071010000}"/>
    <hyperlink ref="Y632" r:id="rId371" xr:uid="{00000000-0004-0000-0000-000072010000}"/>
    <hyperlink ref="H644" r:id="rId372" xr:uid="{00000000-0004-0000-0000-000073010000}"/>
    <hyperlink ref="X644" r:id="rId373" xr:uid="{00000000-0004-0000-0000-000074010000}"/>
    <hyperlink ref="Y644" r:id="rId374" xr:uid="{00000000-0004-0000-0000-000075010000}"/>
    <hyperlink ref="H646" r:id="rId375" xr:uid="{00000000-0004-0000-0000-000076010000}"/>
    <hyperlink ref="H647" r:id="rId376" xr:uid="{00000000-0004-0000-0000-000077010000}"/>
    <hyperlink ref="H648" r:id="rId377" xr:uid="{00000000-0004-0000-0000-000078010000}"/>
    <hyperlink ref="H649" r:id="rId378" xr:uid="{00000000-0004-0000-0000-000079010000}"/>
    <hyperlink ref="X649" r:id="rId379" xr:uid="{00000000-0004-0000-0000-00007A010000}"/>
    <hyperlink ref="H650" r:id="rId380" xr:uid="{00000000-0004-0000-0000-00007B010000}"/>
    <hyperlink ref="X650" r:id="rId381" xr:uid="{00000000-0004-0000-0000-00007C010000}"/>
    <hyperlink ref="H653" r:id="rId382" xr:uid="{00000000-0004-0000-0000-00007D010000}"/>
    <hyperlink ref="H660" r:id="rId383" xr:uid="{00000000-0004-0000-0000-00007E010000}"/>
    <hyperlink ref="H669" r:id="rId384" xr:uid="{00000000-0004-0000-0000-00007F010000}"/>
    <hyperlink ref="H674" r:id="rId385" xr:uid="{00000000-0004-0000-0000-000080010000}"/>
    <hyperlink ref="H675" r:id="rId386" xr:uid="{00000000-0004-0000-0000-000081010000}"/>
    <hyperlink ref="H677" r:id="rId387" xr:uid="{00000000-0004-0000-0000-000082010000}"/>
    <hyperlink ref="Y677" r:id="rId388" xr:uid="{00000000-0004-0000-0000-000083010000}"/>
    <hyperlink ref="H682" r:id="rId389" xr:uid="{00000000-0004-0000-0000-000084010000}"/>
    <hyperlink ref="H683" r:id="rId390" xr:uid="{00000000-0004-0000-0000-000085010000}"/>
    <hyperlink ref="H684" r:id="rId391" xr:uid="{00000000-0004-0000-0000-000086010000}"/>
    <hyperlink ref="H688" r:id="rId392" xr:uid="{00000000-0004-0000-0000-000087010000}"/>
    <hyperlink ref="H689" r:id="rId393" xr:uid="{00000000-0004-0000-0000-000088010000}"/>
    <hyperlink ref="H690" r:id="rId394" xr:uid="{00000000-0004-0000-0000-000089010000}"/>
    <hyperlink ref="H691" r:id="rId395" xr:uid="{00000000-0004-0000-0000-00008A010000}"/>
    <hyperlink ref="H692" r:id="rId396" xr:uid="{00000000-0004-0000-0000-00008B010000}"/>
    <hyperlink ref="H693" r:id="rId397" xr:uid="{00000000-0004-0000-0000-00008C010000}"/>
    <hyperlink ref="H700" r:id="rId398" xr:uid="{00000000-0004-0000-0000-00008D010000}"/>
    <hyperlink ref="H701" r:id="rId399" xr:uid="{00000000-0004-0000-0000-00008E010000}"/>
    <hyperlink ref="H702" r:id="rId400" xr:uid="{00000000-0004-0000-0000-00008F010000}"/>
    <hyperlink ref="Y703" r:id="rId401" xr:uid="{00000000-0004-0000-0000-000090010000}"/>
    <hyperlink ref="H720" r:id="rId402" xr:uid="{00000000-0004-0000-0000-000091010000}"/>
  </hyperlinks>
  <pageMargins left="0" right="0" top="0" bottom="0" header="0" footer="0"/>
  <tableParts count="1">
    <tablePart r:id="rId40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646"/>
  <sheetViews>
    <sheetView workbookViewId="0"/>
  </sheetViews>
  <sheetFormatPr defaultColWidth="12.5703125" defaultRowHeight="15.75" customHeight="1"/>
  <cols>
    <col min="1" max="1" width="28.7109375" customWidth="1"/>
    <col min="2" max="2" width="17.7109375" customWidth="1"/>
    <col min="3" max="3" width="5.5703125" customWidth="1"/>
    <col min="4" max="4" width="14.85546875" customWidth="1"/>
    <col min="5" max="5" width="14.42578125" customWidth="1"/>
    <col min="6" max="7" width="10.42578125" customWidth="1"/>
    <col min="8" max="8" width="9.7109375" customWidth="1"/>
    <col min="9" max="9" width="14.28515625" customWidth="1"/>
  </cols>
  <sheetData>
    <row r="1" spans="1:9">
      <c r="A1" s="22" t="s">
        <v>3492</v>
      </c>
      <c r="B1" s="22" t="s">
        <v>3493</v>
      </c>
      <c r="C1" s="22" t="s">
        <v>30</v>
      </c>
      <c r="D1" s="22" t="s">
        <v>31</v>
      </c>
      <c r="E1" s="22" t="s">
        <v>32</v>
      </c>
      <c r="F1" s="22" t="s">
        <v>33</v>
      </c>
      <c r="G1" s="22" t="s">
        <v>34</v>
      </c>
      <c r="H1" s="22" t="s">
        <v>35</v>
      </c>
      <c r="I1" s="22" t="s">
        <v>36</v>
      </c>
    </row>
    <row r="2" spans="1:9">
      <c r="A2" s="23" t="s">
        <v>3494</v>
      </c>
      <c r="B2" s="23" t="s">
        <v>3495</v>
      </c>
      <c r="C2" s="24">
        <v>15316</v>
      </c>
      <c r="D2" s="24">
        <v>350010505000001</v>
      </c>
      <c r="E2" s="24">
        <v>3500105</v>
      </c>
      <c r="F2" s="24">
        <v>-51.073364699999999</v>
      </c>
      <c r="G2" s="24">
        <v>-21.688311500000001</v>
      </c>
      <c r="H2" s="24">
        <v>451.11880200000002</v>
      </c>
      <c r="I2" s="23" t="s">
        <v>3496</v>
      </c>
    </row>
    <row r="3" spans="1:9">
      <c r="A3" s="25" t="s">
        <v>3497</v>
      </c>
      <c r="B3" s="25" t="s">
        <v>3498</v>
      </c>
      <c r="C3" s="26">
        <v>15322</v>
      </c>
      <c r="D3" s="26">
        <v>350020405000001</v>
      </c>
      <c r="E3" s="26">
        <v>3500204</v>
      </c>
      <c r="F3" s="26">
        <v>-49.649721399999997</v>
      </c>
      <c r="G3" s="26">
        <v>-21.232729800000001</v>
      </c>
      <c r="H3" s="26">
        <v>425.39214900000002</v>
      </c>
      <c r="I3" s="25" t="s">
        <v>3499</v>
      </c>
    </row>
    <row r="4" spans="1:9">
      <c r="A4" s="23" t="s">
        <v>3500</v>
      </c>
      <c r="B4" s="23" t="s">
        <v>3501</v>
      </c>
      <c r="C4" s="24">
        <v>15325</v>
      </c>
      <c r="D4" s="24">
        <v>350030305000001</v>
      </c>
      <c r="E4" s="24">
        <v>3500303</v>
      </c>
      <c r="F4" s="24">
        <v>-46.979693099999999</v>
      </c>
      <c r="G4" s="24">
        <v>-22.059684000000001</v>
      </c>
      <c r="H4" s="24">
        <v>662.48301900000001</v>
      </c>
      <c r="I4" s="23" t="s">
        <v>3502</v>
      </c>
    </row>
    <row r="5" spans="1:9">
      <c r="A5" s="25" t="s">
        <v>3503</v>
      </c>
      <c r="B5" s="25" t="s">
        <v>3501</v>
      </c>
      <c r="C5" s="26">
        <v>15328</v>
      </c>
      <c r="D5" s="26">
        <v>350040205000001</v>
      </c>
      <c r="E5" s="26">
        <v>3500402</v>
      </c>
      <c r="F5" s="26">
        <v>-46.716766700000001</v>
      </c>
      <c r="G5" s="26">
        <v>-21.934829000000001</v>
      </c>
      <c r="H5" s="26">
        <v>832.91485399999999</v>
      </c>
      <c r="I5" s="25" t="s">
        <v>3504</v>
      </c>
    </row>
    <row r="6" spans="1:9">
      <c r="A6" s="23" t="s">
        <v>3505</v>
      </c>
      <c r="B6" s="23" t="s">
        <v>3501</v>
      </c>
      <c r="C6" s="24">
        <v>15333</v>
      </c>
      <c r="D6" s="24">
        <v>350050105000001</v>
      </c>
      <c r="E6" s="24">
        <v>3500501</v>
      </c>
      <c r="F6" s="24">
        <v>-46.631778799999999</v>
      </c>
      <c r="G6" s="24">
        <v>-22.473821999999998</v>
      </c>
      <c r="H6" s="24">
        <v>893.16993100000002</v>
      </c>
      <c r="I6" s="23" t="s">
        <v>3506</v>
      </c>
    </row>
    <row r="7" spans="1:9">
      <c r="A7" s="25" t="s">
        <v>3507</v>
      </c>
      <c r="B7" s="25" t="s">
        <v>3508</v>
      </c>
      <c r="C7" s="26">
        <v>15334</v>
      </c>
      <c r="D7" s="26">
        <v>350055005000001</v>
      </c>
      <c r="E7" s="26">
        <v>3500550</v>
      </c>
      <c r="F7" s="26">
        <v>-49.238607799999997</v>
      </c>
      <c r="G7" s="26">
        <v>-22.869149400000001</v>
      </c>
      <c r="H7" s="26">
        <v>606.94214199999999</v>
      </c>
      <c r="I7" s="25" t="s">
        <v>3509</v>
      </c>
    </row>
    <row r="8" spans="1:9">
      <c r="A8" s="23" t="s">
        <v>2016</v>
      </c>
      <c r="B8" s="23" t="s">
        <v>3501</v>
      </c>
      <c r="C8" s="24">
        <v>15343</v>
      </c>
      <c r="D8" s="24">
        <v>350060005000001</v>
      </c>
      <c r="E8" s="24">
        <v>3500600</v>
      </c>
      <c r="F8" s="24">
        <v>-47.883974700000003</v>
      </c>
      <c r="G8" s="24">
        <v>-22.597339600000002</v>
      </c>
      <c r="H8" s="24">
        <v>515.23534299999994</v>
      </c>
      <c r="I8" s="23" t="s">
        <v>3510</v>
      </c>
    </row>
    <row r="9" spans="1:9">
      <c r="A9" s="25" t="s">
        <v>2932</v>
      </c>
      <c r="B9" s="25" t="s">
        <v>3511</v>
      </c>
      <c r="C9" s="26">
        <v>15344</v>
      </c>
      <c r="D9" s="26">
        <v>350070905000001</v>
      </c>
      <c r="E9" s="26">
        <v>3500709</v>
      </c>
      <c r="F9" s="26">
        <v>-48.990156300000002</v>
      </c>
      <c r="G9" s="26">
        <v>-22.474036999999999</v>
      </c>
      <c r="H9" s="26">
        <v>601.38437399999998</v>
      </c>
      <c r="I9" s="25" t="s">
        <v>3512</v>
      </c>
    </row>
    <row r="10" spans="1:9">
      <c r="A10" s="23" t="s">
        <v>3513</v>
      </c>
      <c r="B10" s="23" t="s">
        <v>3508</v>
      </c>
      <c r="C10" s="24">
        <v>15348</v>
      </c>
      <c r="D10" s="24">
        <v>350075805000001</v>
      </c>
      <c r="E10" s="24">
        <v>3500758</v>
      </c>
      <c r="F10" s="24">
        <v>-47.893588399999999</v>
      </c>
      <c r="G10" s="24">
        <v>-23.5538989</v>
      </c>
      <c r="H10" s="24">
        <v>609.65934900000002</v>
      </c>
      <c r="I10" s="23" t="s">
        <v>3514</v>
      </c>
    </row>
    <row r="11" spans="1:9">
      <c r="A11" s="25" t="s">
        <v>3515</v>
      </c>
      <c r="B11" s="25" t="s">
        <v>3495</v>
      </c>
      <c r="C11" s="26">
        <v>15352</v>
      </c>
      <c r="D11" s="26">
        <v>350080805000001</v>
      </c>
      <c r="E11" s="26">
        <v>3500808</v>
      </c>
      <c r="F11" s="26">
        <v>-51.412938099999998</v>
      </c>
      <c r="G11" s="26">
        <v>-21.952741100000001</v>
      </c>
      <c r="H11" s="26">
        <v>414.19729999999998</v>
      </c>
      <c r="I11" s="25" t="s">
        <v>3516</v>
      </c>
    </row>
    <row r="12" spans="1:9">
      <c r="A12" s="23" t="s">
        <v>3517</v>
      </c>
      <c r="B12" s="23" t="s">
        <v>3518</v>
      </c>
      <c r="C12" s="24">
        <v>15353</v>
      </c>
      <c r="D12" s="24">
        <v>350090705000001</v>
      </c>
      <c r="E12" s="24">
        <v>3500907</v>
      </c>
      <c r="F12" s="24">
        <v>-49.060110799999997</v>
      </c>
      <c r="G12" s="24">
        <v>-20.523304899999999</v>
      </c>
      <c r="H12" s="24">
        <v>555.86842899999999</v>
      </c>
      <c r="I12" s="23" t="s">
        <v>3519</v>
      </c>
    </row>
    <row r="13" spans="1:9">
      <c r="A13" s="25" t="s">
        <v>3300</v>
      </c>
      <c r="B13" s="25" t="s">
        <v>3520</v>
      </c>
      <c r="C13" s="26">
        <v>15355</v>
      </c>
      <c r="D13" s="26">
        <v>350100405000001</v>
      </c>
      <c r="E13" s="26">
        <v>3501004</v>
      </c>
      <c r="F13" s="26">
        <v>-47.373280299999998</v>
      </c>
      <c r="G13" s="26">
        <v>-21.024582599999999</v>
      </c>
      <c r="H13" s="26">
        <v>904.24177599999996</v>
      </c>
      <c r="I13" s="25" t="s">
        <v>3521</v>
      </c>
    </row>
    <row r="14" spans="1:9">
      <c r="A14" s="23" t="s">
        <v>3522</v>
      </c>
      <c r="B14" s="23" t="s">
        <v>3523</v>
      </c>
      <c r="C14" s="24">
        <v>15356</v>
      </c>
      <c r="D14" s="24">
        <v>350110305000001</v>
      </c>
      <c r="E14" s="24">
        <v>3501103</v>
      </c>
      <c r="F14" s="24">
        <v>-50.163596800000001</v>
      </c>
      <c r="G14" s="24">
        <v>-21.5816895</v>
      </c>
      <c r="H14" s="24">
        <v>502.66416299999997</v>
      </c>
      <c r="I14" s="23" t="s">
        <v>3524</v>
      </c>
    </row>
    <row r="15" spans="1:9">
      <c r="A15" s="25" t="s">
        <v>3525</v>
      </c>
      <c r="B15" s="25" t="s">
        <v>3508</v>
      </c>
      <c r="C15" s="26">
        <v>15360</v>
      </c>
      <c r="D15" s="26">
        <v>350115205000001</v>
      </c>
      <c r="E15" s="26">
        <v>3501152</v>
      </c>
      <c r="F15" s="26">
        <v>-47.259056899999997</v>
      </c>
      <c r="G15" s="26">
        <v>-23.533373000000001</v>
      </c>
      <c r="H15" s="26">
        <v>782.16506700000002</v>
      </c>
      <c r="I15" s="25" t="s">
        <v>3526</v>
      </c>
    </row>
    <row r="16" spans="1:9">
      <c r="A16" s="23" t="s">
        <v>3527</v>
      </c>
      <c r="B16" s="23" t="s">
        <v>3498</v>
      </c>
      <c r="C16" s="24">
        <v>15364</v>
      </c>
      <c r="D16" s="24">
        <v>350120205000001</v>
      </c>
      <c r="E16" s="24">
        <v>3501202</v>
      </c>
      <c r="F16" s="24">
        <v>-49.911184800000001</v>
      </c>
      <c r="G16" s="24">
        <v>-20.319876199999999</v>
      </c>
      <c r="H16" s="24">
        <v>459.58541700000001</v>
      </c>
      <c r="I16" s="23" t="s">
        <v>3528</v>
      </c>
    </row>
    <row r="17" spans="1:9">
      <c r="A17" s="25" t="s">
        <v>3529</v>
      </c>
      <c r="B17" s="25" t="s">
        <v>3495</v>
      </c>
      <c r="C17" s="26">
        <v>15366</v>
      </c>
      <c r="D17" s="26">
        <v>350130105000001</v>
      </c>
      <c r="E17" s="26">
        <v>3501301</v>
      </c>
      <c r="F17" s="26">
        <v>-51.468797299999999</v>
      </c>
      <c r="G17" s="26">
        <v>-22.077779</v>
      </c>
      <c r="H17" s="26">
        <v>477.32938100000001</v>
      </c>
      <c r="I17" s="25" t="s">
        <v>3530</v>
      </c>
    </row>
    <row r="18" spans="1:9">
      <c r="A18" s="23" t="s">
        <v>3531</v>
      </c>
      <c r="B18" s="23" t="s">
        <v>3532</v>
      </c>
      <c r="C18" s="24">
        <v>15368</v>
      </c>
      <c r="D18" s="24">
        <v>350140005000001</v>
      </c>
      <c r="E18" s="24">
        <v>3501400</v>
      </c>
      <c r="F18" s="24">
        <v>-49.720609000000003</v>
      </c>
      <c r="G18" s="24">
        <v>-22.076374600000001</v>
      </c>
      <c r="H18" s="24">
        <v>614.58189500000003</v>
      </c>
      <c r="I18" s="23" t="s">
        <v>3533</v>
      </c>
    </row>
    <row r="19" spans="1:9">
      <c r="A19" s="25" t="s">
        <v>3534</v>
      </c>
      <c r="B19" s="25" t="s">
        <v>3532</v>
      </c>
      <c r="C19" s="26">
        <v>15369</v>
      </c>
      <c r="D19" s="26">
        <v>350150905000001</v>
      </c>
      <c r="E19" s="26">
        <v>3501509</v>
      </c>
      <c r="F19" s="26">
        <v>-49.763033</v>
      </c>
      <c r="G19" s="26">
        <v>-22.445010199999999</v>
      </c>
      <c r="H19" s="26">
        <v>666.51493900000003</v>
      </c>
      <c r="I19" s="25" t="s">
        <v>3535</v>
      </c>
    </row>
    <row r="20" spans="1:9">
      <c r="A20" s="23" t="s">
        <v>3050</v>
      </c>
      <c r="B20" s="23" t="s">
        <v>3501</v>
      </c>
      <c r="C20" s="24">
        <v>15370</v>
      </c>
      <c r="D20" s="24">
        <v>350160805000001</v>
      </c>
      <c r="E20" s="24">
        <v>3501608</v>
      </c>
      <c r="F20" s="24">
        <v>-47.330362899999997</v>
      </c>
      <c r="G20" s="24">
        <v>-22.740883499999999</v>
      </c>
      <c r="H20" s="24">
        <v>550.36578499999996</v>
      </c>
      <c r="I20" s="23" t="s">
        <v>3536</v>
      </c>
    </row>
    <row r="21" spans="1:9">
      <c r="A21" s="25" t="s">
        <v>3537</v>
      </c>
      <c r="B21" s="25" t="s">
        <v>3538</v>
      </c>
      <c r="C21" s="26">
        <v>15372</v>
      </c>
      <c r="D21" s="26">
        <v>350170705000001</v>
      </c>
      <c r="E21" s="26">
        <v>3501707</v>
      </c>
      <c r="F21" s="26">
        <v>-48.106604599999997</v>
      </c>
      <c r="G21" s="26">
        <v>-21.730036500000001</v>
      </c>
      <c r="H21" s="26">
        <v>730.216185</v>
      </c>
      <c r="I21" s="25" t="s">
        <v>3539</v>
      </c>
    </row>
    <row r="22" spans="1:9">
      <c r="A22" s="23" t="s">
        <v>3540</v>
      </c>
      <c r="B22" s="23" t="s">
        <v>3498</v>
      </c>
      <c r="C22" s="24">
        <v>15373</v>
      </c>
      <c r="D22" s="24">
        <v>350180605000001</v>
      </c>
      <c r="E22" s="24">
        <v>3501806</v>
      </c>
      <c r="F22" s="24">
        <v>-49.727026799999997</v>
      </c>
      <c r="G22" s="24">
        <v>-20.296401899999999</v>
      </c>
      <c r="H22" s="24">
        <v>449.16055899999998</v>
      </c>
      <c r="I22" s="23" t="s">
        <v>3541</v>
      </c>
    </row>
    <row r="23" spans="1:9">
      <c r="A23" s="25" t="s">
        <v>3542</v>
      </c>
      <c r="B23" s="25" t="s">
        <v>3501</v>
      </c>
      <c r="C23" s="26">
        <v>15374</v>
      </c>
      <c r="D23" s="26">
        <v>350190505000001</v>
      </c>
      <c r="E23" s="26">
        <v>3501905</v>
      </c>
      <c r="F23" s="26">
        <v>-46.7650857</v>
      </c>
      <c r="G23" s="26">
        <v>-22.699388599999999</v>
      </c>
      <c r="H23" s="26">
        <v>673.42981699999996</v>
      </c>
      <c r="I23" s="25" t="s">
        <v>3543</v>
      </c>
    </row>
    <row r="24" spans="1:9">
      <c r="A24" s="23" t="s">
        <v>3544</v>
      </c>
      <c r="B24" s="23" t="s">
        <v>3501</v>
      </c>
      <c r="C24" s="24">
        <v>15392</v>
      </c>
      <c r="D24" s="24">
        <v>350200205000001</v>
      </c>
      <c r="E24" s="24">
        <v>3502002</v>
      </c>
      <c r="F24" s="24">
        <v>-47.6607664</v>
      </c>
      <c r="G24" s="24">
        <v>-22.128785499999999</v>
      </c>
      <c r="H24" s="24">
        <v>659.55780100000004</v>
      </c>
      <c r="I24" s="23" t="s">
        <v>3545</v>
      </c>
    </row>
    <row r="25" spans="1:9">
      <c r="A25" s="25" t="s">
        <v>3546</v>
      </c>
      <c r="B25" s="25" t="s">
        <v>3523</v>
      </c>
      <c r="C25" s="26">
        <v>15394</v>
      </c>
      <c r="D25" s="26">
        <v>350210105000001</v>
      </c>
      <c r="E25" s="26">
        <v>3502101</v>
      </c>
      <c r="F25" s="26">
        <v>-51.378847800000003</v>
      </c>
      <c r="G25" s="26">
        <v>-20.901463499999998</v>
      </c>
      <c r="H25" s="26">
        <v>392.017336</v>
      </c>
      <c r="I25" s="25" t="s">
        <v>3547</v>
      </c>
    </row>
    <row r="26" spans="1:9">
      <c r="A26" s="23" t="s">
        <v>3548</v>
      </c>
      <c r="B26" s="23" t="s">
        <v>3549</v>
      </c>
      <c r="C26" s="24">
        <v>15397</v>
      </c>
      <c r="D26" s="24">
        <v>350220005000001</v>
      </c>
      <c r="E26" s="24">
        <v>3502200</v>
      </c>
      <c r="F26" s="24">
        <v>-48.406759600000001</v>
      </c>
      <c r="G26" s="24">
        <v>-23.483986999999999</v>
      </c>
      <c r="H26" s="24">
        <v>628.28643</v>
      </c>
      <c r="I26" s="23" t="s">
        <v>3550</v>
      </c>
    </row>
    <row r="27" spans="1:9">
      <c r="A27" s="25" t="s">
        <v>3551</v>
      </c>
      <c r="B27" s="25" t="s">
        <v>3508</v>
      </c>
      <c r="C27" s="26">
        <v>15399</v>
      </c>
      <c r="D27" s="26">
        <v>350230905000001</v>
      </c>
      <c r="E27" s="26">
        <v>3502309</v>
      </c>
      <c r="F27" s="26">
        <v>-48.1269268</v>
      </c>
      <c r="G27" s="26">
        <v>-22.7863209</v>
      </c>
      <c r="H27" s="26">
        <v>460.91695600000003</v>
      </c>
      <c r="I27" s="25" t="s">
        <v>3552</v>
      </c>
    </row>
    <row r="28" spans="1:9">
      <c r="A28" s="23" t="s">
        <v>3553</v>
      </c>
      <c r="B28" s="23" t="s">
        <v>3495</v>
      </c>
      <c r="C28" s="24">
        <v>15402</v>
      </c>
      <c r="D28" s="24">
        <v>350240805000001</v>
      </c>
      <c r="E28" s="24">
        <v>3502408</v>
      </c>
      <c r="F28" s="24">
        <v>-51.386074399999998</v>
      </c>
      <c r="G28" s="24">
        <v>-22.2932372</v>
      </c>
      <c r="H28" s="24">
        <v>469.752456</v>
      </c>
      <c r="I28" s="23" t="s">
        <v>3554</v>
      </c>
    </row>
    <row r="29" spans="1:9">
      <c r="A29" s="25" t="s">
        <v>919</v>
      </c>
      <c r="B29" s="25" t="s">
        <v>3555</v>
      </c>
      <c r="C29" s="26">
        <v>15403</v>
      </c>
      <c r="D29" s="26">
        <v>350250705000001</v>
      </c>
      <c r="E29" s="26">
        <v>3502507</v>
      </c>
      <c r="F29" s="26">
        <v>-45.2294293</v>
      </c>
      <c r="G29" s="26">
        <v>-22.848154000000001</v>
      </c>
      <c r="H29" s="26">
        <v>582.26043400000003</v>
      </c>
      <c r="I29" s="25" t="s">
        <v>3556</v>
      </c>
    </row>
    <row r="30" spans="1:9">
      <c r="A30" s="23" t="s">
        <v>3557</v>
      </c>
      <c r="B30" s="23" t="s">
        <v>3498</v>
      </c>
      <c r="C30" s="24">
        <v>15404</v>
      </c>
      <c r="D30" s="24">
        <v>350260605000001</v>
      </c>
      <c r="E30" s="24">
        <v>3502606</v>
      </c>
      <c r="F30" s="24">
        <v>-50.885615700000002</v>
      </c>
      <c r="G30" s="24">
        <v>-20.450845399999999</v>
      </c>
      <c r="H30" s="24">
        <v>423.246105</v>
      </c>
      <c r="I30" s="23" t="s">
        <v>3558</v>
      </c>
    </row>
    <row r="31" spans="1:9">
      <c r="A31" s="25" t="s">
        <v>3559</v>
      </c>
      <c r="B31" s="25" t="s">
        <v>3549</v>
      </c>
      <c r="C31" s="26">
        <v>15405</v>
      </c>
      <c r="D31" s="26">
        <v>350270505000001</v>
      </c>
      <c r="E31" s="26">
        <v>3502705</v>
      </c>
      <c r="F31" s="26">
        <v>-48.848659900000001</v>
      </c>
      <c r="G31" s="26">
        <v>-24.513316</v>
      </c>
      <c r="H31" s="26">
        <v>925.85377400000004</v>
      </c>
      <c r="I31" s="25" t="s">
        <v>3560</v>
      </c>
    </row>
    <row r="32" spans="1:9">
      <c r="A32" s="23" t="s">
        <v>1052</v>
      </c>
      <c r="B32" s="23" t="s">
        <v>3508</v>
      </c>
      <c r="C32" s="24">
        <v>15409</v>
      </c>
      <c r="D32" s="24">
        <v>350275405000001</v>
      </c>
      <c r="E32" s="24">
        <v>3502754</v>
      </c>
      <c r="F32" s="24">
        <v>-47.071547600000002</v>
      </c>
      <c r="G32" s="24">
        <v>-23.4300408</v>
      </c>
      <c r="H32" s="24">
        <v>710.676513</v>
      </c>
      <c r="I32" s="23" t="s">
        <v>3561</v>
      </c>
    </row>
    <row r="33" spans="1:9">
      <c r="A33" s="25" t="s">
        <v>2479</v>
      </c>
      <c r="B33" s="25" t="s">
        <v>3523</v>
      </c>
      <c r="C33" s="26">
        <v>15410</v>
      </c>
      <c r="D33" s="26">
        <v>350280405000001</v>
      </c>
      <c r="E33" s="26">
        <v>3502804</v>
      </c>
      <c r="F33" s="26">
        <v>-50.439226099999999</v>
      </c>
      <c r="G33" s="26">
        <v>-21.205476000000001</v>
      </c>
      <c r="H33" s="26">
        <v>403.10182200000003</v>
      </c>
      <c r="I33" s="25" t="s">
        <v>3562</v>
      </c>
    </row>
    <row r="34" spans="1:9">
      <c r="A34" s="23" t="s">
        <v>3563</v>
      </c>
      <c r="B34" s="23" t="s">
        <v>3508</v>
      </c>
      <c r="C34" s="24">
        <v>15431</v>
      </c>
      <c r="D34" s="24">
        <v>350290305000001</v>
      </c>
      <c r="E34" s="24">
        <v>3502903</v>
      </c>
      <c r="F34" s="24">
        <v>-47.5872429</v>
      </c>
      <c r="G34" s="24">
        <v>-23.507319800000001</v>
      </c>
      <c r="H34" s="24">
        <v>625.45770300000004</v>
      </c>
      <c r="I34" s="23" t="s">
        <v>3564</v>
      </c>
    </row>
    <row r="35" spans="1:9">
      <c r="A35" s="25" t="s">
        <v>3565</v>
      </c>
      <c r="B35" s="25" t="s">
        <v>3566</v>
      </c>
      <c r="C35" s="26">
        <v>15433</v>
      </c>
      <c r="D35" s="26">
        <v>350300005000001</v>
      </c>
      <c r="E35" s="26">
        <v>3503000</v>
      </c>
      <c r="F35" s="26">
        <v>-47.786012999999997</v>
      </c>
      <c r="G35" s="26">
        <v>-20.089944200000001</v>
      </c>
      <c r="H35" s="26">
        <v>625.03400499999998</v>
      </c>
      <c r="I35" s="25" t="s">
        <v>3567</v>
      </c>
    </row>
    <row r="36" spans="1:9">
      <c r="A36" s="23" t="s">
        <v>3568</v>
      </c>
      <c r="B36" s="23" t="s">
        <v>3549</v>
      </c>
      <c r="C36" s="24">
        <v>15436</v>
      </c>
      <c r="D36" s="24">
        <v>350310905000001</v>
      </c>
      <c r="E36" s="24">
        <v>3503109</v>
      </c>
      <c r="F36" s="24">
        <v>-49.050975899999997</v>
      </c>
      <c r="G36" s="24">
        <v>-23.133407099999999</v>
      </c>
      <c r="H36" s="24">
        <v>633.061148</v>
      </c>
      <c r="I36" s="23" t="s">
        <v>3569</v>
      </c>
    </row>
    <row r="37" spans="1:9">
      <c r="A37" s="25" t="s">
        <v>3570</v>
      </c>
      <c r="B37" s="25" t="s">
        <v>3555</v>
      </c>
      <c r="C37" s="26">
        <v>15449</v>
      </c>
      <c r="D37" s="26">
        <v>350315805000001</v>
      </c>
      <c r="E37" s="26">
        <v>3503158</v>
      </c>
      <c r="F37" s="26">
        <v>-44.448106600000003</v>
      </c>
      <c r="G37" s="26">
        <v>-22.6747987</v>
      </c>
      <c r="H37" s="26">
        <v>518.54692899999998</v>
      </c>
      <c r="I37" s="25" t="s">
        <v>3571</v>
      </c>
    </row>
    <row r="38" spans="1:9">
      <c r="A38" s="23" t="s">
        <v>1671</v>
      </c>
      <c r="B38" s="23" t="s">
        <v>3538</v>
      </c>
      <c r="C38" s="24">
        <v>15450</v>
      </c>
      <c r="D38" s="24">
        <v>350320805000001</v>
      </c>
      <c r="E38" s="24">
        <v>3503208</v>
      </c>
      <c r="F38" s="24">
        <v>-48.174439900000003</v>
      </c>
      <c r="G38" s="24">
        <v>-21.790359500000001</v>
      </c>
      <c r="H38" s="24">
        <v>673.07259399999998</v>
      </c>
      <c r="I38" s="23" t="s">
        <v>3572</v>
      </c>
    </row>
    <row r="39" spans="1:9">
      <c r="A39" s="25" t="s">
        <v>1582</v>
      </c>
      <c r="B39" s="25" t="s">
        <v>3501</v>
      </c>
      <c r="C39" s="26">
        <v>15455</v>
      </c>
      <c r="D39" s="26">
        <v>350330705000001</v>
      </c>
      <c r="E39" s="26">
        <v>3503307</v>
      </c>
      <c r="F39" s="26">
        <v>-47.3858295</v>
      </c>
      <c r="G39" s="26">
        <v>-22.357086500000001</v>
      </c>
      <c r="H39" s="26">
        <v>635.49821499999996</v>
      </c>
      <c r="I39" s="25" t="s">
        <v>3573</v>
      </c>
    </row>
    <row r="40" spans="1:9">
      <c r="A40" s="23" t="s">
        <v>3574</v>
      </c>
      <c r="B40" s="23" t="s">
        <v>3532</v>
      </c>
      <c r="C40" s="24">
        <v>15457</v>
      </c>
      <c r="D40" s="24">
        <v>350335605000001</v>
      </c>
      <c r="E40" s="24">
        <v>3503356</v>
      </c>
      <c r="F40" s="24">
        <v>-50.4649109</v>
      </c>
      <c r="G40" s="24">
        <v>-21.773914000000001</v>
      </c>
      <c r="H40" s="24">
        <v>440.99372899999997</v>
      </c>
      <c r="I40" s="23" t="s">
        <v>3575</v>
      </c>
    </row>
    <row r="41" spans="1:9">
      <c r="A41" s="25" t="s">
        <v>448</v>
      </c>
      <c r="B41" s="25" t="s">
        <v>3511</v>
      </c>
      <c r="C41" s="26">
        <v>15458</v>
      </c>
      <c r="D41" s="26">
        <v>350340605000001</v>
      </c>
      <c r="E41" s="26">
        <v>3503406</v>
      </c>
      <c r="F41" s="26">
        <v>-48.920414800000003</v>
      </c>
      <c r="G41" s="26">
        <v>-22.024767499999999</v>
      </c>
      <c r="H41" s="26">
        <v>447.9803</v>
      </c>
      <c r="I41" s="25" t="s">
        <v>3576</v>
      </c>
    </row>
    <row r="42" spans="1:9">
      <c r="A42" s="23" t="s">
        <v>137</v>
      </c>
      <c r="B42" s="23" t="s">
        <v>3555</v>
      </c>
      <c r="C42" s="24">
        <v>15465</v>
      </c>
      <c r="D42" s="24">
        <v>350350505000001</v>
      </c>
      <c r="E42" s="24">
        <v>3503505</v>
      </c>
      <c r="F42" s="24">
        <v>-44.699432000000002</v>
      </c>
      <c r="G42" s="24">
        <v>-22.5821939</v>
      </c>
      <c r="H42" s="24">
        <v>534.09202100000005</v>
      </c>
      <c r="I42" s="23" t="s">
        <v>3577</v>
      </c>
    </row>
    <row r="43" spans="1:9">
      <c r="A43" s="25" t="s">
        <v>3578</v>
      </c>
      <c r="B43" s="25" t="s">
        <v>3508</v>
      </c>
      <c r="C43" s="26">
        <v>15466</v>
      </c>
      <c r="D43" s="26">
        <v>350360405000001</v>
      </c>
      <c r="E43" s="26">
        <v>3503604</v>
      </c>
      <c r="F43" s="26">
        <v>-48.665594599999999</v>
      </c>
      <c r="G43" s="26">
        <v>-22.673940399999999</v>
      </c>
      <c r="H43" s="26">
        <v>649.23468400000002</v>
      </c>
      <c r="I43" s="25" t="s">
        <v>3579</v>
      </c>
    </row>
    <row r="44" spans="1:9">
      <c r="A44" s="23" t="s">
        <v>3580</v>
      </c>
      <c r="B44" s="23" t="s">
        <v>3498</v>
      </c>
      <c r="C44" s="24">
        <v>15468</v>
      </c>
      <c r="D44" s="24">
        <v>350370305000001</v>
      </c>
      <c r="E44" s="24">
        <v>3503703</v>
      </c>
      <c r="F44" s="24">
        <v>-48.788336600000001</v>
      </c>
      <c r="G44" s="24">
        <v>-21.1861274</v>
      </c>
      <c r="H44" s="24">
        <v>590.62341900000001</v>
      </c>
      <c r="I44" s="23" t="s">
        <v>3581</v>
      </c>
    </row>
    <row r="45" spans="1:9">
      <c r="A45" s="25" t="s">
        <v>3582</v>
      </c>
      <c r="B45" s="25" t="s">
        <v>3501</v>
      </c>
      <c r="C45" s="26">
        <v>15469</v>
      </c>
      <c r="D45" s="26">
        <v>350380205000001</v>
      </c>
      <c r="E45" s="26">
        <v>3503802</v>
      </c>
      <c r="F45" s="26">
        <v>-47.164301199999997</v>
      </c>
      <c r="G45" s="26">
        <v>-22.571342999999999</v>
      </c>
      <c r="H45" s="26">
        <v>650.22345800000005</v>
      </c>
      <c r="I45" s="25" t="s">
        <v>3583</v>
      </c>
    </row>
    <row r="46" spans="1:9">
      <c r="A46" s="23" t="s">
        <v>3584</v>
      </c>
      <c r="B46" s="23" t="s">
        <v>3585</v>
      </c>
      <c r="C46" s="24">
        <v>15473</v>
      </c>
      <c r="D46" s="24">
        <v>350390105000001</v>
      </c>
      <c r="E46" s="24">
        <v>3503901</v>
      </c>
      <c r="F46" s="24">
        <v>-46.320489600000002</v>
      </c>
      <c r="G46" s="24">
        <v>-23.395826700000001</v>
      </c>
      <c r="H46" s="24">
        <v>788.82622300000003</v>
      </c>
      <c r="I46" s="23" t="s">
        <v>3586</v>
      </c>
    </row>
    <row r="47" spans="1:9">
      <c r="A47" s="25" t="s">
        <v>3587</v>
      </c>
      <c r="B47" s="25" t="s">
        <v>3498</v>
      </c>
      <c r="C47" s="26">
        <v>15475</v>
      </c>
      <c r="D47" s="26">
        <v>350395005000001</v>
      </c>
      <c r="E47" s="26">
        <v>3503950</v>
      </c>
      <c r="F47" s="26">
        <v>-50.726962700000001</v>
      </c>
      <c r="G47" s="26">
        <v>-20.158190000000001</v>
      </c>
      <c r="H47" s="26">
        <v>403.52067</v>
      </c>
      <c r="I47" s="25" t="s">
        <v>3588</v>
      </c>
    </row>
    <row r="48" spans="1:9">
      <c r="A48" s="23" t="s">
        <v>2575</v>
      </c>
      <c r="B48" s="23" t="s">
        <v>3532</v>
      </c>
      <c r="C48" s="24">
        <v>15476</v>
      </c>
      <c r="D48" s="24">
        <v>350400805000001</v>
      </c>
      <c r="E48" s="24">
        <v>3504008</v>
      </c>
      <c r="F48" s="24">
        <v>-50.41751</v>
      </c>
      <c r="G48" s="24">
        <v>-22.662835000000001</v>
      </c>
      <c r="H48" s="24">
        <v>562.42563199999995</v>
      </c>
      <c r="I48" s="23" t="s">
        <v>3589</v>
      </c>
    </row>
    <row r="49" spans="1:9">
      <c r="A49" s="25" t="s">
        <v>3590</v>
      </c>
      <c r="B49" s="25" t="s">
        <v>3501</v>
      </c>
      <c r="C49" s="26">
        <v>15481</v>
      </c>
      <c r="D49" s="26">
        <v>350410705000001</v>
      </c>
      <c r="E49" s="26">
        <v>3504107</v>
      </c>
      <c r="F49" s="26">
        <v>-46.555062499999998</v>
      </c>
      <c r="G49" s="26">
        <v>-23.116308</v>
      </c>
      <c r="H49" s="26">
        <v>807.98801400000002</v>
      </c>
      <c r="I49" s="25" t="s">
        <v>3591</v>
      </c>
    </row>
    <row r="50" spans="1:9">
      <c r="A50" s="23" t="s">
        <v>3592</v>
      </c>
      <c r="B50" s="23" t="s">
        <v>3523</v>
      </c>
      <c r="C50" s="24">
        <v>15494</v>
      </c>
      <c r="D50" s="24">
        <v>350420605000001</v>
      </c>
      <c r="E50" s="24">
        <v>3504206</v>
      </c>
      <c r="F50" s="24">
        <v>-50.553959300000002</v>
      </c>
      <c r="G50" s="24">
        <v>-20.6873349</v>
      </c>
      <c r="H50" s="24">
        <v>480.84726499999999</v>
      </c>
      <c r="I50" s="23" t="s">
        <v>3593</v>
      </c>
    </row>
    <row r="51" spans="1:9">
      <c r="A51" s="25" t="s">
        <v>3594</v>
      </c>
      <c r="B51" s="25" t="s">
        <v>3511</v>
      </c>
      <c r="C51" s="26">
        <v>15495</v>
      </c>
      <c r="D51" s="26">
        <v>350430505000001</v>
      </c>
      <c r="E51" s="26">
        <v>3504305</v>
      </c>
      <c r="F51" s="26">
        <v>-49.336815000000001</v>
      </c>
      <c r="G51" s="26">
        <v>-22.156772100000001</v>
      </c>
      <c r="H51" s="26">
        <v>489.50239099999999</v>
      </c>
      <c r="I51" s="25" t="s">
        <v>3595</v>
      </c>
    </row>
    <row r="52" spans="1:9">
      <c r="A52" s="23" t="s">
        <v>3596</v>
      </c>
      <c r="B52" s="23" t="s">
        <v>3523</v>
      </c>
      <c r="C52" s="24">
        <v>15498</v>
      </c>
      <c r="D52" s="24">
        <v>350440405000001</v>
      </c>
      <c r="E52" s="24">
        <v>3504404</v>
      </c>
      <c r="F52" s="24">
        <v>-49.942697299999999</v>
      </c>
      <c r="G52" s="24">
        <v>-21.4608706</v>
      </c>
      <c r="H52" s="24">
        <v>429.495339</v>
      </c>
      <c r="I52" s="23" t="s">
        <v>3597</v>
      </c>
    </row>
    <row r="53" spans="1:9">
      <c r="A53" s="25" t="s">
        <v>3598</v>
      </c>
      <c r="B53" s="25" t="s">
        <v>3508</v>
      </c>
      <c r="C53" s="26">
        <v>15499</v>
      </c>
      <c r="D53" s="26">
        <v>350450305000001</v>
      </c>
      <c r="E53" s="26">
        <v>3504503</v>
      </c>
      <c r="F53" s="26">
        <v>-48.923263200000001</v>
      </c>
      <c r="G53" s="26">
        <v>-23.1031935</v>
      </c>
      <c r="H53" s="26">
        <v>769.66435799999999</v>
      </c>
      <c r="I53" s="25" t="s">
        <v>3599</v>
      </c>
    </row>
    <row r="54" spans="1:9">
      <c r="A54" s="23" t="s">
        <v>3600</v>
      </c>
      <c r="B54" s="23" t="s">
        <v>3498</v>
      </c>
      <c r="C54" s="24">
        <v>15520</v>
      </c>
      <c r="D54" s="24">
        <v>350460205000001</v>
      </c>
      <c r="E54" s="24">
        <v>3504602</v>
      </c>
      <c r="F54" s="24">
        <v>-49.448573699999997</v>
      </c>
      <c r="G54" s="24">
        <v>-20.918563800000001</v>
      </c>
      <c r="H54" s="24">
        <v>529.20406600000001</v>
      </c>
      <c r="I54" s="23" t="s">
        <v>3601</v>
      </c>
    </row>
    <row r="55" spans="1:9">
      <c r="A55" s="25" t="s">
        <v>3602</v>
      </c>
      <c r="B55" s="25" t="s">
        <v>3511</v>
      </c>
      <c r="C55" s="26">
        <v>15521</v>
      </c>
      <c r="D55" s="26">
        <v>350470105000001</v>
      </c>
      <c r="E55" s="26">
        <v>3504701</v>
      </c>
      <c r="F55" s="26">
        <v>-49.3564735</v>
      </c>
      <c r="G55" s="26">
        <v>-21.9015238</v>
      </c>
      <c r="H55" s="26">
        <v>469.65975600000002</v>
      </c>
      <c r="I55" s="25" t="s">
        <v>3603</v>
      </c>
    </row>
    <row r="56" spans="1:9">
      <c r="A56" s="23" t="s">
        <v>3604</v>
      </c>
      <c r="B56" s="23" t="s">
        <v>3498</v>
      </c>
      <c r="C56" s="24">
        <v>15522</v>
      </c>
      <c r="D56" s="24">
        <v>350480005000001</v>
      </c>
      <c r="E56" s="24">
        <v>3504800</v>
      </c>
      <c r="F56" s="24">
        <v>-49.5793277</v>
      </c>
      <c r="G56" s="24">
        <v>-20.738263799999999</v>
      </c>
      <c r="H56" s="24">
        <v>545.22033699999997</v>
      </c>
      <c r="I56" s="23" t="s">
        <v>3605</v>
      </c>
    </row>
    <row r="57" spans="1:9">
      <c r="A57" s="25" t="s">
        <v>3606</v>
      </c>
      <c r="B57" s="25" t="s">
        <v>3555</v>
      </c>
      <c r="C57" s="26">
        <v>15523</v>
      </c>
      <c r="D57" s="26">
        <v>350490905000001</v>
      </c>
      <c r="E57" s="26">
        <v>3504909</v>
      </c>
      <c r="F57" s="26">
        <v>-44.3233301</v>
      </c>
      <c r="G57" s="26">
        <v>-22.682615999999999</v>
      </c>
      <c r="H57" s="26">
        <v>449.84810499999998</v>
      </c>
      <c r="I57" s="25" t="s">
        <v>3607</v>
      </c>
    </row>
    <row r="58" spans="1:9">
      <c r="A58" s="23" t="s">
        <v>3608</v>
      </c>
      <c r="B58" s="23" t="s">
        <v>3549</v>
      </c>
      <c r="C58" s="24">
        <v>15525</v>
      </c>
      <c r="D58" s="24">
        <v>350500505000001</v>
      </c>
      <c r="E58" s="24">
        <v>3505005</v>
      </c>
      <c r="F58" s="24">
        <v>-49.566063900000003</v>
      </c>
      <c r="G58" s="24">
        <v>-23.627110500000001</v>
      </c>
      <c r="H58" s="24">
        <v>570.63822800000003</v>
      </c>
      <c r="I58" s="23" t="s">
        <v>3609</v>
      </c>
    </row>
    <row r="59" spans="1:9">
      <c r="A59" s="25" t="s">
        <v>3610</v>
      </c>
      <c r="B59" s="25" t="s">
        <v>3523</v>
      </c>
      <c r="C59" s="26">
        <v>15526</v>
      </c>
      <c r="D59" s="26">
        <v>350510405000001</v>
      </c>
      <c r="E59" s="26">
        <v>3505104</v>
      </c>
      <c r="F59" s="26">
        <v>-49.953988500000001</v>
      </c>
      <c r="G59" s="26">
        <v>-21.259025900000001</v>
      </c>
      <c r="H59" s="26">
        <v>395.81386300000003</v>
      </c>
      <c r="I59" s="25" t="s">
        <v>3611</v>
      </c>
    </row>
    <row r="60" spans="1:9">
      <c r="A60" s="23" t="s">
        <v>3612</v>
      </c>
      <c r="B60" s="23" t="s">
        <v>3511</v>
      </c>
      <c r="C60" s="24">
        <v>15534</v>
      </c>
      <c r="D60" s="24">
        <v>350520305000001</v>
      </c>
      <c r="E60" s="24">
        <v>3505203</v>
      </c>
      <c r="F60" s="24">
        <v>-48.741524800000001</v>
      </c>
      <c r="G60" s="24">
        <v>-22.071978000000001</v>
      </c>
      <c r="H60" s="24">
        <v>435.44642599999997</v>
      </c>
      <c r="I60" s="23" t="s">
        <v>3613</v>
      </c>
    </row>
    <row r="61" spans="1:9">
      <c r="A61" s="25" t="s">
        <v>3614</v>
      </c>
      <c r="B61" s="25" t="s">
        <v>3511</v>
      </c>
      <c r="C61" s="26">
        <v>15539</v>
      </c>
      <c r="D61" s="26">
        <v>350530205000001</v>
      </c>
      <c r="E61" s="26">
        <v>3505302</v>
      </c>
      <c r="F61" s="26">
        <v>-48.563229200000002</v>
      </c>
      <c r="G61" s="26">
        <v>-22.491145499999998</v>
      </c>
      <c r="H61" s="26">
        <v>472.06330300000002</v>
      </c>
      <c r="I61" s="25" t="s">
        <v>3615</v>
      </c>
    </row>
    <row r="62" spans="1:9">
      <c r="A62" s="23" t="s">
        <v>3616</v>
      </c>
      <c r="B62" s="23" t="s">
        <v>3549</v>
      </c>
      <c r="C62" s="24">
        <v>15543</v>
      </c>
      <c r="D62" s="24">
        <v>350535105000001</v>
      </c>
      <c r="E62" s="24">
        <v>3505351</v>
      </c>
      <c r="F62" s="24">
        <v>-49.027139099999999</v>
      </c>
      <c r="G62" s="24">
        <v>-24.471426000000001</v>
      </c>
      <c r="H62" s="24">
        <v>773.93357000000003</v>
      </c>
      <c r="I62" s="23" t="s">
        <v>3617</v>
      </c>
    </row>
    <row r="63" spans="1:9">
      <c r="A63" s="25" t="s">
        <v>979</v>
      </c>
      <c r="B63" s="25" t="s">
        <v>3618</v>
      </c>
      <c r="C63" s="26">
        <v>15544</v>
      </c>
      <c r="D63" s="26">
        <v>350540105000001</v>
      </c>
      <c r="E63" s="26">
        <v>3505401</v>
      </c>
      <c r="F63" s="26">
        <v>-48.502343500000002</v>
      </c>
      <c r="G63" s="26">
        <v>-24.7593867</v>
      </c>
      <c r="H63" s="26">
        <v>153.957954</v>
      </c>
      <c r="I63" s="25" t="s">
        <v>3619</v>
      </c>
    </row>
    <row r="64" spans="1:9">
      <c r="A64" s="23" t="s">
        <v>37</v>
      </c>
      <c r="B64" s="23" t="s">
        <v>3518</v>
      </c>
      <c r="C64" s="24">
        <v>15545</v>
      </c>
      <c r="D64" s="24">
        <v>350550005000001</v>
      </c>
      <c r="E64" s="24">
        <v>3505500</v>
      </c>
      <c r="F64" s="24">
        <v>-48.567377800000003</v>
      </c>
      <c r="G64" s="24">
        <v>-20.558455500000001</v>
      </c>
      <c r="H64" s="24">
        <v>537.66359699999998</v>
      </c>
      <c r="I64" s="23" t="s">
        <v>3620</v>
      </c>
    </row>
    <row r="65" spans="1:9">
      <c r="A65" s="25" t="s">
        <v>3621</v>
      </c>
      <c r="B65" s="25" t="s">
        <v>3520</v>
      </c>
      <c r="C65" s="26">
        <v>15548</v>
      </c>
      <c r="D65" s="26">
        <v>350560905000001</v>
      </c>
      <c r="E65" s="26">
        <v>3505609</v>
      </c>
      <c r="F65" s="26">
        <v>-48.162813499999999</v>
      </c>
      <c r="G65" s="26">
        <v>-21.191743500000001</v>
      </c>
      <c r="H65" s="26">
        <v>512.96524199999999</v>
      </c>
      <c r="I65" s="25" t="s">
        <v>3622</v>
      </c>
    </row>
    <row r="66" spans="1:9">
      <c r="A66" s="23" t="s">
        <v>3623</v>
      </c>
      <c r="B66" s="23" t="s">
        <v>3585</v>
      </c>
      <c r="C66" s="24">
        <v>15552</v>
      </c>
      <c r="D66" s="24">
        <v>350570805000001</v>
      </c>
      <c r="E66" s="24">
        <v>3505708</v>
      </c>
      <c r="F66" s="24">
        <v>-46.874652900000001</v>
      </c>
      <c r="G66" s="24">
        <v>-23.508901999999999</v>
      </c>
      <c r="H66" s="24">
        <v>741.56507899999997</v>
      </c>
      <c r="I66" s="23" t="s">
        <v>3624</v>
      </c>
    </row>
    <row r="67" spans="1:9">
      <c r="A67" s="25" t="s">
        <v>3625</v>
      </c>
      <c r="B67" s="25" t="s">
        <v>3532</v>
      </c>
      <c r="C67" s="26">
        <v>15556</v>
      </c>
      <c r="D67" s="26">
        <v>350580705000001</v>
      </c>
      <c r="E67" s="26">
        <v>3505807</v>
      </c>
      <c r="F67" s="26">
        <v>-50.734870899999997</v>
      </c>
      <c r="G67" s="26">
        <v>-21.921037500000001</v>
      </c>
      <c r="H67" s="26">
        <v>453.599603</v>
      </c>
      <c r="I67" s="25" t="s">
        <v>3626</v>
      </c>
    </row>
    <row r="68" spans="1:9">
      <c r="A68" s="23" t="s">
        <v>3627</v>
      </c>
      <c r="B68" s="23" t="s">
        <v>3566</v>
      </c>
      <c r="C68" s="24">
        <v>15561</v>
      </c>
      <c r="D68" s="24">
        <v>350590605000001</v>
      </c>
      <c r="E68" s="24">
        <v>3505906</v>
      </c>
      <c r="F68" s="24">
        <v>-47.586106700000002</v>
      </c>
      <c r="G68" s="24">
        <v>-20.8919295</v>
      </c>
      <c r="H68" s="24">
        <v>865.73670100000004</v>
      </c>
      <c r="I68" s="23" t="s">
        <v>3628</v>
      </c>
    </row>
    <row r="69" spans="1:9">
      <c r="A69" s="25" t="s">
        <v>3629</v>
      </c>
      <c r="B69" s="25" t="s">
        <v>3511</v>
      </c>
      <c r="C69" s="26">
        <v>15562</v>
      </c>
      <c r="D69" s="26">
        <v>350600305000001</v>
      </c>
      <c r="E69" s="26">
        <v>3506003</v>
      </c>
      <c r="F69" s="26">
        <v>-49.083000900000002</v>
      </c>
      <c r="G69" s="26">
        <v>-22.325122499999999</v>
      </c>
      <c r="H69" s="26">
        <v>510.08846599999998</v>
      </c>
      <c r="I69" s="25" t="s">
        <v>3630</v>
      </c>
    </row>
    <row r="70" spans="1:9">
      <c r="A70" s="23" t="s">
        <v>3631</v>
      </c>
      <c r="B70" s="23" t="s">
        <v>3518</v>
      </c>
      <c r="C70" s="24">
        <v>15569</v>
      </c>
      <c r="D70" s="24">
        <v>350610205000001</v>
      </c>
      <c r="E70" s="24">
        <v>3506102</v>
      </c>
      <c r="F70" s="24">
        <v>-48.477362200000002</v>
      </c>
      <c r="G70" s="24">
        <v>-20.9498155</v>
      </c>
      <c r="H70" s="24">
        <v>564.73536200000001</v>
      </c>
      <c r="I70" s="23" t="s">
        <v>3632</v>
      </c>
    </row>
    <row r="71" spans="1:9">
      <c r="A71" s="25" t="s">
        <v>1597</v>
      </c>
      <c r="B71" s="25" t="s">
        <v>3523</v>
      </c>
      <c r="C71" s="26">
        <v>15573</v>
      </c>
      <c r="D71" s="26">
        <v>350620105000001</v>
      </c>
      <c r="E71" s="26">
        <v>3506201</v>
      </c>
      <c r="F71" s="26">
        <v>-50.811852199999997</v>
      </c>
      <c r="G71" s="26">
        <v>-21.269107999999999</v>
      </c>
      <c r="H71" s="26">
        <v>432.32479000000001</v>
      </c>
      <c r="I71" s="25" t="s">
        <v>3633</v>
      </c>
    </row>
    <row r="72" spans="1:9">
      <c r="A72" s="23" t="s">
        <v>3634</v>
      </c>
      <c r="B72" s="23" t="s">
        <v>3532</v>
      </c>
      <c r="C72" s="24">
        <v>15574</v>
      </c>
      <c r="D72" s="24">
        <v>350630005000001</v>
      </c>
      <c r="E72" s="24">
        <v>3506300</v>
      </c>
      <c r="F72" s="24">
        <v>-49.474043500000001</v>
      </c>
      <c r="G72" s="24">
        <v>-23.013553000000002</v>
      </c>
      <c r="H72" s="24">
        <v>698.07781199999999</v>
      </c>
      <c r="I72" s="23" t="s">
        <v>3635</v>
      </c>
    </row>
    <row r="73" spans="1:9">
      <c r="A73" s="25" t="s">
        <v>3636</v>
      </c>
      <c r="B73" s="25" t="s">
        <v>3637</v>
      </c>
      <c r="C73" s="26">
        <v>15575</v>
      </c>
      <c r="D73" s="26">
        <v>350635905000001</v>
      </c>
      <c r="E73" s="26">
        <v>3506359</v>
      </c>
      <c r="F73" s="26">
        <v>-46.136538299999998</v>
      </c>
      <c r="G73" s="26">
        <v>-23.854014500000002</v>
      </c>
      <c r="H73" s="26">
        <v>7.7199070000000001</v>
      </c>
      <c r="I73" s="25" t="s">
        <v>3638</v>
      </c>
    </row>
    <row r="74" spans="1:9">
      <c r="A74" s="23" t="s">
        <v>3383</v>
      </c>
      <c r="B74" s="23" t="s">
        <v>3523</v>
      </c>
      <c r="C74" s="24">
        <v>15578</v>
      </c>
      <c r="D74" s="24">
        <v>350640905000001</v>
      </c>
      <c r="E74" s="24">
        <v>3506409</v>
      </c>
      <c r="F74" s="24">
        <v>-50.4811105</v>
      </c>
      <c r="G74" s="24">
        <v>-21.402571099999999</v>
      </c>
      <c r="H74" s="24">
        <v>439.42571500000003</v>
      </c>
      <c r="I74" s="23" t="s">
        <v>3639</v>
      </c>
    </row>
    <row r="75" spans="1:9">
      <c r="A75" s="25" t="s">
        <v>3640</v>
      </c>
      <c r="B75" s="25" t="s">
        <v>3523</v>
      </c>
      <c r="C75" s="26">
        <v>15579</v>
      </c>
      <c r="D75" s="26">
        <v>350650805000001</v>
      </c>
      <c r="E75" s="26">
        <v>3506508</v>
      </c>
      <c r="F75" s="26">
        <v>-50.339328500000001</v>
      </c>
      <c r="G75" s="26">
        <v>-21.292392299999999</v>
      </c>
      <c r="H75" s="26">
        <v>414.40244100000001</v>
      </c>
      <c r="I75" s="25" t="s">
        <v>3641</v>
      </c>
    </row>
    <row r="76" spans="1:9">
      <c r="A76" s="23" t="s">
        <v>3642</v>
      </c>
      <c r="B76" s="23" t="s">
        <v>3585</v>
      </c>
      <c r="C76" s="24">
        <v>15580</v>
      </c>
      <c r="D76" s="24">
        <v>350660705000001</v>
      </c>
      <c r="E76" s="24">
        <v>3506607</v>
      </c>
      <c r="F76" s="24">
        <v>-46.041212199999997</v>
      </c>
      <c r="G76" s="24">
        <v>-23.571033400000001</v>
      </c>
      <c r="H76" s="24">
        <v>778.677502</v>
      </c>
      <c r="I76" s="23" t="s">
        <v>3643</v>
      </c>
    </row>
    <row r="77" spans="1:9">
      <c r="A77" s="25" t="s">
        <v>3644</v>
      </c>
      <c r="B77" s="25" t="s">
        <v>3538</v>
      </c>
      <c r="C77" s="26">
        <v>15581</v>
      </c>
      <c r="D77" s="26">
        <v>350670605000001</v>
      </c>
      <c r="E77" s="26">
        <v>3506706</v>
      </c>
      <c r="F77" s="26">
        <v>-48.390596899999998</v>
      </c>
      <c r="G77" s="26">
        <v>-21.9924842</v>
      </c>
      <c r="H77" s="26">
        <v>477.67313999999999</v>
      </c>
      <c r="I77" s="25" t="s">
        <v>3645</v>
      </c>
    </row>
    <row r="78" spans="1:9">
      <c r="A78" s="23" t="s">
        <v>3646</v>
      </c>
      <c r="B78" s="23" t="s">
        <v>3511</v>
      </c>
      <c r="C78" s="24">
        <v>15582</v>
      </c>
      <c r="D78" s="24">
        <v>350680505000001</v>
      </c>
      <c r="E78" s="24">
        <v>3506805</v>
      </c>
      <c r="F78" s="24">
        <v>-48.520493600000002</v>
      </c>
      <c r="G78" s="24">
        <v>-22.133922500000001</v>
      </c>
      <c r="H78" s="24">
        <v>571.99873500000001</v>
      </c>
      <c r="I78" s="23" t="s">
        <v>3647</v>
      </c>
    </row>
    <row r="79" spans="1:9">
      <c r="A79" s="25" t="s">
        <v>3648</v>
      </c>
      <c r="B79" s="25" t="s">
        <v>3508</v>
      </c>
      <c r="C79" s="26">
        <v>15584</v>
      </c>
      <c r="D79" s="26">
        <v>350690405000001</v>
      </c>
      <c r="E79" s="26">
        <v>3506904</v>
      </c>
      <c r="F79" s="26">
        <v>-48.260033100000001</v>
      </c>
      <c r="G79" s="26">
        <v>-23.102519999999998</v>
      </c>
      <c r="H79" s="26">
        <v>568.31184900000005</v>
      </c>
      <c r="I79" s="25" t="s">
        <v>3649</v>
      </c>
    </row>
    <row r="80" spans="1:9">
      <c r="A80" s="23" t="s">
        <v>56</v>
      </c>
      <c r="B80" s="23" t="s">
        <v>3508</v>
      </c>
      <c r="C80" s="24">
        <v>15591</v>
      </c>
      <c r="D80" s="24">
        <v>350700105000001</v>
      </c>
      <c r="E80" s="24">
        <v>3507001</v>
      </c>
      <c r="F80" s="24">
        <v>-47.671473499999998</v>
      </c>
      <c r="G80" s="24">
        <v>-23.281943999999999</v>
      </c>
      <c r="H80" s="24">
        <v>643.45961399999999</v>
      </c>
      <c r="I80" s="23" t="s">
        <v>3650</v>
      </c>
    </row>
    <row r="81" spans="1:9">
      <c r="A81" s="25" t="s">
        <v>3651</v>
      </c>
      <c r="B81" s="25" t="s">
        <v>3501</v>
      </c>
      <c r="C81" s="26">
        <v>15602</v>
      </c>
      <c r="D81" s="26">
        <v>350710005000001</v>
      </c>
      <c r="E81" s="26">
        <v>3507100</v>
      </c>
      <c r="F81" s="26">
        <v>-46.466492799999997</v>
      </c>
      <c r="G81" s="26">
        <v>-23.130837400000001</v>
      </c>
      <c r="H81" s="26">
        <v>758.37112200000001</v>
      </c>
      <c r="I81" s="25" t="s">
        <v>3652</v>
      </c>
    </row>
    <row r="82" spans="1:9">
      <c r="A82" s="23" t="s">
        <v>3653</v>
      </c>
      <c r="B82" s="23" t="s">
        <v>3549</v>
      </c>
      <c r="C82" s="24">
        <v>15606</v>
      </c>
      <c r="D82" s="24">
        <v>350715905000001</v>
      </c>
      <c r="E82" s="24">
        <v>3507159</v>
      </c>
      <c r="F82" s="24">
        <v>-49.143761900000001</v>
      </c>
      <c r="G82" s="24">
        <v>-24.318262799999999</v>
      </c>
      <c r="H82" s="24">
        <v>965.02672900000005</v>
      </c>
      <c r="I82" s="23" t="s">
        <v>3654</v>
      </c>
    </row>
    <row r="83" spans="1:9">
      <c r="A83" s="25" t="s">
        <v>3655</v>
      </c>
      <c r="B83" s="25" t="s">
        <v>3532</v>
      </c>
      <c r="C83" s="26">
        <v>15607</v>
      </c>
      <c r="D83" s="26">
        <v>350720905000001</v>
      </c>
      <c r="E83" s="26">
        <v>3507209</v>
      </c>
      <c r="F83" s="26">
        <v>-50.544880999999997</v>
      </c>
      <c r="G83" s="26">
        <v>-22.2701171</v>
      </c>
      <c r="H83" s="26">
        <v>464.72750600000001</v>
      </c>
      <c r="I83" s="25" t="s">
        <v>3656</v>
      </c>
    </row>
    <row r="84" spans="1:9">
      <c r="A84" s="23" t="s">
        <v>1180</v>
      </c>
      <c r="B84" s="23" t="s">
        <v>3511</v>
      </c>
      <c r="C84" s="24">
        <v>15608</v>
      </c>
      <c r="D84" s="24">
        <v>350730805000001</v>
      </c>
      <c r="E84" s="24">
        <v>3507308</v>
      </c>
      <c r="F84" s="24">
        <v>-48.779218299999997</v>
      </c>
      <c r="G84" s="24">
        <v>-22.1932057</v>
      </c>
      <c r="H84" s="24">
        <v>484.73692299999999</v>
      </c>
      <c r="I84" s="23" t="s">
        <v>3657</v>
      </c>
    </row>
    <row r="85" spans="1:9">
      <c r="A85" s="25" t="s">
        <v>3658</v>
      </c>
      <c r="B85" s="25" t="s">
        <v>3538</v>
      </c>
      <c r="C85" s="26">
        <v>15611</v>
      </c>
      <c r="D85" s="26">
        <v>350740705000001</v>
      </c>
      <c r="E85" s="26">
        <v>3507407</v>
      </c>
      <c r="F85" s="26">
        <v>-49.072640200000002</v>
      </c>
      <c r="G85" s="26">
        <v>-21.621538000000001</v>
      </c>
      <c r="H85" s="26">
        <v>414.40568200000001</v>
      </c>
      <c r="I85" s="25" t="s">
        <v>3659</v>
      </c>
    </row>
    <row r="86" spans="1:9">
      <c r="A86" s="23" t="s">
        <v>3660</v>
      </c>
      <c r="B86" s="23" t="s">
        <v>3511</v>
      </c>
      <c r="C86" s="24">
        <v>15621</v>
      </c>
      <c r="D86" s="24">
        <v>350745605000001</v>
      </c>
      <c r="E86" s="24">
        <v>3507456</v>
      </c>
      <c r="F86" s="24">
        <v>-48.971595800000003</v>
      </c>
      <c r="G86" s="24">
        <v>-22.567833100000001</v>
      </c>
      <c r="H86" s="24">
        <v>602.88441399999999</v>
      </c>
      <c r="I86" s="23" t="s">
        <v>3661</v>
      </c>
    </row>
    <row r="87" spans="1:9">
      <c r="A87" s="25" t="s">
        <v>3662</v>
      </c>
      <c r="B87" s="25" t="s">
        <v>3508</v>
      </c>
      <c r="C87" s="26">
        <v>15622</v>
      </c>
      <c r="D87" s="26">
        <v>350750605000001</v>
      </c>
      <c r="E87" s="26">
        <v>3507506</v>
      </c>
      <c r="F87" s="26">
        <v>-48.441289400000002</v>
      </c>
      <c r="G87" s="26">
        <v>-22.888381500000001</v>
      </c>
      <c r="H87" s="26">
        <v>818.475551</v>
      </c>
      <c r="I87" s="25" t="s">
        <v>3663</v>
      </c>
    </row>
    <row r="88" spans="1:9">
      <c r="A88" s="23" t="s">
        <v>3664</v>
      </c>
      <c r="B88" s="23" t="s">
        <v>3501</v>
      </c>
      <c r="C88" s="24">
        <v>15631</v>
      </c>
      <c r="D88" s="24">
        <v>350760505000001</v>
      </c>
      <c r="E88" s="24">
        <v>3507605</v>
      </c>
      <c r="F88" s="24">
        <v>-46.542333399999997</v>
      </c>
      <c r="G88" s="24">
        <v>-22.956895500000002</v>
      </c>
      <c r="H88" s="24">
        <v>865.33463500000005</v>
      </c>
      <c r="I88" s="23" t="s">
        <v>3665</v>
      </c>
    </row>
    <row r="89" spans="1:9">
      <c r="A89" s="25" t="s">
        <v>3666</v>
      </c>
      <c r="B89" s="25" t="s">
        <v>3523</v>
      </c>
      <c r="C89" s="26">
        <v>15632</v>
      </c>
      <c r="D89" s="26">
        <v>350770405000001</v>
      </c>
      <c r="E89" s="26">
        <v>3507704</v>
      </c>
      <c r="F89" s="26">
        <v>-50.3181656</v>
      </c>
      <c r="G89" s="26">
        <v>-21.5010212</v>
      </c>
      <c r="H89" s="26">
        <v>464.43020999999999</v>
      </c>
      <c r="I89" s="25" t="s">
        <v>3667</v>
      </c>
    </row>
    <row r="90" spans="1:9">
      <c r="A90" s="23" t="s">
        <v>3668</v>
      </c>
      <c r="B90" s="23" t="s">
        <v>3523</v>
      </c>
      <c r="C90" s="24">
        <v>15633</v>
      </c>
      <c r="D90" s="24">
        <v>350775305000001</v>
      </c>
      <c r="E90" s="24">
        <v>3507753</v>
      </c>
      <c r="F90" s="24">
        <v>-50.187258499999999</v>
      </c>
      <c r="G90" s="24">
        <v>-21.166128499999999</v>
      </c>
      <c r="H90" s="24">
        <v>398.35431499999999</v>
      </c>
      <c r="I90" s="23" t="s">
        <v>3669</v>
      </c>
    </row>
    <row r="91" spans="1:9">
      <c r="A91" s="25" t="s">
        <v>335</v>
      </c>
      <c r="B91" s="25" t="s">
        <v>3520</v>
      </c>
      <c r="C91" s="26">
        <v>15635</v>
      </c>
      <c r="D91" s="26">
        <v>350780305000001</v>
      </c>
      <c r="E91" s="26">
        <v>3507803</v>
      </c>
      <c r="F91" s="26">
        <v>-47.656398000000003</v>
      </c>
      <c r="G91" s="26">
        <v>-20.990140400000001</v>
      </c>
      <c r="H91" s="26">
        <v>863.03351599999996</v>
      </c>
      <c r="I91" s="25" t="s">
        <v>3670</v>
      </c>
    </row>
    <row r="92" spans="1:9">
      <c r="A92" s="23" t="s">
        <v>3153</v>
      </c>
      <c r="B92" s="23" t="s">
        <v>3501</v>
      </c>
      <c r="C92" s="24">
        <v>15636</v>
      </c>
      <c r="D92" s="24">
        <v>350790205000001</v>
      </c>
      <c r="E92" s="24">
        <v>3507902</v>
      </c>
      <c r="F92" s="24">
        <v>-48.126833300000001</v>
      </c>
      <c r="G92" s="24">
        <v>-22.286517</v>
      </c>
      <c r="H92" s="24">
        <v>643.28009999999995</v>
      </c>
      <c r="I92" s="23" t="s">
        <v>3671</v>
      </c>
    </row>
    <row r="93" spans="1:9">
      <c r="A93" s="25" t="s">
        <v>3672</v>
      </c>
      <c r="B93" s="25" t="s">
        <v>3549</v>
      </c>
      <c r="C93" s="26">
        <v>15639</v>
      </c>
      <c r="D93" s="26">
        <v>350800905000001</v>
      </c>
      <c r="E93" s="26">
        <v>3508009</v>
      </c>
      <c r="F93" s="26">
        <v>-48.597414999999998</v>
      </c>
      <c r="G93" s="26">
        <v>-23.799381400000001</v>
      </c>
      <c r="H93" s="26">
        <v>602.69477700000004</v>
      </c>
      <c r="I93" s="25" t="s">
        <v>3673</v>
      </c>
    </row>
    <row r="94" spans="1:9">
      <c r="A94" s="23" t="s">
        <v>1932</v>
      </c>
      <c r="B94" s="23" t="s">
        <v>3523</v>
      </c>
      <c r="C94" s="24">
        <v>15642</v>
      </c>
      <c r="D94" s="24">
        <v>350810805000001</v>
      </c>
      <c r="E94" s="24">
        <v>3508108</v>
      </c>
      <c r="F94" s="24">
        <v>-50.149281299999998</v>
      </c>
      <c r="G94" s="24">
        <v>-21.067039600000001</v>
      </c>
      <c r="H94" s="24">
        <v>399.17229900000001</v>
      </c>
      <c r="I94" s="23" t="s">
        <v>3674</v>
      </c>
    </row>
    <row r="95" spans="1:9">
      <c r="A95" s="25" t="s">
        <v>3675</v>
      </c>
      <c r="B95" s="25" t="s">
        <v>3566</v>
      </c>
      <c r="C95" s="26">
        <v>15656</v>
      </c>
      <c r="D95" s="26">
        <v>350820705000001</v>
      </c>
      <c r="E95" s="26">
        <v>3508207</v>
      </c>
      <c r="F95" s="26">
        <v>-47.708860000000001</v>
      </c>
      <c r="G95" s="26">
        <v>-20.1931482</v>
      </c>
      <c r="H95" s="26">
        <v>861.39270899999997</v>
      </c>
      <c r="I95" s="25" t="s">
        <v>3676</v>
      </c>
    </row>
    <row r="96" spans="1:9">
      <c r="A96" s="23" t="s">
        <v>3677</v>
      </c>
      <c r="B96" s="23" t="s">
        <v>3511</v>
      </c>
      <c r="C96" s="24">
        <v>15657</v>
      </c>
      <c r="D96" s="24">
        <v>350830605000001</v>
      </c>
      <c r="E96" s="24">
        <v>3508306</v>
      </c>
      <c r="F96" s="24">
        <v>-49.3324468</v>
      </c>
      <c r="G96" s="24">
        <v>-22.455086999999999</v>
      </c>
      <c r="H96" s="24">
        <v>533.08313199999998</v>
      </c>
      <c r="I96" s="23" t="s">
        <v>3678</v>
      </c>
    </row>
    <row r="97" spans="1:9">
      <c r="A97" s="25" t="s">
        <v>148</v>
      </c>
      <c r="B97" s="25" t="s">
        <v>3501</v>
      </c>
      <c r="C97" s="26">
        <v>15658</v>
      </c>
      <c r="D97" s="26">
        <v>350840505000001</v>
      </c>
      <c r="E97" s="26">
        <v>3508405</v>
      </c>
      <c r="F97" s="26">
        <v>-47.133658400000002</v>
      </c>
      <c r="G97" s="26">
        <v>-23.312674399999999</v>
      </c>
      <c r="H97" s="26">
        <v>656.60309900000004</v>
      </c>
      <c r="I97" s="25" t="s">
        <v>3679</v>
      </c>
    </row>
    <row r="98" spans="1:9">
      <c r="A98" s="23" t="s">
        <v>2782</v>
      </c>
      <c r="B98" s="23" t="s">
        <v>3555</v>
      </c>
      <c r="C98" s="24">
        <v>15667</v>
      </c>
      <c r="D98" s="24">
        <v>350850405000001</v>
      </c>
      <c r="E98" s="24">
        <v>3508504</v>
      </c>
      <c r="F98" s="24">
        <v>-45.707730400000003</v>
      </c>
      <c r="G98" s="24">
        <v>-23.1006638</v>
      </c>
      <c r="H98" s="24">
        <v>562.24275899999998</v>
      </c>
      <c r="I98" s="23" t="s">
        <v>3680</v>
      </c>
    </row>
    <row r="99" spans="1:9">
      <c r="A99" s="25" t="s">
        <v>416</v>
      </c>
      <c r="B99" s="25" t="s">
        <v>3555</v>
      </c>
      <c r="C99" s="26">
        <v>15670</v>
      </c>
      <c r="D99" s="26">
        <v>350860305000001</v>
      </c>
      <c r="E99" s="26">
        <v>3508603</v>
      </c>
      <c r="F99" s="26">
        <v>-45.010630399999997</v>
      </c>
      <c r="G99" s="26">
        <v>-22.6647544</v>
      </c>
      <c r="H99" s="26">
        <v>524.07165799999996</v>
      </c>
      <c r="I99" s="25" t="s">
        <v>3681</v>
      </c>
    </row>
    <row r="100" spans="1:9">
      <c r="A100" s="23" t="s">
        <v>3682</v>
      </c>
      <c r="B100" s="23" t="s">
        <v>3501</v>
      </c>
      <c r="C100" s="24">
        <v>15674</v>
      </c>
      <c r="D100" s="24">
        <v>350870205000001</v>
      </c>
      <c r="E100" s="24">
        <v>3508702</v>
      </c>
      <c r="F100" s="24">
        <v>-46.646834900000002</v>
      </c>
      <c r="G100" s="24">
        <v>-21.528738000000001</v>
      </c>
      <c r="H100" s="24">
        <v>804.71944599999995</v>
      </c>
      <c r="I100" s="23" t="s">
        <v>3683</v>
      </c>
    </row>
    <row r="101" spans="1:9">
      <c r="A101" s="25" t="s">
        <v>2002</v>
      </c>
      <c r="B101" s="25" t="s">
        <v>3511</v>
      </c>
      <c r="C101" s="26">
        <v>15677</v>
      </c>
      <c r="D101" s="26">
        <v>350880105000001</v>
      </c>
      <c r="E101" s="26">
        <v>3508801</v>
      </c>
      <c r="F101" s="26">
        <v>-49.600354400000001</v>
      </c>
      <c r="G101" s="26">
        <v>-21.809705300000001</v>
      </c>
      <c r="H101" s="26">
        <v>441.67568</v>
      </c>
      <c r="I101" s="25" t="s">
        <v>3684</v>
      </c>
    </row>
    <row r="102" spans="1:9">
      <c r="A102" s="23" t="s">
        <v>3685</v>
      </c>
      <c r="B102" s="23" t="s">
        <v>3495</v>
      </c>
      <c r="C102" s="24">
        <v>15682</v>
      </c>
      <c r="D102" s="24">
        <v>350890005000001</v>
      </c>
      <c r="E102" s="24">
        <v>3508900</v>
      </c>
      <c r="F102" s="24">
        <v>-51.235953100000003</v>
      </c>
      <c r="G102" s="24">
        <v>-22.012325300000001</v>
      </c>
      <c r="H102" s="24">
        <v>406.34111300000001</v>
      </c>
      <c r="I102" s="23" t="s">
        <v>3686</v>
      </c>
    </row>
    <row r="103" spans="1:9">
      <c r="A103" s="25" t="s">
        <v>1377</v>
      </c>
      <c r="B103" s="25" t="s">
        <v>3585</v>
      </c>
      <c r="C103" s="26">
        <v>15685</v>
      </c>
      <c r="D103" s="26">
        <v>350900705000001</v>
      </c>
      <c r="E103" s="26">
        <v>3509007</v>
      </c>
      <c r="F103" s="26">
        <v>-46.744101399999998</v>
      </c>
      <c r="G103" s="26">
        <v>-23.362116100000001</v>
      </c>
      <c r="H103" s="26">
        <v>763.63096599999994</v>
      </c>
      <c r="I103" s="25" t="s">
        <v>3687</v>
      </c>
    </row>
    <row r="104" spans="1:9">
      <c r="A104" s="23" t="s">
        <v>3688</v>
      </c>
      <c r="B104" s="23" t="s">
        <v>3495</v>
      </c>
      <c r="C104" s="24">
        <v>15693</v>
      </c>
      <c r="D104" s="24">
        <v>350910605000001</v>
      </c>
      <c r="E104" s="24">
        <v>3509106</v>
      </c>
      <c r="F104" s="24">
        <v>-51.986892699999999</v>
      </c>
      <c r="G104" s="24">
        <v>-21.829910300000002</v>
      </c>
      <c r="H104" s="24">
        <v>317.48937000000001</v>
      </c>
      <c r="I104" s="23" t="s">
        <v>3689</v>
      </c>
    </row>
    <row r="105" spans="1:9">
      <c r="A105" s="25" t="s">
        <v>1235</v>
      </c>
      <c r="B105" s="25" t="s">
        <v>3585</v>
      </c>
      <c r="C105" s="26">
        <v>15696</v>
      </c>
      <c r="D105" s="26">
        <v>350920505000001</v>
      </c>
      <c r="E105" s="26">
        <v>3509205</v>
      </c>
      <c r="F105" s="26">
        <v>-46.8829201</v>
      </c>
      <c r="G105" s="26">
        <v>-23.3609714</v>
      </c>
      <c r="H105" s="26">
        <v>867.050792</v>
      </c>
      <c r="I105" s="25" t="s">
        <v>3690</v>
      </c>
    </row>
    <row r="106" spans="1:9">
      <c r="A106" s="23" t="s">
        <v>3216</v>
      </c>
      <c r="B106" s="23" t="s">
        <v>3618</v>
      </c>
      <c r="C106" s="24">
        <v>15699</v>
      </c>
      <c r="D106" s="24">
        <v>350925405000001</v>
      </c>
      <c r="E106" s="24">
        <v>3509254</v>
      </c>
      <c r="F106" s="24">
        <v>-48.104999800000002</v>
      </c>
      <c r="G106" s="24">
        <v>-24.726361000000001</v>
      </c>
      <c r="H106" s="24">
        <v>34.467098</v>
      </c>
      <c r="I106" s="23" t="s">
        <v>3691</v>
      </c>
    </row>
    <row r="107" spans="1:9">
      <c r="A107" s="25" t="s">
        <v>3692</v>
      </c>
      <c r="B107" s="25" t="s">
        <v>3518</v>
      </c>
      <c r="C107" s="26">
        <v>15705</v>
      </c>
      <c r="D107" s="26">
        <v>350930405000001</v>
      </c>
      <c r="E107" s="26">
        <v>3509304</v>
      </c>
      <c r="F107" s="26">
        <v>-48.810122399999997</v>
      </c>
      <c r="G107" s="26">
        <v>-20.879092499999999</v>
      </c>
      <c r="H107" s="26">
        <v>544.67959499999995</v>
      </c>
      <c r="I107" s="25" t="s">
        <v>3693</v>
      </c>
    </row>
    <row r="108" spans="1:9">
      <c r="A108" s="23" t="s">
        <v>3694</v>
      </c>
      <c r="B108" s="23" t="s">
        <v>3520</v>
      </c>
      <c r="C108" s="24">
        <v>15707</v>
      </c>
      <c r="D108" s="24">
        <v>350940305000001</v>
      </c>
      <c r="E108" s="24">
        <v>3509403</v>
      </c>
      <c r="F108" s="24">
        <v>-47.3042661</v>
      </c>
      <c r="G108" s="24">
        <v>-21.274717500000001</v>
      </c>
      <c r="H108" s="24">
        <v>784.28903300000002</v>
      </c>
      <c r="I108" s="23" t="s">
        <v>3695</v>
      </c>
    </row>
    <row r="109" spans="1:9">
      <c r="A109" s="25" t="s">
        <v>3696</v>
      </c>
      <c r="B109" s="25" t="s">
        <v>3549</v>
      </c>
      <c r="C109" s="26">
        <v>15708</v>
      </c>
      <c r="D109" s="26">
        <v>350945205000001</v>
      </c>
      <c r="E109" s="26">
        <v>3509452</v>
      </c>
      <c r="F109" s="26">
        <v>-48.480398999999998</v>
      </c>
      <c r="G109" s="26">
        <v>-23.584076799999998</v>
      </c>
      <c r="H109" s="26">
        <v>609.04163900000003</v>
      </c>
      <c r="I109" s="25" t="s">
        <v>3697</v>
      </c>
    </row>
    <row r="110" spans="1:9">
      <c r="A110" s="23" t="s">
        <v>790</v>
      </c>
      <c r="B110" s="23" t="s">
        <v>3501</v>
      </c>
      <c r="C110" s="24">
        <v>15710</v>
      </c>
      <c r="D110" s="24">
        <v>350950205000001</v>
      </c>
      <c r="E110" s="24">
        <v>3509502</v>
      </c>
      <c r="F110" s="24">
        <v>-47.060156300000003</v>
      </c>
      <c r="G110" s="24">
        <v>-22.907342499999999</v>
      </c>
      <c r="H110" s="24">
        <v>688.98713699999996</v>
      </c>
      <c r="I110" s="23" t="s">
        <v>3698</v>
      </c>
    </row>
    <row r="111" spans="1:9">
      <c r="A111" s="25" t="s">
        <v>3699</v>
      </c>
      <c r="B111" s="25" t="s">
        <v>3501</v>
      </c>
      <c r="C111" s="26">
        <v>15719</v>
      </c>
      <c r="D111" s="26">
        <v>350960105000001</v>
      </c>
      <c r="E111" s="26">
        <v>3509601</v>
      </c>
      <c r="F111" s="26">
        <v>-46.7638192</v>
      </c>
      <c r="G111" s="26">
        <v>-23.209396399999999</v>
      </c>
      <c r="H111" s="26">
        <v>765.878872</v>
      </c>
      <c r="I111" s="25" t="s">
        <v>3700</v>
      </c>
    </row>
    <row r="112" spans="1:9">
      <c r="A112" s="23" t="s">
        <v>1534</v>
      </c>
      <c r="B112" s="23" t="s">
        <v>3555</v>
      </c>
      <c r="C112" s="24">
        <v>15721</v>
      </c>
      <c r="D112" s="24">
        <v>350970005000001</v>
      </c>
      <c r="E112" s="24">
        <v>3509700</v>
      </c>
      <c r="F112" s="24">
        <v>-45.589201699999997</v>
      </c>
      <c r="G112" s="24">
        <v>-22.740091899999999</v>
      </c>
      <c r="H112" s="24">
        <v>1639.1545000000001</v>
      </c>
      <c r="I112" s="23" t="s">
        <v>3701</v>
      </c>
    </row>
    <row r="113" spans="1:9">
      <c r="A113" s="25" t="s">
        <v>3702</v>
      </c>
      <c r="B113" s="25" t="s">
        <v>3532</v>
      </c>
      <c r="C113" s="26">
        <v>15722</v>
      </c>
      <c r="D113" s="26">
        <v>350980905000001</v>
      </c>
      <c r="E113" s="26">
        <v>3509809</v>
      </c>
      <c r="F113" s="26">
        <v>-50.001794699999998</v>
      </c>
      <c r="G113" s="26">
        <v>-22.599748999999999</v>
      </c>
      <c r="H113" s="26">
        <v>478.71716600000002</v>
      </c>
      <c r="I113" s="25" t="s">
        <v>3703</v>
      </c>
    </row>
    <row r="114" spans="1:9">
      <c r="A114" s="23" t="s">
        <v>2073</v>
      </c>
      <c r="B114" s="23" t="s">
        <v>3618</v>
      </c>
      <c r="C114" s="24">
        <v>15723</v>
      </c>
      <c r="D114" s="24">
        <v>350990805000001</v>
      </c>
      <c r="E114" s="24">
        <v>3509908</v>
      </c>
      <c r="F114" s="24">
        <v>-47.928482799999998</v>
      </c>
      <c r="G114" s="24">
        <v>-25.016908099999998</v>
      </c>
      <c r="H114" s="24">
        <v>7.8404660000000002</v>
      </c>
      <c r="I114" s="23" t="s">
        <v>3704</v>
      </c>
    </row>
    <row r="115" spans="1:9">
      <c r="A115" s="25" t="s">
        <v>3705</v>
      </c>
      <c r="B115" s="25" t="s">
        <v>3555</v>
      </c>
      <c r="C115" s="26">
        <v>15725</v>
      </c>
      <c r="D115" s="26">
        <v>350995705000001</v>
      </c>
      <c r="E115" s="26">
        <v>3509957</v>
      </c>
      <c r="F115" s="26">
        <v>-45.056975700000002</v>
      </c>
      <c r="G115" s="26">
        <v>-22.690669100000001</v>
      </c>
      <c r="H115" s="26">
        <v>524.87611900000002</v>
      </c>
      <c r="I115" s="25" t="s">
        <v>3706</v>
      </c>
    </row>
    <row r="116" spans="1:9">
      <c r="A116" s="23" t="s">
        <v>3707</v>
      </c>
      <c r="B116" s="23" t="s">
        <v>3532</v>
      </c>
      <c r="C116" s="24">
        <v>15726</v>
      </c>
      <c r="D116" s="24">
        <v>351000505000001</v>
      </c>
      <c r="E116" s="24">
        <v>3510005</v>
      </c>
      <c r="F116" s="24">
        <v>-50.388393200000003</v>
      </c>
      <c r="G116" s="24">
        <v>-22.7469255</v>
      </c>
      <c r="H116" s="24">
        <v>483.63968899999998</v>
      </c>
      <c r="I116" s="23" t="s">
        <v>3708</v>
      </c>
    </row>
    <row r="117" spans="1:9">
      <c r="A117" s="25" t="s">
        <v>3709</v>
      </c>
      <c r="B117" s="25" t="s">
        <v>3538</v>
      </c>
      <c r="C117" s="26">
        <v>15730</v>
      </c>
      <c r="D117" s="26">
        <v>351010405000001</v>
      </c>
      <c r="E117" s="26">
        <v>3510104</v>
      </c>
      <c r="F117" s="26">
        <v>-48.634039299999998</v>
      </c>
      <c r="G117" s="26">
        <v>-21.3226136</v>
      </c>
      <c r="H117" s="26">
        <v>610.66268600000001</v>
      </c>
      <c r="I117" s="25" t="s">
        <v>3710</v>
      </c>
    </row>
    <row r="118" spans="1:9">
      <c r="A118" s="23" t="s">
        <v>3711</v>
      </c>
      <c r="B118" s="23" t="s">
        <v>3532</v>
      </c>
      <c r="C118" s="24">
        <v>15731</v>
      </c>
      <c r="D118" s="24">
        <v>351015305000001</v>
      </c>
      <c r="E118" s="24">
        <v>3510153</v>
      </c>
      <c r="F118" s="24">
        <v>-49.785432</v>
      </c>
      <c r="G118" s="24">
        <v>-23.0098372</v>
      </c>
      <c r="H118" s="24">
        <v>500.29647</v>
      </c>
      <c r="I118" s="23" t="s">
        <v>3712</v>
      </c>
    </row>
    <row r="119" spans="1:9">
      <c r="A119" s="25" t="s">
        <v>1995</v>
      </c>
      <c r="B119" s="25" t="s">
        <v>3549</v>
      </c>
      <c r="C119" s="26">
        <v>15732</v>
      </c>
      <c r="D119" s="26">
        <v>351020305000001</v>
      </c>
      <c r="E119" s="26">
        <v>3510203</v>
      </c>
      <c r="F119" s="26">
        <v>-48.351434500000003</v>
      </c>
      <c r="G119" s="26">
        <v>-24.006800999999999</v>
      </c>
      <c r="H119" s="26">
        <v>705.78998100000001</v>
      </c>
      <c r="I119" s="25" t="s">
        <v>3713</v>
      </c>
    </row>
    <row r="120" spans="1:9">
      <c r="A120" s="23" t="s">
        <v>3714</v>
      </c>
      <c r="B120" s="23" t="s">
        <v>3508</v>
      </c>
      <c r="C120" s="24">
        <v>15734</v>
      </c>
      <c r="D120" s="24">
        <v>351030205000001</v>
      </c>
      <c r="E120" s="24">
        <v>3510302</v>
      </c>
      <c r="F120" s="24">
        <v>-47.736118400000002</v>
      </c>
      <c r="G120" s="24">
        <v>-23.469902999999999</v>
      </c>
      <c r="H120" s="24">
        <v>612.48987399999999</v>
      </c>
      <c r="I120" s="23" t="s">
        <v>3715</v>
      </c>
    </row>
    <row r="121" spans="1:9">
      <c r="A121" s="25" t="s">
        <v>1849</v>
      </c>
      <c r="B121" s="25" t="s">
        <v>3501</v>
      </c>
      <c r="C121" s="26">
        <v>15745</v>
      </c>
      <c r="D121" s="26">
        <v>351040105000001</v>
      </c>
      <c r="E121" s="26">
        <v>3510401</v>
      </c>
      <c r="F121" s="26">
        <v>-47.502206200000003</v>
      </c>
      <c r="G121" s="26">
        <v>-22.999548900000001</v>
      </c>
      <c r="H121" s="26">
        <v>526.94302800000003</v>
      </c>
      <c r="I121" s="25" t="s">
        <v>3716</v>
      </c>
    </row>
    <row r="122" spans="1:9">
      <c r="A122" s="23" t="s">
        <v>2236</v>
      </c>
      <c r="B122" s="23" t="s">
        <v>3555</v>
      </c>
      <c r="C122" s="24">
        <v>15748</v>
      </c>
      <c r="D122" s="24">
        <v>351050005000001</v>
      </c>
      <c r="E122" s="24">
        <v>3510500</v>
      </c>
      <c r="F122" s="24">
        <v>-45.410818399999997</v>
      </c>
      <c r="G122" s="24">
        <v>-23.622006500000001</v>
      </c>
      <c r="H122" s="24">
        <v>3.1946180000000002</v>
      </c>
      <c r="I122" s="23" t="s">
        <v>3717</v>
      </c>
    </row>
    <row r="123" spans="1:9">
      <c r="A123" s="25" t="s">
        <v>3718</v>
      </c>
      <c r="B123" s="25" t="s">
        <v>3585</v>
      </c>
      <c r="C123" s="26">
        <v>15750</v>
      </c>
      <c r="D123" s="26">
        <v>351060905000001</v>
      </c>
      <c r="E123" s="26">
        <v>3510609</v>
      </c>
      <c r="F123" s="26">
        <v>-46.841445399999998</v>
      </c>
      <c r="G123" s="26">
        <v>-23.535249499999999</v>
      </c>
      <c r="H123" s="26">
        <v>785.34430999999995</v>
      </c>
      <c r="I123" s="25" t="s">
        <v>3719</v>
      </c>
    </row>
    <row r="124" spans="1:9">
      <c r="A124" s="23" t="s">
        <v>3720</v>
      </c>
      <c r="B124" s="23" t="s">
        <v>3498</v>
      </c>
      <c r="C124" s="24">
        <v>15753</v>
      </c>
      <c r="D124" s="24">
        <v>351070805000001</v>
      </c>
      <c r="E124" s="24">
        <v>3510708</v>
      </c>
      <c r="F124" s="24">
        <v>-49.9149423</v>
      </c>
      <c r="G124" s="24">
        <v>-20.0809915</v>
      </c>
      <c r="H124" s="24">
        <v>427.082041</v>
      </c>
      <c r="I124" s="23" t="s">
        <v>3721</v>
      </c>
    </row>
    <row r="125" spans="1:9">
      <c r="A125" s="25" t="s">
        <v>1968</v>
      </c>
      <c r="B125" s="25" t="s">
        <v>3501</v>
      </c>
      <c r="C125" s="26">
        <v>15756</v>
      </c>
      <c r="D125" s="26">
        <v>351080705000001</v>
      </c>
      <c r="E125" s="26">
        <v>3510807</v>
      </c>
      <c r="F125" s="26">
        <v>-47.079758200000001</v>
      </c>
      <c r="G125" s="26">
        <v>-21.777987</v>
      </c>
      <c r="H125" s="26">
        <v>718.09278400000005</v>
      </c>
      <c r="I125" s="25" t="s">
        <v>3722</v>
      </c>
    </row>
    <row r="126" spans="1:9">
      <c r="A126" s="23" t="s">
        <v>3723</v>
      </c>
      <c r="B126" s="23" t="s">
        <v>3520</v>
      </c>
      <c r="C126" s="24">
        <v>15759</v>
      </c>
      <c r="D126" s="24">
        <v>351090605000001</v>
      </c>
      <c r="E126" s="24">
        <v>3510906</v>
      </c>
      <c r="F126" s="24">
        <v>-47.167105900000003</v>
      </c>
      <c r="G126" s="24">
        <v>-21.285000400000001</v>
      </c>
      <c r="H126" s="24">
        <v>881.94790499999999</v>
      </c>
      <c r="I126" s="23" t="s">
        <v>3724</v>
      </c>
    </row>
    <row r="127" spans="1:9">
      <c r="A127" s="25" t="s">
        <v>1989</v>
      </c>
      <c r="B127" s="25" t="s">
        <v>3523</v>
      </c>
      <c r="C127" s="26">
        <v>15760</v>
      </c>
      <c r="D127" s="26">
        <v>351100305000001</v>
      </c>
      <c r="E127" s="26">
        <v>3511003</v>
      </c>
      <c r="F127" s="26">
        <v>-51.489407100000001</v>
      </c>
      <c r="G127" s="26">
        <v>-20.872026600000002</v>
      </c>
      <c r="H127" s="26">
        <v>378.459881</v>
      </c>
      <c r="I127" s="25" t="s">
        <v>3725</v>
      </c>
    </row>
    <row r="128" spans="1:9">
      <c r="A128" s="23" t="s">
        <v>1660</v>
      </c>
      <c r="B128" s="23" t="s">
        <v>3498</v>
      </c>
      <c r="C128" s="24">
        <v>15766</v>
      </c>
      <c r="D128" s="24">
        <v>351110205000001</v>
      </c>
      <c r="E128" s="24">
        <v>3511102</v>
      </c>
      <c r="F128" s="24">
        <v>-48.975870899999997</v>
      </c>
      <c r="G128" s="24">
        <v>-21.1395385</v>
      </c>
      <c r="H128" s="24">
        <v>524.83555899999999</v>
      </c>
      <c r="I128" s="23" t="s">
        <v>3726</v>
      </c>
    </row>
    <row r="129" spans="1:9">
      <c r="A129" s="25" t="s">
        <v>3727</v>
      </c>
      <c r="B129" s="25" t="s">
        <v>3498</v>
      </c>
      <c r="C129" s="26">
        <v>15767</v>
      </c>
      <c r="D129" s="26">
        <v>351120105000001</v>
      </c>
      <c r="E129" s="26">
        <v>3511201</v>
      </c>
      <c r="F129" s="26">
        <v>-49.0577422</v>
      </c>
      <c r="G129" s="26">
        <v>-21.048580000000001</v>
      </c>
      <c r="H129" s="26">
        <v>507.31184100000002</v>
      </c>
      <c r="I129" s="25" t="s">
        <v>3728</v>
      </c>
    </row>
    <row r="130" spans="1:9">
      <c r="A130" s="23" t="s">
        <v>2801</v>
      </c>
      <c r="B130" s="23" t="s">
        <v>3498</v>
      </c>
      <c r="C130" s="24">
        <v>15768</v>
      </c>
      <c r="D130" s="24">
        <v>351130005000001</v>
      </c>
      <c r="E130" s="24">
        <v>3511300</v>
      </c>
      <c r="F130" s="24">
        <v>-49.272841499999998</v>
      </c>
      <c r="G130" s="24">
        <v>-20.904231899999999</v>
      </c>
      <c r="H130" s="24">
        <v>566.04621699999996</v>
      </c>
      <c r="I130" s="23" t="s">
        <v>3729</v>
      </c>
    </row>
    <row r="131" spans="1:9">
      <c r="A131" s="25" t="s">
        <v>3730</v>
      </c>
      <c r="B131" s="25" t="s">
        <v>3508</v>
      </c>
      <c r="C131" s="26">
        <v>15769</v>
      </c>
      <c r="D131" s="26">
        <v>351140905000001</v>
      </c>
      <c r="E131" s="26">
        <v>3511409</v>
      </c>
      <c r="F131" s="26">
        <v>-49.1653302</v>
      </c>
      <c r="G131" s="26">
        <v>-23.0347975</v>
      </c>
      <c r="H131" s="26">
        <v>734.50408300000004</v>
      </c>
      <c r="I131" s="25" t="s">
        <v>3731</v>
      </c>
    </row>
    <row r="132" spans="1:9">
      <c r="A132" s="23" t="s">
        <v>3732</v>
      </c>
      <c r="B132" s="23" t="s">
        <v>3508</v>
      </c>
      <c r="C132" s="24">
        <v>15773</v>
      </c>
      <c r="D132" s="24">
        <v>351150805000001</v>
      </c>
      <c r="E132" s="24">
        <v>3511508</v>
      </c>
      <c r="F132" s="24">
        <v>-47.737531300000001</v>
      </c>
      <c r="G132" s="24">
        <v>-23.1686725</v>
      </c>
      <c r="H132" s="24">
        <v>574.77755000000002</v>
      </c>
      <c r="I132" s="23" t="s">
        <v>3733</v>
      </c>
    </row>
    <row r="133" spans="1:9">
      <c r="A133" s="25" t="s">
        <v>3280</v>
      </c>
      <c r="B133" s="25" t="s">
        <v>3508</v>
      </c>
      <c r="C133" s="26">
        <v>15774</v>
      </c>
      <c r="D133" s="26">
        <v>351160705000001</v>
      </c>
      <c r="E133" s="26">
        <v>3511607</v>
      </c>
      <c r="F133" s="26">
        <v>-47.952110699999999</v>
      </c>
      <c r="G133" s="26">
        <v>-23.224731800000001</v>
      </c>
      <c r="H133" s="26">
        <v>595.21333600000003</v>
      </c>
      <c r="I133" s="25" t="s">
        <v>3734</v>
      </c>
    </row>
    <row r="134" spans="1:9">
      <c r="A134" s="23" t="s">
        <v>3735</v>
      </c>
      <c r="B134" s="23" t="s">
        <v>3501</v>
      </c>
      <c r="C134" s="24">
        <v>15777</v>
      </c>
      <c r="D134" s="24">
        <v>351170605000001</v>
      </c>
      <c r="E134" s="24">
        <v>3511706</v>
      </c>
      <c r="F134" s="24">
        <v>-47.775700200000003</v>
      </c>
      <c r="G134" s="24">
        <v>-22.508882400000001</v>
      </c>
      <c r="H134" s="24">
        <v>598.42758600000002</v>
      </c>
      <c r="I134" s="23" t="s">
        <v>3736</v>
      </c>
    </row>
    <row r="135" spans="1:9">
      <c r="A135" s="25" t="s">
        <v>3737</v>
      </c>
      <c r="B135" s="25" t="s">
        <v>3532</v>
      </c>
      <c r="C135" s="26">
        <v>17454</v>
      </c>
      <c r="D135" s="26">
        <v>355720405000001</v>
      </c>
      <c r="E135" s="26">
        <v>3557204</v>
      </c>
      <c r="F135" s="26">
        <v>-49.713936099999998</v>
      </c>
      <c r="G135" s="26">
        <v>-23.032005600000002</v>
      </c>
      <c r="H135" s="26">
        <v>553.97054000000003</v>
      </c>
      <c r="I135" s="25" t="s">
        <v>3738</v>
      </c>
    </row>
    <row r="136" spans="1:9">
      <c r="A136" s="23" t="s">
        <v>3739</v>
      </c>
      <c r="B136" s="23" t="s">
        <v>3523</v>
      </c>
      <c r="C136" s="24">
        <v>15782</v>
      </c>
      <c r="D136" s="24">
        <v>351190405000001</v>
      </c>
      <c r="E136" s="24">
        <v>3511904</v>
      </c>
      <c r="F136" s="24">
        <v>-50.450348699999999</v>
      </c>
      <c r="G136" s="24">
        <v>-21.560310000000001</v>
      </c>
      <c r="H136" s="24">
        <v>461.49571200000003</v>
      </c>
      <c r="I136" s="23" t="s">
        <v>3740</v>
      </c>
    </row>
    <row r="137" spans="1:9">
      <c r="A137" s="25" t="s">
        <v>3741</v>
      </c>
      <c r="B137" s="25" t="s">
        <v>3518</v>
      </c>
      <c r="C137" s="26">
        <v>15784</v>
      </c>
      <c r="D137" s="26">
        <v>351200105000001</v>
      </c>
      <c r="E137" s="26">
        <v>3512001</v>
      </c>
      <c r="F137" s="26">
        <v>-48.539738300000003</v>
      </c>
      <c r="G137" s="26">
        <v>-20.7187345</v>
      </c>
      <c r="H137" s="26">
        <v>590.20346199999994</v>
      </c>
      <c r="I137" s="25" t="s">
        <v>3742</v>
      </c>
    </row>
    <row r="138" spans="1:9">
      <c r="A138" s="23" t="s">
        <v>3743</v>
      </c>
      <c r="B138" s="23" t="s">
        <v>3518</v>
      </c>
      <c r="C138" s="24">
        <v>15788</v>
      </c>
      <c r="D138" s="24">
        <v>351210005000001</v>
      </c>
      <c r="E138" s="24">
        <v>3512100</v>
      </c>
      <c r="F138" s="24">
        <v>-48.6874842</v>
      </c>
      <c r="G138" s="24">
        <v>-20.1715588</v>
      </c>
      <c r="H138" s="24">
        <v>475.12931700000001</v>
      </c>
      <c r="I138" s="23" t="s">
        <v>3744</v>
      </c>
    </row>
    <row r="139" spans="1:9">
      <c r="A139" s="25" t="s">
        <v>3745</v>
      </c>
      <c r="B139" s="25" t="s">
        <v>3501</v>
      </c>
      <c r="C139" s="26">
        <v>15790</v>
      </c>
      <c r="D139" s="26">
        <v>351220905000001</v>
      </c>
      <c r="E139" s="26">
        <v>3512209</v>
      </c>
      <c r="F139" s="26">
        <v>-47.174375699999999</v>
      </c>
      <c r="G139" s="26">
        <v>-22.330076399999999</v>
      </c>
      <c r="H139" s="26">
        <v>591.02437999999995</v>
      </c>
      <c r="I139" s="25" t="s">
        <v>3746</v>
      </c>
    </row>
    <row r="140" spans="1:9">
      <c r="A140" s="23" t="s">
        <v>3747</v>
      </c>
      <c r="B140" s="23" t="s">
        <v>3508</v>
      </c>
      <c r="C140" s="24">
        <v>15793</v>
      </c>
      <c r="D140" s="24">
        <v>351230805000001</v>
      </c>
      <c r="E140" s="24">
        <v>3512308</v>
      </c>
      <c r="F140" s="24">
        <v>-48.009892100000002</v>
      </c>
      <c r="G140" s="24">
        <v>-23.012958099999999</v>
      </c>
      <c r="H140" s="24">
        <v>494.38563699999997</v>
      </c>
      <c r="I140" s="23" t="s">
        <v>3748</v>
      </c>
    </row>
    <row r="141" spans="1:9">
      <c r="A141" s="25" t="s">
        <v>3749</v>
      </c>
      <c r="B141" s="25" t="s">
        <v>3501</v>
      </c>
      <c r="C141" s="26">
        <v>15799</v>
      </c>
      <c r="D141" s="26">
        <v>351240705000001</v>
      </c>
      <c r="E141" s="26">
        <v>3512407</v>
      </c>
      <c r="F141" s="26">
        <v>-47.4582829</v>
      </c>
      <c r="G141" s="26">
        <v>-22.481707</v>
      </c>
      <c r="H141" s="26">
        <v>660.26309200000003</v>
      </c>
      <c r="I141" s="25" t="s">
        <v>3750</v>
      </c>
    </row>
    <row r="142" spans="1:9">
      <c r="A142" s="23" t="s">
        <v>3751</v>
      </c>
      <c r="B142" s="23" t="s">
        <v>3523</v>
      </c>
      <c r="C142" s="24">
        <v>15801</v>
      </c>
      <c r="D142" s="24">
        <v>351250605000001</v>
      </c>
      <c r="E142" s="24">
        <v>3512506</v>
      </c>
      <c r="F142" s="24">
        <v>-50.287295800000003</v>
      </c>
      <c r="G142" s="24">
        <v>-21.354052899999999</v>
      </c>
      <c r="H142" s="24">
        <v>406.21886499999999</v>
      </c>
      <c r="I142" s="23" t="s">
        <v>3752</v>
      </c>
    </row>
    <row r="143" spans="1:9">
      <c r="A143" s="25" t="s">
        <v>3753</v>
      </c>
      <c r="B143" s="25" t="s">
        <v>3549</v>
      </c>
      <c r="C143" s="26">
        <v>15802</v>
      </c>
      <c r="D143" s="26">
        <v>351260505000001</v>
      </c>
      <c r="E143" s="26">
        <v>3512605</v>
      </c>
      <c r="F143" s="26">
        <v>-49.318912400000002</v>
      </c>
      <c r="G143" s="26">
        <v>-23.632235000000001</v>
      </c>
      <c r="H143" s="26">
        <v>599.75722699999994</v>
      </c>
      <c r="I143" s="25" t="s">
        <v>3754</v>
      </c>
    </row>
    <row r="144" spans="1:9">
      <c r="A144" s="23" t="s">
        <v>3755</v>
      </c>
      <c r="B144" s="23" t="s">
        <v>3501</v>
      </c>
      <c r="C144" s="24">
        <v>15803</v>
      </c>
      <c r="D144" s="24">
        <v>351270405000001</v>
      </c>
      <c r="E144" s="24">
        <v>3512704</v>
      </c>
      <c r="F144" s="24">
        <v>-47.626610100000001</v>
      </c>
      <c r="G144" s="24">
        <v>-22.218996799999999</v>
      </c>
      <c r="H144" s="24">
        <v>601.84469799999999</v>
      </c>
      <c r="I144" s="23" t="s">
        <v>3756</v>
      </c>
    </row>
    <row r="145" spans="1:9">
      <c r="A145" s="25" t="s">
        <v>3757</v>
      </c>
      <c r="B145" s="25" t="s">
        <v>3501</v>
      </c>
      <c r="C145" s="26">
        <v>15805</v>
      </c>
      <c r="D145" s="26">
        <v>351280305000001</v>
      </c>
      <c r="E145" s="26">
        <v>3512803</v>
      </c>
      <c r="F145" s="26">
        <v>-47.196770800000003</v>
      </c>
      <c r="G145" s="26">
        <v>-22.645784899999999</v>
      </c>
      <c r="H145" s="26">
        <v>581.63542900000004</v>
      </c>
      <c r="I145" s="25" t="s">
        <v>3758</v>
      </c>
    </row>
    <row r="146" spans="1:9">
      <c r="A146" s="23" t="s">
        <v>3759</v>
      </c>
      <c r="B146" s="23" t="s">
        <v>3498</v>
      </c>
      <c r="C146" s="24">
        <v>15818</v>
      </c>
      <c r="D146" s="24">
        <v>351290205000001</v>
      </c>
      <c r="E146" s="24">
        <v>3512902</v>
      </c>
      <c r="F146" s="24">
        <v>-49.778859699999998</v>
      </c>
      <c r="G146" s="24">
        <v>-20.477034700000001</v>
      </c>
      <c r="H146" s="24">
        <v>509.914018</v>
      </c>
      <c r="I146" s="23" t="s">
        <v>3760</v>
      </c>
    </row>
    <row r="147" spans="1:9">
      <c r="A147" s="25" t="s">
        <v>3761</v>
      </c>
      <c r="B147" s="25" t="s">
        <v>3585</v>
      </c>
      <c r="C147" s="26">
        <v>15823</v>
      </c>
      <c r="D147" s="26">
        <v>351300905000001</v>
      </c>
      <c r="E147" s="26">
        <v>3513009</v>
      </c>
      <c r="F147" s="26">
        <v>-46.931846299999997</v>
      </c>
      <c r="G147" s="26">
        <v>-23.603514000000001</v>
      </c>
      <c r="H147" s="26">
        <v>850.24847499999998</v>
      </c>
      <c r="I147" s="25" t="s">
        <v>3762</v>
      </c>
    </row>
    <row r="148" spans="1:9">
      <c r="A148" s="23" t="s">
        <v>2367</v>
      </c>
      <c r="B148" s="23" t="s">
        <v>3520</v>
      </c>
      <c r="C148" s="24">
        <v>15825</v>
      </c>
      <c r="D148" s="24">
        <v>351310805000001</v>
      </c>
      <c r="E148" s="24">
        <v>3513108</v>
      </c>
      <c r="F148" s="24">
        <v>-47.730042300000001</v>
      </c>
      <c r="G148" s="24">
        <v>-21.3404305</v>
      </c>
      <c r="H148" s="24">
        <v>794.65631099999996</v>
      </c>
      <c r="I148" s="23" t="s">
        <v>3763</v>
      </c>
    </row>
    <row r="149" spans="1:9">
      <c r="A149" s="25" t="s">
        <v>3764</v>
      </c>
      <c r="B149" s="25" t="s">
        <v>3566</v>
      </c>
      <c r="C149" s="26">
        <v>15826</v>
      </c>
      <c r="D149" s="26">
        <v>351320705000001</v>
      </c>
      <c r="E149" s="26">
        <v>3513207</v>
      </c>
      <c r="F149" s="26">
        <v>-47.423806499999998</v>
      </c>
      <c r="G149" s="26">
        <v>-20.402491999999999</v>
      </c>
      <c r="H149" s="26">
        <v>990.53677300000004</v>
      </c>
      <c r="I149" s="25" t="s">
        <v>3765</v>
      </c>
    </row>
    <row r="150" spans="1:9">
      <c r="A150" s="23" t="s">
        <v>3766</v>
      </c>
      <c r="B150" s="23" t="s">
        <v>3532</v>
      </c>
      <c r="C150" s="24">
        <v>15832</v>
      </c>
      <c r="D150" s="24">
        <v>351330605000001</v>
      </c>
      <c r="E150" s="24">
        <v>3513306</v>
      </c>
      <c r="F150" s="24">
        <v>-50.793666199999997</v>
      </c>
      <c r="G150" s="24">
        <v>-22.745498900000001</v>
      </c>
      <c r="H150" s="24">
        <v>361.003265</v>
      </c>
      <c r="I150" s="23" t="s">
        <v>3767</v>
      </c>
    </row>
    <row r="151" spans="1:9">
      <c r="A151" s="25" t="s">
        <v>3768</v>
      </c>
      <c r="B151" s="25" t="s">
        <v>3555</v>
      </c>
      <c r="C151" s="26">
        <v>15834</v>
      </c>
      <c r="D151" s="26">
        <v>351340505000001</v>
      </c>
      <c r="E151" s="26">
        <v>3513405</v>
      </c>
      <c r="F151" s="26">
        <v>-44.961731999999998</v>
      </c>
      <c r="G151" s="26">
        <v>-22.577749900000001</v>
      </c>
      <c r="H151" s="26">
        <v>521.92121099999997</v>
      </c>
      <c r="I151" s="25" t="s">
        <v>3769</v>
      </c>
    </row>
    <row r="152" spans="1:9">
      <c r="A152" s="23" t="s">
        <v>3770</v>
      </c>
      <c r="B152" s="23" t="s">
        <v>3637</v>
      </c>
      <c r="C152" s="24">
        <v>15837</v>
      </c>
      <c r="D152" s="24">
        <v>351350405000001</v>
      </c>
      <c r="E152" s="24">
        <v>3513504</v>
      </c>
      <c r="F152" s="24">
        <v>-46.420031799999997</v>
      </c>
      <c r="G152" s="24">
        <v>-23.883838999999998</v>
      </c>
      <c r="H152" s="24">
        <v>6.8811460000000002</v>
      </c>
      <c r="I152" s="23" t="s">
        <v>3771</v>
      </c>
    </row>
    <row r="153" spans="1:9">
      <c r="A153" s="25" t="s">
        <v>1796</v>
      </c>
      <c r="B153" s="25" t="s">
        <v>3555</v>
      </c>
      <c r="C153" s="26">
        <v>15838</v>
      </c>
      <c r="D153" s="26">
        <v>351360305000001</v>
      </c>
      <c r="E153" s="26">
        <v>3513603</v>
      </c>
      <c r="F153" s="26">
        <v>-44.9580269</v>
      </c>
      <c r="G153" s="26">
        <v>-23.074750099999999</v>
      </c>
      <c r="H153" s="26">
        <v>939.59264099999996</v>
      </c>
      <c r="I153" s="25" t="s">
        <v>3772</v>
      </c>
    </row>
    <row r="154" spans="1:9">
      <c r="A154" s="23" t="s">
        <v>3773</v>
      </c>
      <c r="B154" s="23" t="s">
        <v>3538</v>
      </c>
      <c r="C154" s="24">
        <v>15842</v>
      </c>
      <c r="D154" s="24">
        <v>351370205000001</v>
      </c>
      <c r="E154" s="24">
        <v>3513702</v>
      </c>
      <c r="F154" s="24">
        <v>-47.620663999999998</v>
      </c>
      <c r="G154" s="24">
        <v>-21.909082999999999</v>
      </c>
      <c r="H154" s="24">
        <v>688.71950100000004</v>
      </c>
      <c r="I154" s="23" t="s">
        <v>3774</v>
      </c>
    </row>
    <row r="155" spans="1:9">
      <c r="A155" s="25" t="s">
        <v>3775</v>
      </c>
      <c r="B155" s="25" t="s">
        <v>3585</v>
      </c>
      <c r="C155" s="26">
        <v>15844</v>
      </c>
      <c r="D155" s="26">
        <v>351380105000001</v>
      </c>
      <c r="E155" s="26">
        <v>3513801</v>
      </c>
      <c r="F155" s="26">
        <v>-46.6233814</v>
      </c>
      <c r="G155" s="26">
        <v>-23.689295000000001</v>
      </c>
      <c r="H155" s="26">
        <v>812.83750499999996</v>
      </c>
      <c r="I155" s="25" t="s">
        <v>3776</v>
      </c>
    </row>
    <row r="156" spans="1:9">
      <c r="A156" s="23" t="s">
        <v>3777</v>
      </c>
      <c r="B156" s="23" t="s">
        <v>3498</v>
      </c>
      <c r="C156" s="24">
        <v>15845</v>
      </c>
      <c r="D156" s="24">
        <v>351385005000001</v>
      </c>
      <c r="E156" s="24">
        <v>3513850</v>
      </c>
      <c r="F156" s="24">
        <v>-50.606056000000002</v>
      </c>
      <c r="G156" s="24">
        <v>-20.464412800000002</v>
      </c>
      <c r="H156" s="24">
        <v>398.162556</v>
      </c>
      <c r="I156" s="23" t="s">
        <v>3778</v>
      </c>
    </row>
    <row r="157" spans="1:9">
      <c r="A157" s="25" t="s">
        <v>3779</v>
      </c>
      <c r="B157" s="25" t="s">
        <v>3501</v>
      </c>
      <c r="C157" s="26">
        <v>15846</v>
      </c>
      <c r="D157" s="26">
        <v>351390005000001</v>
      </c>
      <c r="E157" s="26">
        <v>3513900</v>
      </c>
      <c r="F157" s="26">
        <v>-46.736869800000001</v>
      </c>
      <c r="G157" s="26">
        <v>-21.661621499999999</v>
      </c>
      <c r="H157" s="26">
        <v>1055.47243</v>
      </c>
      <c r="I157" s="25" t="s">
        <v>3780</v>
      </c>
    </row>
    <row r="158" spans="1:9">
      <c r="A158" s="23" t="s">
        <v>3781</v>
      </c>
      <c r="B158" s="23" t="s">
        <v>3538</v>
      </c>
      <c r="C158" s="24">
        <v>15849</v>
      </c>
      <c r="D158" s="24">
        <v>351400705000001</v>
      </c>
      <c r="E158" s="24">
        <v>3514007</v>
      </c>
      <c r="F158" s="24">
        <v>-48.4002427</v>
      </c>
      <c r="G158" s="24">
        <v>-21.514804300000002</v>
      </c>
      <c r="H158" s="24">
        <v>569.77001700000005</v>
      </c>
      <c r="I158" s="23" t="s">
        <v>3782</v>
      </c>
    </row>
    <row r="159" spans="1:9">
      <c r="A159" s="25" t="s">
        <v>3783</v>
      </c>
      <c r="B159" s="25" t="s">
        <v>3511</v>
      </c>
      <c r="C159" s="26">
        <v>15850</v>
      </c>
      <c r="D159" s="26">
        <v>351410605000001</v>
      </c>
      <c r="E159" s="26">
        <v>3514106</v>
      </c>
      <c r="F159" s="26">
        <v>-48.382675999999996</v>
      </c>
      <c r="G159" s="26">
        <v>-22.367315999999999</v>
      </c>
      <c r="H159" s="26">
        <v>683.98991999999998</v>
      </c>
      <c r="I159" s="25" t="s">
        <v>3784</v>
      </c>
    </row>
    <row r="160" spans="1:9">
      <c r="A160" s="23" t="s">
        <v>3785</v>
      </c>
      <c r="B160" s="23" t="s">
        <v>3498</v>
      </c>
      <c r="C160" s="24">
        <v>15856</v>
      </c>
      <c r="D160" s="24">
        <v>351420505000001</v>
      </c>
      <c r="E160" s="24">
        <v>3514205</v>
      </c>
      <c r="F160" s="24">
        <v>-50.515363100000002</v>
      </c>
      <c r="G160" s="24">
        <v>-20.1228707</v>
      </c>
      <c r="H160" s="24">
        <v>466.50761299999999</v>
      </c>
      <c r="I160" s="23" t="s">
        <v>3786</v>
      </c>
    </row>
    <row r="161" spans="1:9">
      <c r="A161" s="25" t="s">
        <v>3787</v>
      </c>
      <c r="B161" s="25" t="s">
        <v>3538</v>
      </c>
      <c r="C161" s="26">
        <v>15857</v>
      </c>
      <c r="D161" s="26">
        <v>351430405000001</v>
      </c>
      <c r="E161" s="26">
        <v>3514304</v>
      </c>
      <c r="F161" s="26">
        <v>-48.316235800000001</v>
      </c>
      <c r="G161" s="26">
        <v>-22.113167199999999</v>
      </c>
      <c r="H161" s="26">
        <v>707.05544099999997</v>
      </c>
      <c r="I161" s="25" t="s">
        <v>3788</v>
      </c>
    </row>
    <row r="162" spans="1:9">
      <c r="A162" s="23" t="s">
        <v>1844</v>
      </c>
      <c r="B162" s="23" t="s">
        <v>3495</v>
      </c>
      <c r="C162" s="24">
        <v>15858</v>
      </c>
      <c r="D162" s="24">
        <v>351440305000001</v>
      </c>
      <c r="E162" s="24">
        <v>3514403</v>
      </c>
      <c r="F162" s="24">
        <v>-51.534049699999997</v>
      </c>
      <c r="G162" s="24">
        <v>-21.486137500000002</v>
      </c>
      <c r="H162" s="24">
        <v>414.17755799999998</v>
      </c>
      <c r="I162" s="23" t="s">
        <v>3789</v>
      </c>
    </row>
    <row r="163" spans="1:9">
      <c r="A163" s="25" t="s">
        <v>3790</v>
      </c>
      <c r="B163" s="25" t="s">
        <v>3511</v>
      </c>
      <c r="C163" s="26">
        <v>15864</v>
      </c>
      <c r="D163" s="26">
        <v>351450205000001</v>
      </c>
      <c r="E163" s="26">
        <v>3514502</v>
      </c>
      <c r="F163" s="26">
        <v>-49.405045399999999</v>
      </c>
      <c r="G163" s="26">
        <v>-22.414881399999999</v>
      </c>
      <c r="H163" s="26">
        <v>508.16710699999999</v>
      </c>
      <c r="I163" s="25" t="s">
        <v>3791</v>
      </c>
    </row>
    <row r="164" spans="1:9">
      <c r="A164" s="23" t="s">
        <v>3792</v>
      </c>
      <c r="B164" s="23" t="s">
        <v>3520</v>
      </c>
      <c r="C164" s="24">
        <v>15865</v>
      </c>
      <c r="D164" s="24">
        <v>351460105000001</v>
      </c>
      <c r="E164" s="24">
        <v>3514601</v>
      </c>
      <c r="F164" s="24">
        <v>-47.9708434</v>
      </c>
      <c r="G164" s="24">
        <v>-21.233326000000002</v>
      </c>
      <c r="H164" s="24">
        <v>624.09444399999995</v>
      </c>
      <c r="I164" s="23" t="s">
        <v>3793</v>
      </c>
    </row>
    <row r="165" spans="1:9">
      <c r="A165" s="25" t="s">
        <v>3794</v>
      </c>
      <c r="B165" s="25" t="s">
        <v>3532</v>
      </c>
      <c r="C165" s="26">
        <v>15866</v>
      </c>
      <c r="D165" s="26">
        <v>351470005000001</v>
      </c>
      <c r="E165" s="26">
        <v>3514700</v>
      </c>
      <c r="F165" s="26">
        <v>-50.207006100000001</v>
      </c>
      <c r="G165" s="26">
        <v>-22.424997000000001</v>
      </c>
      <c r="H165" s="26">
        <v>684.99032199999999</v>
      </c>
      <c r="I165" s="25" t="s">
        <v>3795</v>
      </c>
    </row>
    <row r="166" spans="1:9">
      <c r="A166" s="23" t="s">
        <v>3796</v>
      </c>
      <c r="B166" s="23" t="s">
        <v>3618</v>
      </c>
      <c r="C166" s="24">
        <v>15869</v>
      </c>
      <c r="D166" s="24">
        <v>351480905000001</v>
      </c>
      <c r="E166" s="24">
        <v>3514809</v>
      </c>
      <c r="F166" s="24">
        <v>-48.103228399999999</v>
      </c>
      <c r="G166" s="24">
        <v>-24.525386600000001</v>
      </c>
      <c r="H166" s="24">
        <v>27.695094000000001</v>
      </c>
      <c r="I166" s="23" t="s">
        <v>3797</v>
      </c>
    </row>
    <row r="167" spans="1:9">
      <c r="A167" s="25" t="s">
        <v>3798</v>
      </c>
      <c r="B167" s="25" t="s">
        <v>3501</v>
      </c>
      <c r="C167" s="26">
        <v>15873</v>
      </c>
      <c r="D167" s="26">
        <v>351490805000001</v>
      </c>
      <c r="E167" s="26">
        <v>3514908</v>
      </c>
      <c r="F167" s="26">
        <v>-47.3767742</v>
      </c>
      <c r="G167" s="26">
        <v>-23.042536699999999</v>
      </c>
      <c r="H167" s="26">
        <v>572.24222499999996</v>
      </c>
      <c r="I167" s="25" t="s">
        <v>3799</v>
      </c>
    </row>
    <row r="168" spans="1:9">
      <c r="A168" s="23" t="s">
        <v>3800</v>
      </c>
      <c r="B168" s="23" t="s">
        <v>3498</v>
      </c>
      <c r="C168" s="24">
        <v>15877</v>
      </c>
      <c r="D168" s="24">
        <v>351492405000001</v>
      </c>
      <c r="E168" s="24">
        <v>3514924</v>
      </c>
      <c r="F168" s="24">
        <v>-49.110835899999998</v>
      </c>
      <c r="G168" s="24">
        <v>-21.164428999999998</v>
      </c>
      <c r="H168" s="24">
        <v>508.31157999999999</v>
      </c>
      <c r="I168" s="23" t="s">
        <v>3801</v>
      </c>
    </row>
    <row r="169" spans="1:9">
      <c r="A169" s="25" t="s">
        <v>3802</v>
      </c>
      <c r="B169" s="25" t="s">
        <v>3518</v>
      </c>
      <c r="C169" s="26">
        <v>15879</v>
      </c>
      <c r="D169" s="26">
        <v>351495705000001</v>
      </c>
      <c r="E169" s="26">
        <v>3514957</v>
      </c>
      <c r="F169" s="26">
        <v>-48.832620300000002</v>
      </c>
      <c r="G169" s="26">
        <v>-20.982668100000001</v>
      </c>
      <c r="H169" s="26">
        <v>546.34642299999996</v>
      </c>
      <c r="I169" s="25" t="s">
        <v>3803</v>
      </c>
    </row>
    <row r="170" spans="1:9">
      <c r="A170" s="23" t="s">
        <v>2970</v>
      </c>
      <c r="B170" s="23" t="s">
        <v>3585</v>
      </c>
      <c r="C170" s="24">
        <v>15880</v>
      </c>
      <c r="D170" s="24">
        <v>351500405000001</v>
      </c>
      <c r="E170" s="24">
        <v>3515004</v>
      </c>
      <c r="F170" s="24">
        <v>-46.850859999999997</v>
      </c>
      <c r="G170" s="24">
        <v>-23.647312500000002</v>
      </c>
      <c r="H170" s="24">
        <v>791.83497699999998</v>
      </c>
      <c r="I170" s="23" t="s">
        <v>3804</v>
      </c>
    </row>
    <row r="171" spans="1:9">
      <c r="A171" s="25" t="s">
        <v>3805</v>
      </c>
      <c r="B171" s="25" t="s">
        <v>3585</v>
      </c>
      <c r="C171" s="26">
        <v>15881</v>
      </c>
      <c r="D171" s="26">
        <v>351510305000001</v>
      </c>
      <c r="E171" s="26">
        <v>3515103</v>
      </c>
      <c r="F171" s="26">
        <v>-46.817108900000001</v>
      </c>
      <c r="G171" s="26">
        <v>-23.8318291</v>
      </c>
      <c r="H171" s="26">
        <v>765.89379199999996</v>
      </c>
      <c r="I171" s="25" t="s">
        <v>3806</v>
      </c>
    </row>
    <row r="172" spans="1:9">
      <c r="A172" s="23" t="s">
        <v>3807</v>
      </c>
      <c r="B172" s="23" t="s">
        <v>3495</v>
      </c>
      <c r="C172" s="24">
        <v>15883</v>
      </c>
      <c r="D172" s="24">
        <v>351512905000001</v>
      </c>
      <c r="E172" s="24">
        <v>3515129</v>
      </c>
      <c r="F172" s="24">
        <v>-51.480431400000001</v>
      </c>
      <c r="G172" s="24">
        <v>-21.831309000000001</v>
      </c>
      <c r="H172" s="24">
        <v>340.90549399999998</v>
      </c>
      <c r="I172" s="23" t="s">
        <v>3808</v>
      </c>
    </row>
    <row r="173" spans="1:9">
      <c r="A173" s="25" t="s">
        <v>3809</v>
      </c>
      <c r="B173" s="25" t="s">
        <v>3501</v>
      </c>
      <c r="C173" s="26">
        <v>15884</v>
      </c>
      <c r="D173" s="26">
        <v>351515205000001</v>
      </c>
      <c r="E173" s="26">
        <v>3515152</v>
      </c>
      <c r="F173" s="26">
        <v>-47.213079700000002</v>
      </c>
      <c r="G173" s="26">
        <v>-22.49119</v>
      </c>
      <c r="H173" s="26">
        <v>629.17176900000004</v>
      </c>
      <c r="I173" s="25" t="s">
        <v>3810</v>
      </c>
    </row>
    <row r="174" spans="1:9">
      <c r="A174" s="23" t="s">
        <v>2943</v>
      </c>
      <c r="B174" s="23" t="s">
        <v>3501</v>
      </c>
      <c r="C174" s="24">
        <v>15888</v>
      </c>
      <c r="D174" s="24">
        <v>351518605000001</v>
      </c>
      <c r="E174" s="24">
        <v>3515186</v>
      </c>
      <c r="F174" s="24">
        <v>-46.745514300000004</v>
      </c>
      <c r="G174" s="24">
        <v>-22.197053499999999</v>
      </c>
      <c r="H174" s="24">
        <v>877.591227</v>
      </c>
      <c r="I174" s="23" t="s">
        <v>3811</v>
      </c>
    </row>
    <row r="175" spans="1:9">
      <c r="A175" s="25" t="s">
        <v>3812</v>
      </c>
      <c r="B175" s="25" t="s">
        <v>3532</v>
      </c>
      <c r="C175" s="26">
        <v>15890</v>
      </c>
      <c r="D175" s="26">
        <v>351519405000001</v>
      </c>
      <c r="E175" s="26">
        <v>3515194</v>
      </c>
      <c r="F175" s="26">
        <v>-49.429825299999997</v>
      </c>
      <c r="G175" s="26">
        <v>-22.6949735</v>
      </c>
      <c r="H175" s="26">
        <v>499.42756800000001</v>
      </c>
      <c r="I175" s="25" t="s">
        <v>3813</v>
      </c>
    </row>
    <row r="176" spans="1:9">
      <c r="A176" s="23" t="s">
        <v>3814</v>
      </c>
      <c r="B176" s="23" t="s">
        <v>3501</v>
      </c>
      <c r="C176" s="24">
        <v>17456</v>
      </c>
      <c r="D176" s="24">
        <v>355730305000001</v>
      </c>
      <c r="E176" s="24">
        <v>3557303</v>
      </c>
      <c r="F176" s="24">
        <v>-46.953602699999998</v>
      </c>
      <c r="G176" s="24">
        <v>-22.274588900000001</v>
      </c>
      <c r="H176" s="24">
        <v>624.06239600000004</v>
      </c>
      <c r="I176" s="23" t="s">
        <v>3815</v>
      </c>
    </row>
    <row r="177" spans="1:9">
      <c r="A177" s="25" t="s">
        <v>3816</v>
      </c>
      <c r="B177" s="25" t="s">
        <v>3495</v>
      </c>
      <c r="C177" s="26">
        <v>15892</v>
      </c>
      <c r="D177" s="26">
        <v>351530105000001</v>
      </c>
      <c r="E177" s="26">
        <v>3515301</v>
      </c>
      <c r="F177" s="26">
        <v>-51.6641762</v>
      </c>
      <c r="G177" s="26">
        <v>-22.490598899999998</v>
      </c>
      <c r="H177" s="26">
        <v>385.641032</v>
      </c>
      <c r="I177" s="25" t="s">
        <v>3817</v>
      </c>
    </row>
    <row r="178" spans="1:9">
      <c r="A178" s="23" t="s">
        <v>3818</v>
      </c>
      <c r="B178" s="23" t="s">
        <v>3498</v>
      </c>
      <c r="C178" s="24">
        <v>15891</v>
      </c>
      <c r="D178" s="24">
        <v>351520205000001</v>
      </c>
      <c r="E178" s="24">
        <v>3515202</v>
      </c>
      <c r="F178" s="24">
        <v>-50.405466799999999</v>
      </c>
      <c r="G178" s="24">
        <v>-20.286082199999999</v>
      </c>
      <c r="H178" s="24">
        <v>486.62134200000003</v>
      </c>
      <c r="I178" s="23" t="s">
        <v>3819</v>
      </c>
    </row>
    <row r="179" spans="1:9">
      <c r="A179" s="25" t="s">
        <v>3820</v>
      </c>
      <c r="B179" s="25" t="s">
        <v>3495</v>
      </c>
      <c r="C179" s="26">
        <v>15893</v>
      </c>
      <c r="D179" s="26">
        <v>351535005000001</v>
      </c>
      <c r="E179" s="26">
        <v>3515350</v>
      </c>
      <c r="F179" s="26">
        <v>-52.5908984</v>
      </c>
      <c r="G179" s="26">
        <v>-22.554996899999999</v>
      </c>
      <c r="H179" s="26">
        <v>305.85159599999997</v>
      </c>
      <c r="I179" s="25" t="s">
        <v>3821</v>
      </c>
    </row>
    <row r="180" spans="1:9">
      <c r="A180" s="23" t="s">
        <v>3822</v>
      </c>
      <c r="B180" s="23" t="s">
        <v>3549</v>
      </c>
      <c r="C180" s="24">
        <v>15896</v>
      </c>
      <c r="D180" s="24">
        <v>351540005000001</v>
      </c>
      <c r="E180" s="24">
        <v>3515400</v>
      </c>
      <c r="F180" s="24">
        <v>-49.512053399999999</v>
      </c>
      <c r="G180" s="24">
        <v>-23.388960900000001</v>
      </c>
      <c r="H180" s="24">
        <v>505.45151499999997</v>
      </c>
      <c r="I180" s="23" t="s">
        <v>3823</v>
      </c>
    </row>
    <row r="181" spans="1:9">
      <c r="A181" s="25" t="s">
        <v>3824</v>
      </c>
      <c r="B181" s="25" t="s">
        <v>3538</v>
      </c>
      <c r="C181" s="26">
        <v>15899</v>
      </c>
      <c r="D181" s="26">
        <v>351560805000001</v>
      </c>
      <c r="E181" s="26">
        <v>3515608</v>
      </c>
      <c r="F181" s="26">
        <v>-48.692273100000001</v>
      </c>
      <c r="G181" s="26">
        <v>-21.267122000000001</v>
      </c>
      <c r="H181" s="26">
        <v>539.12046399999997</v>
      </c>
      <c r="I181" s="25" t="s">
        <v>3825</v>
      </c>
    </row>
    <row r="182" spans="1:9">
      <c r="A182" s="23" t="s">
        <v>3424</v>
      </c>
      <c r="B182" s="23" t="s">
        <v>3498</v>
      </c>
      <c r="C182" s="24">
        <v>15897</v>
      </c>
      <c r="D182" s="24">
        <v>351550905000001</v>
      </c>
      <c r="E182" s="24">
        <v>3515509</v>
      </c>
      <c r="F182" s="24">
        <v>-50.248748399999997</v>
      </c>
      <c r="G182" s="24">
        <v>-20.282382999999999</v>
      </c>
      <c r="H182" s="24">
        <v>538.77885400000002</v>
      </c>
      <c r="I182" s="23" t="s">
        <v>3826</v>
      </c>
    </row>
    <row r="183" spans="1:9">
      <c r="A183" s="25" t="s">
        <v>3827</v>
      </c>
      <c r="B183" s="25" t="s">
        <v>3532</v>
      </c>
      <c r="C183" s="26">
        <v>15901</v>
      </c>
      <c r="D183" s="26">
        <v>351565705000001</v>
      </c>
      <c r="E183" s="26">
        <v>3515657</v>
      </c>
      <c r="F183" s="26">
        <v>-49.519841200000002</v>
      </c>
      <c r="G183" s="26">
        <v>-22.359138300000001</v>
      </c>
      <c r="H183" s="26">
        <v>557.97873100000004</v>
      </c>
      <c r="I183" s="25" t="s">
        <v>3828</v>
      </c>
    </row>
    <row r="184" spans="1:9">
      <c r="A184" s="23" t="s">
        <v>3829</v>
      </c>
      <c r="B184" s="23" t="s">
        <v>3585</v>
      </c>
      <c r="C184" s="24">
        <v>15902</v>
      </c>
      <c r="D184" s="24">
        <v>351570705000001</v>
      </c>
      <c r="E184" s="24">
        <v>3515707</v>
      </c>
      <c r="F184" s="24">
        <v>-46.3665527</v>
      </c>
      <c r="G184" s="24">
        <v>-23.541544500000001</v>
      </c>
      <c r="H184" s="24">
        <v>766.48060199999998</v>
      </c>
      <c r="I184" s="23" t="s">
        <v>3830</v>
      </c>
    </row>
    <row r="185" spans="1:9">
      <c r="A185" s="25" t="s">
        <v>3831</v>
      </c>
      <c r="B185" s="25" t="s">
        <v>3495</v>
      </c>
      <c r="C185" s="26">
        <v>15905</v>
      </c>
      <c r="D185" s="26">
        <v>351580605000001</v>
      </c>
      <c r="E185" s="26">
        <v>3515806</v>
      </c>
      <c r="F185" s="26">
        <v>-51.382300800000003</v>
      </c>
      <c r="G185" s="26">
        <v>-21.676733899999999</v>
      </c>
      <c r="H185" s="26">
        <v>386.77312000000001</v>
      </c>
      <c r="I185" s="25" t="s">
        <v>3832</v>
      </c>
    </row>
    <row r="186" spans="1:9">
      <c r="A186" s="23" t="s">
        <v>3833</v>
      </c>
      <c r="B186" s="23" t="s">
        <v>3498</v>
      </c>
      <c r="C186" s="24">
        <v>15906</v>
      </c>
      <c r="D186" s="24">
        <v>351590505000001</v>
      </c>
      <c r="E186" s="24">
        <v>3515905</v>
      </c>
      <c r="F186" s="24">
        <v>-50.145688999999997</v>
      </c>
      <c r="G186" s="24">
        <v>-20.674031200000002</v>
      </c>
      <c r="H186" s="24">
        <v>506.28351700000002</v>
      </c>
      <c r="I186" s="23" t="s">
        <v>3834</v>
      </c>
    </row>
    <row r="187" spans="1:9">
      <c r="A187" s="25" t="s">
        <v>3835</v>
      </c>
      <c r="B187" s="25" t="s">
        <v>3495</v>
      </c>
      <c r="C187" s="26">
        <v>15907</v>
      </c>
      <c r="D187" s="26">
        <v>351600205000001</v>
      </c>
      <c r="E187" s="26">
        <v>3516002</v>
      </c>
      <c r="F187" s="26">
        <v>-51.168876500000003</v>
      </c>
      <c r="G187" s="26">
        <v>-21.613427600000001</v>
      </c>
      <c r="H187" s="26">
        <v>449.069277</v>
      </c>
      <c r="I187" s="25" t="s">
        <v>3836</v>
      </c>
    </row>
    <row r="188" spans="1:9">
      <c r="A188" s="23" t="s">
        <v>3837</v>
      </c>
      <c r="B188" s="23" t="s">
        <v>3532</v>
      </c>
      <c r="C188" s="24">
        <v>15912</v>
      </c>
      <c r="D188" s="24">
        <v>351610105000001</v>
      </c>
      <c r="E188" s="24">
        <v>3516101</v>
      </c>
      <c r="F188" s="24">
        <v>-50.724822500000002</v>
      </c>
      <c r="G188" s="24">
        <v>-22.903568799999999</v>
      </c>
      <c r="H188" s="24">
        <v>389.778188</v>
      </c>
      <c r="I188" s="23" t="s">
        <v>3838</v>
      </c>
    </row>
    <row r="189" spans="1:9">
      <c r="A189" s="25" t="s">
        <v>3839</v>
      </c>
      <c r="B189" s="25" t="s">
        <v>3566</v>
      </c>
      <c r="C189" s="26">
        <v>15915</v>
      </c>
      <c r="D189" s="26">
        <v>351620005000001</v>
      </c>
      <c r="E189" s="26">
        <v>3516200</v>
      </c>
      <c r="F189" s="26">
        <v>-47.402331599999997</v>
      </c>
      <c r="G189" s="26">
        <v>-20.536097000000002</v>
      </c>
      <c r="H189" s="26">
        <v>996.07265299999995</v>
      </c>
      <c r="I189" s="25" t="s">
        <v>3840</v>
      </c>
    </row>
    <row r="190" spans="1:9">
      <c r="A190" s="23" t="s">
        <v>3841</v>
      </c>
      <c r="B190" s="23" t="s">
        <v>3585</v>
      </c>
      <c r="C190" s="24">
        <v>15916</v>
      </c>
      <c r="D190" s="24">
        <v>351630905000001</v>
      </c>
      <c r="E190" s="24">
        <v>3516309</v>
      </c>
      <c r="F190" s="24">
        <v>-46.732526700000001</v>
      </c>
      <c r="G190" s="24">
        <v>-23.2758255</v>
      </c>
      <c r="H190" s="24">
        <v>860.80805599999997</v>
      </c>
      <c r="I190" s="23" t="s">
        <v>3842</v>
      </c>
    </row>
    <row r="191" spans="1:9">
      <c r="A191" s="25" t="s">
        <v>2468</v>
      </c>
      <c r="B191" s="25" t="s">
        <v>3585</v>
      </c>
      <c r="C191" s="26">
        <v>15917</v>
      </c>
      <c r="D191" s="26">
        <v>351640805000001</v>
      </c>
      <c r="E191" s="26">
        <v>3516408</v>
      </c>
      <c r="F191" s="26">
        <v>-46.727874700000001</v>
      </c>
      <c r="G191" s="26">
        <v>-23.3203025</v>
      </c>
      <c r="H191" s="26">
        <v>747.305654</v>
      </c>
      <c r="I191" s="25" t="s">
        <v>3843</v>
      </c>
    </row>
    <row r="192" spans="1:9">
      <c r="A192" s="23" t="s">
        <v>3844</v>
      </c>
      <c r="B192" s="23" t="s">
        <v>3523</v>
      </c>
      <c r="C192" s="24">
        <v>15921</v>
      </c>
      <c r="D192" s="24">
        <v>351650705000001</v>
      </c>
      <c r="E192" s="24">
        <v>3516507</v>
      </c>
      <c r="F192" s="24">
        <v>-50.555460799999999</v>
      </c>
      <c r="G192" s="24">
        <v>-21.528980099999998</v>
      </c>
      <c r="H192" s="24">
        <v>431.76359300000001</v>
      </c>
      <c r="I192" s="23" t="s">
        <v>3845</v>
      </c>
    </row>
    <row r="193" spans="1:9">
      <c r="A193" s="25" t="s">
        <v>3846</v>
      </c>
      <c r="B193" s="25" t="s">
        <v>3532</v>
      </c>
      <c r="C193" s="26">
        <v>15922</v>
      </c>
      <c r="D193" s="26">
        <v>351660605000001</v>
      </c>
      <c r="E193" s="26">
        <v>3516606</v>
      </c>
      <c r="F193" s="26">
        <v>-49.5521113</v>
      </c>
      <c r="G193" s="26">
        <v>-22.294019200000001</v>
      </c>
      <c r="H193" s="26">
        <v>561.18488100000002</v>
      </c>
      <c r="I193" s="25" t="s">
        <v>3847</v>
      </c>
    </row>
    <row r="194" spans="1:9">
      <c r="A194" s="23" t="s">
        <v>1685</v>
      </c>
      <c r="B194" s="23" t="s">
        <v>3532</v>
      </c>
      <c r="C194" s="24">
        <v>15923</v>
      </c>
      <c r="D194" s="24">
        <v>351670505000001</v>
      </c>
      <c r="E194" s="24">
        <v>3516705</v>
      </c>
      <c r="F194" s="24">
        <v>-49.656529900000002</v>
      </c>
      <c r="G194" s="24">
        <v>-22.2107095</v>
      </c>
      <c r="H194" s="24">
        <v>679.96329800000001</v>
      </c>
      <c r="I194" s="23" t="s">
        <v>3848</v>
      </c>
    </row>
    <row r="195" spans="1:9">
      <c r="A195" s="25" t="s">
        <v>3849</v>
      </c>
      <c r="B195" s="25" t="s">
        <v>3523</v>
      </c>
      <c r="C195" s="26">
        <v>15927</v>
      </c>
      <c r="D195" s="26">
        <v>351680405000001</v>
      </c>
      <c r="E195" s="26">
        <v>3516804</v>
      </c>
      <c r="F195" s="26">
        <v>-50.1902197</v>
      </c>
      <c r="G195" s="26">
        <v>-20.795239500000001</v>
      </c>
      <c r="H195" s="26">
        <v>420.90358900000001</v>
      </c>
      <c r="I195" s="25" t="s">
        <v>3850</v>
      </c>
    </row>
    <row r="196" spans="1:9">
      <c r="A196" s="23" t="s">
        <v>3851</v>
      </c>
      <c r="B196" s="23" t="s">
        <v>3538</v>
      </c>
      <c r="C196" s="24">
        <v>15929</v>
      </c>
      <c r="D196" s="24">
        <v>351685305000001</v>
      </c>
      <c r="E196" s="24">
        <v>3516853</v>
      </c>
      <c r="F196" s="24">
        <v>-48.495459199999999</v>
      </c>
      <c r="G196" s="24">
        <v>-21.840366899999999</v>
      </c>
      <c r="H196" s="24">
        <v>506.55949500000003</v>
      </c>
      <c r="I196" s="23" t="s">
        <v>3852</v>
      </c>
    </row>
    <row r="197" spans="1:9">
      <c r="A197" s="25" t="s">
        <v>3853</v>
      </c>
      <c r="B197" s="25" t="s">
        <v>3523</v>
      </c>
      <c r="C197" s="26">
        <v>15930</v>
      </c>
      <c r="D197" s="26">
        <v>351690305000001</v>
      </c>
      <c r="E197" s="26">
        <v>3516903</v>
      </c>
      <c r="F197" s="26">
        <v>-50.361813699999999</v>
      </c>
      <c r="G197" s="26">
        <v>-20.648369299999999</v>
      </c>
      <c r="H197" s="26">
        <v>506.496576</v>
      </c>
      <c r="I197" s="25" t="s">
        <v>3854</v>
      </c>
    </row>
    <row r="198" spans="1:9">
      <c r="A198" s="23" t="s">
        <v>3855</v>
      </c>
      <c r="B198" s="23" t="s">
        <v>3511</v>
      </c>
      <c r="C198" s="24">
        <v>15934</v>
      </c>
      <c r="D198" s="24">
        <v>351700005000001</v>
      </c>
      <c r="E198" s="24">
        <v>3517000</v>
      </c>
      <c r="F198" s="24">
        <v>-49.929283599999998</v>
      </c>
      <c r="G198" s="24">
        <v>-21.7998306</v>
      </c>
      <c r="H198" s="24">
        <v>489.094268</v>
      </c>
      <c r="I198" s="23" t="s">
        <v>3856</v>
      </c>
    </row>
    <row r="199" spans="1:9">
      <c r="A199" s="25" t="s">
        <v>3857</v>
      </c>
      <c r="B199" s="25" t="s">
        <v>3523</v>
      </c>
      <c r="C199" s="26">
        <v>15937</v>
      </c>
      <c r="D199" s="26">
        <v>351710905000001</v>
      </c>
      <c r="E199" s="26">
        <v>3517109</v>
      </c>
      <c r="F199" s="26">
        <v>-50.208416700000001</v>
      </c>
      <c r="G199" s="26">
        <v>-21.379777799999999</v>
      </c>
      <c r="H199" s="26">
        <v>388.49145299999998</v>
      </c>
      <c r="I199" s="25" t="s">
        <v>3858</v>
      </c>
    </row>
    <row r="200" spans="1:9">
      <c r="A200" s="23" t="s">
        <v>3002</v>
      </c>
      <c r="B200" s="23" t="s">
        <v>3511</v>
      </c>
      <c r="C200" s="24">
        <v>15943</v>
      </c>
      <c r="D200" s="24">
        <v>351720805000001</v>
      </c>
      <c r="E200" s="24">
        <v>3517208</v>
      </c>
      <c r="F200" s="24">
        <v>-49.7987617</v>
      </c>
      <c r="G200" s="24">
        <v>-21.622143000000001</v>
      </c>
      <c r="H200" s="24">
        <v>455.64137699999998</v>
      </c>
      <c r="I200" s="23" t="s">
        <v>3859</v>
      </c>
    </row>
    <row r="201" spans="1:9">
      <c r="A201" s="25" t="s">
        <v>3860</v>
      </c>
      <c r="B201" s="25" t="s">
        <v>3511</v>
      </c>
      <c r="C201" s="26">
        <v>15944</v>
      </c>
      <c r="D201" s="26">
        <v>351730705000001</v>
      </c>
      <c r="E201" s="26">
        <v>3517307</v>
      </c>
      <c r="F201" s="26">
        <v>-49.897177800000001</v>
      </c>
      <c r="G201" s="26">
        <v>-21.910920699999998</v>
      </c>
      <c r="H201" s="26">
        <v>481.52605199999999</v>
      </c>
      <c r="I201" s="25" t="s">
        <v>3861</v>
      </c>
    </row>
    <row r="202" spans="1:9">
      <c r="A202" s="23" t="s">
        <v>781</v>
      </c>
      <c r="B202" s="23" t="s">
        <v>3518</v>
      </c>
      <c r="C202" s="24">
        <v>15945</v>
      </c>
      <c r="D202" s="24">
        <v>351740605000001</v>
      </c>
      <c r="E202" s="24">
        <v>3517406</v>
      </c>
      <c r="F202" s="24">
        <v>-48.314470499999999</v>
      </c>
      <c r="G202" s="24">
        <v>-20.320144299999999</v>
      </c>
      <c r="H202" s="24">
        <v>517.52504299999998</v>
      </c>
      <c r="I202" s="23" t="s">
        <v>3862</v>
      </c>
    </row>
    <row r="203" spans="1:9">
      <c r="A203" s="25" t="s">
        <v>3863</v>
      </c>
      <c r="B203" s="25" t="s">
        <v>3498</v>
      </c>
      <c r="C203" s="26">
        <v>15947</v>
      </c>
      <c r="D203" s="26">
        <v>351750505000001</v>
      </c>
      <c r="E203" s="26">
        <v>3517505</v>
      </c>
      <c r="F203" s="26">
        <v>-49.219145900000001</v>
      </c>
      <c r="G203" s="26">
        <v>-20.796448600000002</v>
      </c>
      <c r="H203" s="26">
        <v>501.65474599999999</v>
      </c>
      <c r="I203" s="25" t="s">
        <v>3864</v>
      </c>
    </row>
    <row r="204" spans="1:9">
      <c r="A204" s="23" t="s">
        <v>3865</v>
      </c>
      <c r="B204" s="23" t="s">
        <v>3549</v>
      </c>
      <c r="C204" s="24">
        <v>15952</v>
      </c>
      <c r="D204" s="24">
        <v>351760405000001</v>
      </c>
      <c r="E204" s="24">
        <v>3517604</v>
      </c>
      <c r="F204" s="24">
        <v>-48.527681299999998</v>
      </c>
      <c r="G204" s="24">
        <v>-24.182526500000002</v>
      </c>
      <c r="H204" s="24">
        <v>766.40262800000005</v>
      </c>
      <c r="I204" s="23" t="s">
        <v>3866</v>
      </c>
    </row>
    <row r="205" spans="1:9">
      <c r="A205" s="25" t="s">
        <v>3867</v>
      </c>
      <c r="B205" s="25" t="s">
        <v>3566</v>
      </c>
      <c r="C205" s="26">
        <v>15953</v>
      </c>
      <c r="D205" s="26">
        <v>351770305000001</v>
      </c>
      <c r="E205" s="26">
        <v>3517703</v>
      </c>
      <c r="F205" s="26">
        <v>-47.824593</v>
      </c>
      <c r="G205" s="26">
        <v>-20.427557100000001</v>
      </c>
      <c r="H205" s="26">
        <v>576.45630900000003</v>
      </c>
      <c r="I205" s="25" t="s">
        <v>3868</v>
      </c>
    </row>
    <row r="206" spans="1:9">
      <c r="A206" s="23" t="s">
        <v>3869</v>
      </c>
      <c r="B206" s="23" t="s">
        <v>3523</v>
      </c>
      <c r="C206" s="24">
        <v>15955</v>
      </c>
      <c r="D206" s="24">
        <v>351780205000001</v>
      </c>
      <c r="E206" s="24">
        <v>3517802</v>
      </c>
      <c r="F206" s="24">
        <v>-51.209106300000002</v>
      </c>
      <c r="G206" s="24">
        <v>-21.032881400000001</v>
      </c>
      <c r="H206" s="24">
        <v>440.21666299999998</v>
      </c>
      <c r="I206" s="23" t="s">
        <v>3870</v>
      </c>
    </row>
    <row r="207" spans="1:9">
      <c r="A207" s="25" t="s">
        <v>3871</v>
      </c>
      <c r="B207" s="25" t="s">
        <v>3518</v>
      </c>
      <c r="C207" s="26">
        <v>15956</v>
      </c>
      <c r="D207" s="26">
        <v>351790105000001</v>
      </c>
      <c r="E207" s="26">
        <v>3517901</v>
      </c>
      <c r="F207" s="26">
        <v>-48.9445026</v>
      </c>
      <c r="G207" s="26">
        <v>-20.4988092</v>
      </c>
      <c r="H207" s="26">
        <v>484.770937</v>
      </c>
      <c r="I207" s="25" t="s">
        <v>3872</v>
      </c>
    </row>
    <row r="208" spans="1:9">
      <c r="A208" s="23" t="s">
        <v>3873</v>
      </c>
      <c r="B208" s="23" t="s">
        <v>3498</v>
      </c>
      <c r="C208" s="24">
        <v>15961</v>
      </c>
      <c r="D208" s="24">
        <v>351800805000001</v>
      </c>
      <c r="E208" s="24">
        <v>3518008</v>
      </c>
      <c r="F208" s="24">
        <v>-50.341533900000002</v>
      </c>
      <c r="G208" s="24">
        <v>-20.075705599999999</v>
      </c>
      <c r="H208" s="24">
        <v>503.68160699999999</v>
      </c>
      <c r="I208" s="23" t="s">
        <v>3874</v>
      </c>
    </row>
    <row r="209" spans="1:9">
      <c r="A209" s="25" t="s">
        <v>3875</v>
      </c>
      <c r="B209" s="25" t="s">
        <v>3511</v>
      </c>
      <c r="C209" s="26">
        <v>15962</v>
      </c>
      <c r="D209" s="26">
        <v>351810705000001</v>
      </c>
      <c r="E209" s="26">
        <v>3518107</v>
      </c>
      <c r="F209" s="26">
        <v>-49.594821799999998</v>
      </c>
      <c r="G209" s="26">
        <v>-21.895146199999999</v>
      </c>
      <c r="H209" s="26">
        <v>510.20466800000003</v>
      </c>
      <c r="I209" s="25" t="s">
        <v>3876</v>
      </c>
    </row>
    <row r="210" spans="1:9">
      <c r="A210" s="23" t="s">
        <v>3877</v>
      </c>
      <c r="B210" s="23" t="s">
        <v>3523</v>
      </c>
      <c r="C210" s="24">
        <v>15963</v>
      </c>
      <c r="D210" s="24">
        <v>351820605000001</v>
      </c>
      <c r="E210" s="24">
        <v>3518206</v>
      </c>
      <c r="F210" s="24">
        <v>-50.642639000000003</v>
      </c>
      <c r="G210" s="24">
        <v>-21.253446499999999</v>
      </c>
      <c r="H210" s="24">
        <v>413.249123</v>
      </c>
      <c r="I210" s="23" t="s">
        <v>3878</v>
      </c>
    </row>
    <row r="211" spans="1:9">
      <c r="A211" s="25" t="s">
        <v>3879</v>
      </c>
      <c r="B211" s="25" t="s">
        <v>3585</v>
      </c>
      <c r="C211" s="26">
        <v>15965</v>
      </c>
      <c r="D211" s="26">
        <v>351830505000001</v>
      </c>
      <c r="E211" s="26">
        <v>3518305</v>
      </c>
      <c r="F211" s="26">
        <v>-46.041053499999997</v>
      </c>
      <c r="G211" s="26">
        <v>-23.415233000000001</v>
      </c>
      <c r="H211" s="26">
        <v>626.50103899999999</v>
      </c>
      <c r="I211" s="25" t="s">
        <v>3880</v>
      </c>
    </row>
    <row r="212" spans="1:9">
      <c r="A212" s="23" t="s">
        <v>1316</v>
      </c>
      <c r="B212" s="23" t="s">
        <v>3555</v>
      </c>
      <c r="C212" s="24">
        <v>15968</v>
      </c>
      <c r="D212" s="24">
        <v>351840405000001</v>
      </c>
      <c r="E212" s="24">
        <v>3518404</v>
      </c>
      <c r="F212" s="24">
        <v>-45.191600100000002</v>
      </c>
      <c r="G212" s="24">
        <v>-22.817425100000001</v>
      </c>
      <c r="H212" s="24">
        <v>544.17856900000004</v>
      </c>
      <c r="I212" s="23" t="s">
        <v>3881</v>
      </c>
    </row>
    <row r="213" spans="1:9">
      <c r="A213" s="25" t="s">
        <v>3882</v>
      </c>
      <c r="B213" s="25" t="s">
        <v>3508</v>
      </c>
      <c r="C213" s="26">
        <v>15973</v>
      </c>
      <c r="D213" s="26">
        <v>351850305000001</v>
      </c>
      <c r="E213" s="26">
        <v>3518503</v>
      </c>
      <c r="F213" s="26">
        <v>-48.184538199999999</v>
      </c>
      <c r="G213" s="26">
        <v>-23.373140200000002</v>
      </c>
      <c r="H213" s="26">
        <v>647.561283</v>
      </c>
      <c r="I213" s="25" t="s">
        <v>3883</v>
      </c>
    </row>
    <row r="214" spans="1:9">
      <c r="A214" s="23" t="s">
        <v>2104</v>
      </c>
      <c r="B214" s="23" t="s">
        <v>3520</v>
      </c>
      <c r="C214" s="24">
        <v>15974</v>
      </c>
      <c r="D214" s="24">
        <v>351860205000001</v>
      </c>
      <c r="E214" s="24">
        <v>3518602</v>
      </c>
      <c r="F214" s="24">
        <v>-48.234056699999996</v>
      </c>
      <c r="G214" s="24">
        <v>-21.357996</v>
      </c>
      <c r="H214" s="24">
        <v>613.05494699999997</v>
      </c>
      <c r="I214" s="23" t="s">
        <v>3884</v>
      </c>
    </row>
    <row r="215" spans="1:9">
      <c r="A215" s="25" t="s">
        <v>3885</v>
      </c>
      <c r="B215" s="25" t="s">
        <v>3637</v>
      </c>
      <c r="C215" s="26">
        <v>15975</v>
      </c>
      <c r="D215" s="26">
        <v>351870105000001</v>
      </c>
      <c r="E215" s="26">
        <v>3518701</v>
      </c>
      <c r="F215" s="26">
        <v>-46.249034299999998</v>
      </c>
      <c r="G215" s="26">
        <v>-23.995149000000001</v>
      </c>
      <c r="H215" s="26">
        <v>43.694651999999998</v>
      </c>
      <c r="I215" s="25" t="s">
        <v>3886</v>
      </c>
    </row>
    <row r="216" spans="1:9">
      <c r="A216" s="23" t="s">
        <v>2010</v>
      </c>
      <c r="B216" s="23" t="s">
        <v>3585</v>
      </c>
      <c r="C216" s="24">
        <v>15977</v>
      </c>
      <c r="D216" s="24">
        <v>351880005000001</v>
      </c>
      <c r="E216" s="24">
        <v>3518800</v>
      </c>
      <c r="F216" s="24">
        <v>-46.531084100000001</v>
      </c>
      <c r="G216" s="24">
        <v>-23.468506000000001</v>
      </c>
      <c r="H216" s="24">
        <v>776.35806200000002</v>
      </c>
      <c r="I216" s="23" t="s">
        <v>3887</v>
      </c>
    </row>
    <row r="217" spans="1:9">
      <c r="A217" s="25" t="s">
        <v>3888</v>
      </c>
      <c r="B217" s="25" t="s">
        <v>3520</v>
      </c>
      <c r="C217" s="26">
        <v>15979</v>
      </c>
      <c r="D217" s="26">
        <v>351885905000001</v>
      </c>
      <c r="E217" s="26">
        <v>3518859</v>
      </c>
      <c r="F217" s="26">
        <v>-48.037729400000003</v>
      </c>
      <c r="G217" s="26">
        <v>-21.4918947</v>
      </c>
      <c r="H217" s="26">
        <v>514.19829100000004</v>
      </c>
      <c r="I217" s="25" t="s">
        <v>3889</v>
      </c>
    </row>
    <row r="218" spans="1:9">
      <c r="A218" s="23" t="s">
        <v>3890</v>
      </c>
      <c r="B218" s="23" t="s">
        <v>3523</v>
      </c>
      <c r="C218" s="24">
        <v>15980</v>
      </c>
      <c r="D218" s="24">
        <v>351890905000001</v>
      </c>
      <c r="E218" s="24">
        <v>3518909</v>
      </c>
      <c r="F218" s="24">
        <v>-50.661459499999999</v>
      </c>
      <c r="G218" s="24">
        <v>-20.650168699999998</v>
      </c>
      <c r="H218" s="24">
        <v>446.354761</v>
      </c>
      <c r="I218" s="23" t="s">
        <v>3891</v>
      </c>
    </row>
    <row r="219" spans="1:9">
      <c r="A219" s="25" t="s">
        <v>3892</v>
      </c>
      <c r="B219" s="25" t="s">
        <v>3532</v>
      </c>
      <c r="C219" s="26">
        <v>15981</v>
      </c>
      <c r="D219" s="26">
        <v>351900605000001</v>
      </c>
      <c r="E219" s="26">
        <v>3519006</v>
      </c>
      <c r="F219" s="26">
        <v>-50.385521599999997</v>
      </c>
      <c r="G219" s="26">
        <v>-22.003747199999999</v>
      </c>
      <c r="H219" s="26">
        <v>512.19063300000005</v>
      </c>
      <c r="I219" s="25" t="s">
        <v>3893</v>
      </c>
    </row>
    <row r="220" spans="1:9">
      <c r="A220" s="23" t="s">
        <v>2795</v>
      </c>
      <c r="B220" s="23" t="s">
        <v>3501</v>
      </c>
      <c r="C220" s="24">
        <v>15983</v>
      </c>
      <c r="D220" s="24">
        <v>351905505000001</v>
      </c>
      <c r="E220" s="24">
        <v>3519055</v>
      </c>
      <c r="F220" s="24">
        <v>-47.059286899999996</v>
      </c>
      <c r="G220" s="24">
        <v>-22.641749600000001</v>
      </c>
      <c r="H220" s="24">
        <v>604.95051799999999</v>
      </c>
      <c r="I220" s="23" t="s">
        <v>3894</v>
      </c>
    </row>
    <row r="221" spans="1:9">
      <c r="A221" s="25" t="s">
        <v>3895</v>
      </c>
      <c r="B221" s="25" t="s">
        <v>3501</v>
      </c>
      <c r="C221" s="26">
        <v>15990</v>
      </c>
      <c r="D221" s="26">
        <v>351907105000001</v>
      </c>
      <c r="E221" s="26">
        <v>3519071</v>
      </c>
      <c r="F221" s="26">
        <v>-47.221096600000003</v>
      </c>
      <c r="G221" s="26">
        <v>-22.858395000000002</v>
      </c>
      <c r="H221" s="26">
        <v>584.89496199999996</v>
      </c>
      <c r="I221" s="25" t="s">
        <v>3896</v>
      </c>
    </row>
    <row r="222" spans="1:9">
      <c r="A222" s="23" t="s">
        <v>3897</v>
      </c>
      <c r="B222" s="23" t="s">
        <v>3511</v>
      </c>
      <c r="C222" s="24">
        <v>15991</v>
      </c>
      <c r="D222" s="24">
        <v>351910505000001</v>
      </c>
      <c r="E222" s="24">
        <v>3519105</v>
      </c>
      <c r="F222" s="24">
        <v>-49.016929900000001</v>
      </c>
      <c r="G222" s="24">
        <v>-21.891977600000001</v>
      </c>
      <c r="H222" s="24">
        <v>425.28967299999999</v>
      </c>
      <c r="I222" s="23" t="s">
        <v>3898</v>
      </c>
    </row>
    <row r="223" spans="1:9">
      <c r="A223" s="25" t="s">
        <v>3899</v>
      </c>
      <c r="B223" s="25" t="s">
        <v>3532</v>
      </c>
      <c r="C223" s="26">
        <v>15996</v>
      </c>
      <c r="D223" s="26">
        <v>351920405000001</v>
      </c>
      <c r="E223" s="26">
        <v>3519204</v>
      </c>
      <c r="F223" s="26">
        <v>-50.689199899999998</v>
      </c>
      <c r="G223" s="26">
        <v>-21.8550611</v>
      </c>
      <c r="H223" s="26">
        <v>497.34339499999999</v>
      </c>
      <c r="I223" s="25" t="s">
        <v>3900</v>
      </c>
    </row>
    <row r="224" spans="1:9">
      <c r="A224" s="23" t="s">
        <v>3901</v>
      </c>
      <c r="B224" s="23" t="s">
        <v>3508</v>
      </c>
      <c r="C224" s="24">
        <v>16000</v>
      </c>
      <c r="D224" s="24">
        <v>351925305000001</v>
      </c>
      <c r="E224" s="24">
        <v>3519253</v>
      </c>
      <c r="F224" s="24">
        <v>-49.156179199999997</v>
      </c>
      <c r="G224" s="24">
        <v>-22.871892299999999</v>
      </c>
      <c r="H224" s="24">
        <v>620.69860000000006</v>
      </c>
      <c r="I224" s="23" t="s">
        <v>3902</v>
      </c>
    </row>
    <row r="225" spans="1:9">
      <c r="A225" s="25" t="s">
        <v>3903</v>
      </c>
      <c r="B225" s="25" t="s">
        <v>3538</v>
      </c>
      <c r="C225" s="26">
        <v>16002</v>
      </c>
      <c r="D225" s="26">
        <v>351930305000001</v>
      </c>
      <c r="E225" s="26">
        <v>3519303</v>
      </c>
      <c r="F225" s="26">
        <v>-48.002388199999999</v>
      </c>
      <c r="G225" s="26">
        <v>-21.955601999999999</v>
      </c>
      <c r="H225" s="26">
        <v>831.18366500000002</v>
      </c>
      <c r="I225" s="25" t="s">
        <v>3904</v>
      </c>
    </row>
    <row r="226" spans="1:9">
      <c r="A226" s="23" t="s">
        <v>3905</v>
      </c>
      <c r="B226" s="23" t="s">
        <v>3498</v>
      </c>
      <c r="C226" s="24">
        <v>16003</v>
      </c>
      <c r="D226" s="24">
        <v>351940205000001</v>
      </c>
      <c r="E226" s="24">
        <v>3519402</v>
      </c>
      <c r="F226" s="24">
        <v>-49.238861499999999</v>
      </c>
      <c r="G226" s="24">
        <v>-21.080537499999998</v>
      </c>
      <c r="H226" s="24">
        <v>457.30121800000001</v>
      </c>
      <c r="I226" s="23" t="s">
        <v>3906</v>
      </c>
    </row>
    <row r="227" spans="1:9">
      <c r="A227" s="25" t="s">
        <v>3907</v>
      </c>
      <c r="B227" s="25" t="s">
        <v>3532</v>
      </c>
      <c r="C227" s="26">
        <v>16006</v>
      </c>
      <c r="D227" s="26">
        <v>351950105000001</v>
      </c>
      <c r="E227" s="26">
        <v>3519501</v>
      </c>
      <c r="F227" s="26">
        <v>-50.079125400000002</v>
      </c>
      <c r="G227" s="26">
        <v>-22.814543</v>
      </c>
      <c r="H227" s="26">
        <v>477.51059600000002</v>
      </c>
      <c r="I227" s="25" t="s">
        <v>3908</v>
      </c>
    </row>
    <row r="228" spans="1:9">
      <c r="A228" s="23" t="s">
        <v>3909</v>
      </c>
      <c r="B228" s="23" t="s">
        <v>3538</v>
      </c>
      <c r="C228" s="24">
        <v>16007</v>
      </c>
      <c r="D228" s="24">
        <v>351960005000001</v>
      </c>
      <c r="E228" s="24">
        <v>3519600</v>
      </c>
      <c r="F228" s="24">
        <v>-48.827694700000002</v>
      </c>
      <c r="G228" s="24">
        <v>-21.757083000000002</v>
      </c>
      <c r="H228" s="24">
        <v>494.43659600000001</v>
      </c>
      <c r="I228" s="23" t="s">
        <v>3910</v>
      </c>
    </row>
    <row r="229" spans="1:9">
      <c r="A229" s="25" t="s">
        <v>3911</v>
      </c>
      <c r="B229" s="25" t="s">
        <v>3508</v>
      </c>
      <c r="C229" s="26">
        <v>16013</v>
      </c>
      <c r="D229" s="26">
        <v>351970905000001</v>
      </c>
      <c r="E229" s="26">
        <v>3519709</v>
      </c>
      <c r="F229" s="26">
        <v>-47.220491199999998</v>
      </c>
      <c r="G229" s="26">
        <v>-23.652632499999999</v>
      </c>
      <c r="H229" s="26">
        <v>871.58019300000001</v>
      </c>
      <c r="I229" s="25" t="s">
        <v>3912</v>
      </c>
    </row>
    <row r="230" spans="1:9">
      <c r="A230" s="23" t="s">
        <v>3913</v>
      </c>
      <c r="B230" s="23" t="s">
        <v>3498</v>
      </c>
      <c r="C230" s="24">
        <v>16018</v>
      </c>
      <c r="D230" s="24">
        <v>351980805000001</v>
      </c>
      <c r="E230" s="24">
        <v>3519808</v>
      </c>
      <c r="F230" s="24">
        <v>-49.196120200000003</v>
      </c>
      <c r="G230" s="24">
        <v>-20.343505100000002</v>
      </c>
      <c r="H230" s="24">
        <v>458.09464100000002</v>
      </c>
      <c r="I230" s="23" t="s">
        <v>3914</v>
      </c>
    </row>
    <row r="231" spans="1:9">
      <c r="A231" s="25" t="s">
        <v>3915</v>
      </c>
      <c r="B231" s="25" t="s">
        <v>3495</v>
      </c>
      <c r="C231" s="26">
        <v>16021</v>
      </c>
      <c r="D231" s="26">
        <v>351990705000001</v>
      </c>
      <c r="E231" s="26">
        <v>3519907</v>
      </c>
      <c r="F231" s="26">
        <v>-51.077413900000003</v>
      </c>
      <c r="G231" s="26">
        <v>-22.6631015</v>
      </c>
      <c r="H231" s="26">
        <v>402.82042100000001</v>
      </c>
      <c r="I231" s="25" t="s">
        <v>3916</v>
      </c>
    </row>
    <row r="232" spans="1:9">
      <c r="A232" s="23" t="s">
        <v>3917</v>
      </c>
      <c r="B232" s="23" t="s">
        <v>3511</v>
      </c>
      <c r="C232" s="24">
        <v>16022</v>
      </c>
      <c r="D232" s="24">
        <v>352000405000001</v>
      </c>
      <c r="E232" s="24">
        <v>3520004</v>
      </c>
      <c r="F232" s="24">
        <v>-48.5570661</v>
      </c>
      <c r="G232" s="24">
        <v>-22.511149</v>
      </c>
      <c r="H232" s="24">
        <v>493.094516</v>
      </c>
      <c r="I232" s="23" t="s">
        <v>3918</v>
      </c>
    </row>
    <row r="233" spans="1:9">
      <c r="A233" s="25" t="s">
        <v>3919</v>
      </c>
      <c r="B233" s="25" t="s">
        <v>3566</v>
      </c>
      <c r="C233" s="26">
        <v>16023</v>
      </c>
      <c r="D233" s="26">
        <v>352010305000001</v>
      </c>
      <c r="E233" s="26">
        <v>3520103</v>
      </c>
      <c r="F233" s="26">
        <v>-47.751066600000001</v>
      </c>
      <c r="G233" s="26">
        <v>-20.0396125</v>
      </c>
      <c r="H233" s="26">
        <v>609.60143500000004</v>
      </c>
      <c r="I233" s="25" t="s">
        <v>3920</v>
      </c>
    </row>
    <row r="234" spans="1:9">
      <c r="A234" s="23" t="s">
        <v>165</v>
      </c>
      <c r="B234" s="23" t="s">
        <v>3555</v>
      </c>
      <c r="C234" s="24">
        <v>16025</v>
      </c>
      <c r="D234" s="24">
        <v>352020205000001</v>
      </c>
      <c r="E234" s="24">
        <v>3520202</v>
      </c>
      <c r="F234" s="24">
        <v>-46.156314399999999</v>
      </c>
      <c r="G234" s="24">
        <v>-23.204843</v>
      </c>
      <c r="H234" s="24">
        <v>741.813129</v>
      </c>
      <c r="I234" s="23" t="s">
        <v>3921</v>
      </c>
    </row>
    <row r="235" spans="1:9">
      <c r="A235" s="25" t="s">
        <v>492</v>
      </c>
      <c r="B235" s="25" t="s">
        <v>3618</v>
      </c>
      <c r="C235" s="26">
        <v>16026</v>
      </c>
      <c r="D235" s="26">
        <v>352030105000001</v>
      </c>
      <c r="E235" s="26">
        <v>3520301</v>
      </c>
      <c r="F235" s="26">
        <v>-47.553137399999997</v>
      </c>
      <c r="G235" s="26">
        <v>-24.706954199999998</v>
      </c>
      <c r="H235" s="26">
        <v>4.7814889999999997</v>
      </c>
      <c r="I235" s="25" t="s">
        <v>3922</v>
      </c>
    </row>
    <row r="236" spans="1:9">
      <c r="A236" s="23" t="s">
        <v>3923</v>
      </c>
      <c r="B236" s="23" t="s">
        <v>3618</v>
      </c>
      <c r="C236" s="24">
        <v>16033</v>
      </c>
      <c r="D236" s="24">
        <v>352042605000001</v>
      </c>
      <c r="E236" s="24">
        <v>3520426</v>
      </c>
      <c r="F236" s="24">
        <v>-47.554316999999998</v>
      </c>
      <c r="G236" s="24">
        <v>-24.739239900000001</v>
      </c>
      <c r="H236" s="24">
        <v>7.931819</v>
      </c>
      <c r="I236" s="23" t="s">
        <v>3924</v>
      </c>
    </row>
    <row r="237" spans="1:9">
      <c r="A237" s="25" t="s">
        <v>3925</v>
      </c>
      <c r="B237" s="25" t="s">
        <v>3523</v>
      </c>
      <c r="C237" s="26">
        <v>16034</v>
      </c>
      <c r="D237" s="26">
        <v>352044205000001</v>
      </c>
      <c r="E237" s="26">
        <v>3520442</v>
      </c>
      <c r="F237" s="26">
        <v>-51.344890700000001</v>
      </c>
      <c r="G237" s="26">
        <v>-20.429372499999999</v>
      </c>
      <c r="H237" s="26">
        <v>376.81917199999998</v>
      </c>
      <c r="I237" s="25" t="s">
        <v>3926</v>
      </c>
    </row>
    <row r="238" spans="1:9">
      <c r="A238" s="23" t="s">
        <v>3927</v>
      </c>
      <c r="B238" s="23" t="s">
        <v>3555</v>
      </c>
      <c r="C238" s="24">
        <v>16030</v>
      </c>
      <c r="D238" s="24">
        <v>352040005000001</v>
      </c>
      <c r="E238" s="24">
        <v>3520400</v>
      </c>
      <c r="F238" s="24">
        <v>-45.354056700000001</v>
      </c>
      <c r="G238" s="24">
        <v>-23.788652500000001</v>
      </c>
      <c r="H238" s="24">
        <v>87.188124000000002</v>
      </c>
      <c r="I238" s="23" t="s">
        <v>3928</v>
      </c>
    </row>
    <row r="239" spans="1:9">
      <c r="A239" s="25" t="s">
        <v>3929</v>
      </c>
      <c r="B239" s="25" t="s">
        <v>3501</v>
      </c>
      <c r="C239" s="26">
        <v>16035</v>
      </c>
      <c r="D239" s="26">
        <v>352050905000001</v>
      </c>
      <c r="E239" s="26">
        <v>3520509</v>
      </c>
      <c r="F239" s="26">
        <v>-47.212308899999996</v>
      </c>
      <c r="G239" s="26">
        <v>-23.081645999999999</v>
      </c>
      <c r="H239" s="26">
        <v>631.62627199999997</v>
      </c>
      <c r="I239" s="25" t="s">
        <v>3930</v>
      </c>
    </row>
    <row r="240" spans="1:9">
      <c r="A240" s="23" t="s">
        <v>3931</v>
      </c>
      <c r="B240" s="23" t="s">
        <v>3495</v>
      </c>
      <c r="C240" s="24">
        <v>16039</v>
      </c>
      <c r="D240" s="24">
        <v>352060805000001</v>
      </c>
      <c r="E240" s="24">
        <v>3520608</v>
      </c>
      <c r="F240" s="24">
        <v>-51.251758500000001</v>
      </c>
      <c r="G240" s="24">
        <v>-22.172093400000001</v>
      </c>
      <c r="H240" s="24">
        <v>468.13006100000001</v>
      </c>
      <c r="I240" s="23" t="s">
        <v>3932</v>
      </c>
    </row>
    <row r="241" spans="1:9">
      <c r="A241" s="25" t="s">
        <v>3933</v>
      </c>
      <c r="B241" s="25" t="s">
        <v>3498</v>
      </c>
      <c r="C241" s="26">
        <v>16040</v>
      </c>
      <c r="D241" s="26">
        <v>352070705000001</v>
      </c>
      <c r="E241" s="26">
        <v>3520707</v>
      </c>
      <c r="F241" s="26">
        <v>-50.288981</v>
      </c>
      <c r="G241" s="26">
        <v>-19.977543000000001</v>
      </c>
      <c r="H241" s="26">
        <v>457.14197200000001</v>
      </c>
      <c r="I241" s="25" t="s">
        <v>3934</v>
      </c>
    </row>
    <row r="242" spans="1:9">
      <c r="A242" s="23" t="s">
        <v>3935</v>
      </c>
      <c r="B242" s="23" t="s">
        <v>3495</v>
      </c>
      <c r="C242" s="24">
        <v>16043</v>
      </c>
      <c r="D242" s="24">
        <v>352080605000001</v>
      </c>
      <c r="E242" s="24">
        <v>3520806</v>
      </c>
      <c r="F242" s="24">
        <v>-50.964374900000003</v>
      </c>
      <c r="G242" s="24">
        <v>-21.769912000000001</v>
      </c>
      <c r="H242" s="24">
        <v>451.98613899999998</v>
      </c>
      <c r="I242" s="23" t="s">
        <v>3936</v>
      </c>
    </row>
    <row r="243" spans="1:9">
      <c r="A243" s="25" t="s">
        <v>3937</v>
      </c>
      <c r="B243" s="25" t="s">
        <v>3532</v>
      </c>
      <c r="C243" s="26">
        <v>16044</v>
      </c>
      <c r="D243" s="26">
        <v>352090505000001</v>
      </c>
      <c r="E243" s="26">
        <v>3520905</v>
      </c>
      <c r="F243" s="26">
        <v>-49.626806999999999</v>
      </c>
      <c r="G243" s="26">
        <v>-23.052913</v>
      </c>
      <c r="H243" s="26">
        <v>577.57906100000002</v>
      </c>
      <c r="I243" s="25" t="s">
        <v>3938</v>
      </c>
    </row>
    <row r="244" spans="1:9">
      <c r="A244" s="23" t="s">
        <v>3939</v>
      </c>
      <c r="B244" s="23" t="s">
        <v>3508</v>
      </c>
      <c r="C244" s="24">
        <v>16045</v>
      </c>
      <c r="D244" s="24">
        <v>352100205000001</v>
      </c>
      <c r="E244" s="24">
        <v>3521002</v>
      </c>
      <c r="F244" s="24">
        <v>-47.689893900000001</v>
      </c>
      <c r="G244" s="24">
        <v>-23.3502774</v>
      </c>
      <c r="H244" s="24">
        <v>582.03182900000002</v>
      </c>
      <c r="I244" s="23" t="s">
        <v>3940</v>
      </c>
    </row>
    <row r="245" spans="1:9">
      <c r="A245" s="25" t="s">
        <v>3941</v>
      </c>
      <c r="B245" s="25" t="s">
        <v>3501</v>
      </c>
      <c r="C245" s="26">
        <v>16052</v>
      </c>
      <c r="D245" s="26">
        <v>352110105000001</v>
      </c>
      <c r="E245" s="26">
        <v>3521101</v>
      </c>
      <c r="F245" s="26">
        <v>-47.719096</v>
      </c>
      <c r="G245" s="26">
        <v>-22.437299500000002</v>
      </c>
      <c r="H245" s="26">
        <v>632.09753000000001</v>
      </c>
      <c r="I245" s="25" t="s">
        <v>3942</v>
      </c>
    </row>
    <row r="246" spans="1:9">
      <c r="A246" s="23" t="s">
        <v>3943</v>
      </c>
      <c r="B246" s="23" t="s">
        <v>3498</v>
      </c>
      <c r="C246" s="24">
        <v>16054</v>
      </c>
      <c r="D246" s="24">
        <v>352115005000001</v>
      </c>
      <c r="E246" s="24">
        <v>3521150</v>
      </c>
      <c r="F246" s="24">
        <v>-49.3881424</v>
      </c>
      <c r="G246" s="24">
        <v>-20.661645499999999</v>
      </c>
      <c r="H246" s="24">
        <v>509.93940500000002</v>
      </c>
      <c r="I246" s="23" t="s">
        <v>3944</v>
      </c>
    </row>
    <row r="247" spans="1:9">
      <c r="A247" s="25" t="s">
        <v>3945</v>
      </c>
      <c r="B247" s="25" t="s">
        <v>3549</v>
      </c>
      <c r="C247" s="26">
        <v>16055</v>
      </c>
      <c r="D247" s="26">
        <v>352120005000001</v>
      </c>
      <c r="E247" s="26">
        <v>3521200</v>
      </c>
      <c r="F247" s="26">
        <v>-48.589600699999998</v>
      </c>
      <c r="G247" s="26">
        <v>-24.584460199999999</v>
      </c>
      <c r="H247" s="26">
        <v>79.195538999999997</v>
      </c>
      <c r="I247" s="25" t="s">
        <v>3946</v>
      </c>
    </row>
    <row r="248" spans="1:9">
      <c r="A248" s="23" t="s">
        <v>3947</v>
      </c>
      <c r="B248" s="23" t="s">
        <v>3566</v>
      </c>
      <c r="C248" s="24">
        <v>16057</v>
      </c>
      <c r="D248" s="24">
        <v>352130905000001</v>
      </c>
      <c r="E248" s="24">
        <v>3521309</v>
      </c>
      <c r="F248" s="24">
        <v>-48.017384999999997</v>
      </c>
      <c r="G248" s="24">
        <v>-20.441482600000001</v>
      </c>
      <c r="H248" s="24">
        <v>549.85797400000001</v>
      </c>
      <c r="I248" s="23" t="s">
        <v>3948</v>
      </c>
    </row>
    <row r="249" spans="1:9">
      <c r="A249" s="25" t="s">
        <v>3949</v>
      </c>
      <c r="B249" s="25" t="s">
        <v>3501</v>
      </c>
      <c r="C249" s="26">
        <v>16059</v>
      </c>
      <c r="D249" s="26">
        <v>352140805000001</v>
      </c>
      <c r="E249" s="26">
        <v>3521408</v>
      </c>
      <c r="F249" s="26">
        <v>-47.522246600000003</v>
      </c>
      <c r="G249" s="26">
        <v>-22.5830369</v>
      </c>
      <c r="H249" s="26">
        <v>612.84556699999996</v>
      </c>
      <c r="I249" s="25" t="s">
        <v>3950</v>
      </c>
    </row>
    <row r="250" spans="1:9">
      <c r="A250" s="23" t="s">
        <v>3951</v>
      </c>
      <c r="B250" s="23" t="s">
        <v>3498</v>
      </c>
      <c r="C250" s="24">
        <v>16060</v>
      </c>
      <c r="D250" s="24">
        <v>352150705000001</v>
      </c>
      <c r="E250" s="24">
        <v>3521507</v>
      </c>
      <c r="F250" s="24">
        <v>-49.408151799999999</v>
      </c>
      <c r="G250" s="24">
        <v>-21.2764372</v>
      </c>
      <c r="H250" s="24">
        <v>433.34509800000001</v>
      </c>
      <c r="I250" s="23" t="s">
        <v>3952</v>
      </c>
    </row>
    <row r="251" spans="1:9">
      <c r="A251" s="25" t="s">
        <v>3953</v>
      </c>
      <c r="B251" s="25" t="s">
        <v>3495</v>
      </c>
      <c r="C251" s="26">
        <v>16061</v>
      </c>
      <c r="D251" s="26">
        <v>352160605000001</v>
      </c>
      <c r="E251" s="26">
        <v>3521606</v>
      </c>
      <c r="F251" s="26">
        <v>-51.350172700000002</v>
      </c>
      <c r="G251" s="26">
        <v>-21.567476200000002</v>
      </c>
      <c r="H251" s="26">
        <v>426.73884700000002</v>
      </c>
      <c r="I251" s="25" t="s">
        <v>3954</v>
      </c>
    </row>
    <row r="252" spans="1:9">
      <c r="A252" s="23" t="s">
        <v>3955</v>
      </c>
      <c r="B252" s="23" t="s">
        <v>3549</v>
      </c>
      <c r="C252" s="24">
        <v>16062</v>
      </c>
      <c r="D252" s="24">
        <v>352170505000001</v>
      </c>
      <c r="E252" s="24">
        <v>3521705</v>
      </c>
      <c r="F252" s="24">
        <v>-49.137133300000002</v>
      </c>
      <c r="G252" s="24">
        <v>-23.859811499999999</v>
      </c>
      <c r="H252" s="24">
        <v>606.996081</v>
      </c>
      <c r="I252" s="23" t="s">
        <v>3956</v>
      </c>
    </row>
    <row r="253" spans="1:9">
      <c r="A253" s="25" t="s">
        <v>819</v>
      </c>
      <c r="B253" s="25" t="s">
        <v>3549</v>
      </c>
      <c r="C253" s="26">
        <v>16067</v>
      </c>
      <c r="D253" s="26">
        <v>352180405000001</v>
      </c>
      <c r="E253" s="26">
        <v>3521804</v>
      </c>
      <c r="F253" s="26">
        <v>-49.081032200000003</v>
      </c>
      <c r="G253" s="26">
        <v>-23.419055400000001</v>
      </c>
      <c r="H253" s="26">
        <v>597.91868599999998</v>
      </c>
      <c r="I253" s="25" t="s">
        <v>3957</v>
      </c>
    </row>
    <row r="254" spans="1:9">
      <c r="A254" s="23" t="s">
        <v>3958</v>
      </c>
      <c r="B254" s="23" t="s">
        <v>3498</v>
      </c>
      <c r="C254" s="24">
        <v>16084</v>
      </c>
      <c r="D254" s="24">
        <v>352190305000001</v>
      </c>
      <c r="E254" s="24">
        <v>3521903</v>
      </c>
      <c r="F254" s="24">
        <v>-49.0543111</v>
      </c>
      <c r="G254" s="24">
        <v>-21.315707100000001</v>
      </c>
      <c r="H254" s="24">
        <v>467.08361200000002</v>
      </c>
      <c r="I254" s="23" t="s">
        <v>3959</v>
      </c>
    </row>
    <row r="255" spans="1:9">
      <c r="A255" s="25" t="s">
        <v>3960</v>
      </c>
      <c r="B255" s="25" t="s">
        <v>3511</v>
      </c>
      <c r="C255" s="26">
        <v>16087</v>
      </c>
      <c r="D255" s="26">
        <v>352200005000001</v>
      </c>
      <c r="E255" s="26">
        <v>3522000</v>
      </c>
      <c r="F255" s="26">
        <v>-48.805021699999998</v>
      </c>
      <c r="G255" s="26">
        <v>-21.984672400000001</v>
      </c>
      <c r="H255" s="26">
        <v>509.82670899999999</v>
      </c>
      <c r="I255" s="25" t="s">
        <v>3961</v>
      </c>
    </row>
    <row r="256" spans="1:9">
      <c r="A256" s="23" t="s">
        <v>215</v>
      </c>
      <c r="B256" s="23" t="s">
        <v>3637</v>
      </c>
      <c r="C256" s="24">
        <v>16088</v>
      </c>
      <c r="D256" s="24">
        <v>352210905000001</v>
      </c>
      <c r="E256" s="24">
        <v>3522109</v>
      </c>
      <c r="F256" s="24">
        <v>-46.790991499999997</v>
      </c>
      <c r="G256" s="24">
        <v>-24.1861207</v>
      </c>
      <c r="H256" s="24">
        <v>6.4738429999999996</v>
      </c>
      <c r="I256" s="23" t="s">
        <v>3962</v>
      </c>
    </row>
    <row r="257" spans="1:9">
      <c r="A257" s="25" t="s">
        <v>174</v>
      </c>
      <c r="B257" s="25" t="s">
        <v>3549</v>
      </c>
      <c r="C257" s="26">
        <v>16090</v>
      </c>
      <c r="D257" s="26">
        <v>352215805000001</v>
      </c>
      <c r="E257" s="26">
        <v>3522158</v>
      </c>
      <c r="F257" s="26">
        <v>-48.842855700000001</v>
      </c>
      <c r="G257" s="26">
        <v>-24.642594200000001</v>
      </c>
      <c r="H257" s="26">
        <v>170.37789699999999</v>
      </c>
      <c r="I257" s="25" t="s">
        <v>3963</v>
      </c>
    </row>
    <row r="258" spans="1:9">
      <c r="A258" s="23" t="s">
        <v>271</v>
      </c>
      <c r="B258" s="23" t="s">
        <v>3585</v>
      </c>
      <c r="C258" s="24">
        <v>16095</v>
      </c>
      <c r="D258" s="24">
        <v>352220805000001</v>
      </c>
      <c r="E258" s="24">
        <v>3522208</v>
      </c>
      <c r="F258" s="24">
        <v>-46.850552</v>
      </c>
      <c r="G258" s="24">
        <v>-23.715357000000001</v>
      </c>
      <c r="H258" s="24">
        <v>905.95026900000005</v>
      </c>
      <c r="I258" s="23" t="s">
        <v>3964</v>
      </c>
    </row>
    <row r="259" spans="1:9">
      <c r="A259" s="25" t="s">
        <v>3965</v>
      </c>
      <c r="B259" s="25" t="s">
        <v>3508</v>
      </c>
      <c r="C259" s="26">
        <v>16096</v>
      </c>
      <c r="D259" s="26">
        <v>352230705000001</v>
      </c>
      <c r="E259" s="26">
        <v>3522307</v>
      </c>
      <c r="F259" s="26">
        <v>-48.0461429</v>
      </c>
      <c r="G259" s="26">
        <v>-23.5878725</v>
      </c>
      <c r="H259" s="26">
        <v>668.67916200000002</v>
      </c>
      <c r="I259" s="25" t="s">
        <v>3966</v>
      </c>
    </row>
    <row r="260" spans="1:9">
      <c r="A260" s="23" t="s">
        <v>3967</v>
      </c>
      <c r="B260" s="23" t="s">
        <v>3549</v>
      </c>
      <c r="C260" s="24">
        <v>16104</v>
      </c>
      <c r="D260" s="24">
        <v>352240605000001</v>
      </c>
      <c r="E260" s="24">
        <v>3522406</v>
      </c>
      <c r="F260" s="24">
        <v>-48.877389200000003</v>
      </c>
      <c r="G260" s="24">
        <v>-23.983438</v>
      </c>
      <c r="H260" s="24">
        <v>690.31585800000005</v>
      </c>
      <c r="I260" s="23" t="s">
        <v>3968</v>
      </c>
    </row>
    <row r="261" spans="1:9">
      <c r="A261" s="25" t="s">
        <v>3969</v>
      </c>
      <c r="B261" s="25" t="s">
        <v>3585</v>
      </c>
      <c r="C261" s="26">
        <v>16108</v>
      </c>
      <c r="D261" s="26">
        <v>352250505000001</v>
      </c>
      <c r="E261" s="26">
        <v>3522505</v>
      </c>
      <c r="F261" s="26">
        <v>-46.933372900000002</v>
      </c>
      <c r="G261" s="26">
        <v>-23.546934</v>
      </c>
      <c r="H261" s="26">
        <v>743.05072299999995</v>
      </c>
      <c r="I261" s="25" t="s">
        <v>3970</v>
      </c>
    </row>
    <row r="262" spans="1:9">
      <c r="A262" s="23" t="s">
        <v>3971</v>
      </c>
      <c r="B262" s="23" t="s">
        <v>3501</v>
      </c>
      <c r="C262" s="24">
        <v>16109</v>
      </c>
      <c r="D262" s="24">
        <v>352260405000001</v>
      </c>
      <c r="E262" s="24">
        <v>3522604</v>
      </c>
      <c r="F262" s="24">
        <v>-46.821247999999997</v>
      </c>
      <c r="G262" s="24">
        <v>-22.4360055</v>
      </c>
      <c r="H262" s="24">
        <v>648.92559400000005</v>
      </c>
      <c r="I262" s="23" t="s">
        <v>3972</v>
      </c>
    </row>
    <row r="263" spans="1:9">
      <c r="A263" s="25" t="s">
        <v>3973</v>
      </c>
      <c r="B263" s="25" t="s">
        <v>3549</v>
      </c>
      <c r="C263" s="26">
        <v>16113</v>
      </c>
      <c r="D263" s="26">
        <v>352265305000001</v>
      </c>
      <c r="E263" s="26">
        <v>3522653</v>
      </c>
      <c r="F263" s="26">
        <v>-49.172165700000001</v>
      </c>
      <c r="G263" s="26">
        <v>-24.5715535</v>
      </c>
      <c r="H263" s="26">
        <v>570.51710500000002</v>
      </c>
      <c r="I263" s="25" t="s">
        <v>3974</v>
      </c>
    </row>
    <row r="264" spans="1:9">
      <c r="A264" s="23" t="s">
        <v>3975</v>
      </c>
      <c r="B264" s="23" t="s">
        <v>3538</v>
      </c>
      <c r="C264" s="24">
        <v>16115</v>
      </c>
      <c r="D264" s="24">
        <v>352270305000001</v>
      </c>
      <c r="E264" s="24">
        <v>3522703</v>
      </c>
      <c r="F264" s="24">
        <v>-48.813392</v>
      </c>
      <c r="G264" s="24">
        <v>-21.594704</v>
      </c>
      <c r="H264" s="24">
        <v>489.88086099999998</v>
      </c>
      <c r="I264" s="23" t="s">
        <v>3976</v>
      </c>
    </row>
    <row r="265" spans="1:9">
      <c r="A265" s="25" t="s">
        <v>114</v>
      </c>
      <c r="B265" s="25" t="s">
        <v>3549</v>
      </c>
      <c r="C265" s="26">
        <v>16121</v>
      </c>
      <c r="D265" s="26">
        <v>352280205000001</v>
      </c>
      <c r="E265" s="26">
        <v>3522802</v>
      </c>
      <c r="F265" s="26">
        <v>-49.4843963</v>
      </c>
      <c r="G265" s="26">
        <v>-23.703499900000001</v>
      </c>
      <c r="H265" s="26">
        <v>545.30364799999995</v>
      </c>
      <c r="I265" s="25" t="s">
        <v>3977</v>
      </c>
    </row>
    <row r="266" spans="1:9">
      <c r="A266" s="23" t="s">
        <v>3978</v>
      </c>
      <c r="B266" s="23" t="s">
        <v>3511</v>
      </c>
      <c r="C266" s="24">
        <v>16122</v>
      </c>
      <c r="D266" s="24">
        <v>352290105000001</v>
      </c>
      <c r="E266" s="24">
        <v>3522901</v>
      </c>
      <c r="F266" s="24">
        <v>-48.718874200000002</v>
      </c>
      <c r="G266" s="24">
        <v>-22.232127599999998</v>
      </c>
      <c r="H266" s="24">
        <v>458.50312100000002</v>
      </c>
      <c r="I266" s="23" t="s">
        <v>3979</v>
      </c>
    </row>
    <row r="267" spans="1:9">
      <c r="A267" s="25" t="s">
        <v>3980</v>
      </c>
      <c r="B267" s="25" t="s">
        <v>3523</v>
      </c>
      <c r="C267" s="26">
        <v>16128</v>
      </c>
      <c r="D267" s="26">
        <v>352300805000001</v>
      </c>
      <c r="E267" s="26">
        <v>3523008</v>
      </c>
      <c r="F267" s="26">
        <v>-51.509969400000003</v>
      </c>
      <c r="G267" s="26">
        <v>-20.639825800000001</v>
      </c>
      <c r="H267" s="26">
        <v>299.54548199999999</v>
      </c>
      <c r="I267" s="25" t="s">
        <v>3981</v>
      </c>
    </row>
    <row r="268" spans="1:9">
      <c r="A268" s="23" t="s">
        <v>3982</v>
      </c>
      <c r="B268" s="23" t="s">
        <v>3585</v>
      </c>
      <c r="C268" s="24">
        <v>16129</v>
      </c>
      <c r="D268" s="24">
        <v>352310705000001</v>
      </c>
      <c r="E268" s="24">
        <v>3523107</v>
      </c>
      <c r="F268" s="24">
        <v>-46.351603099999998</v>
      </c>
      <c r="G268" s="24">
        <v>-23.4768975</v>
      </c>
      <c r="H268" s="24">
        <v>762.25442199999998</v>
      </c>
      <c r="I268" s="23" t="s">
        <v>3983</v>
      </c>
    </row>
    <row r="269" spans="1:9">
      <c r="A269" s="25" t="s">
        <v>655</v>
      </c>
      <c r="B269" s="25" t="s">
        <v>3549</v>
      </c>
      <c r="C269" s="26">
        <v>16130</v>
      </c>
      <c r="D269" s="26">
        <v>352320605000001</v>
      </c>
      <c r="E269" s="26">
        <v>3523206</v>
      </c>
      <c r="F269" s="26">
        <v>-49.336119699999998</v>
      </c>
      <c r="G269" s="26">
        <v>-24.112138000000002</v>
      </c>
      <c r="H269" s="26">
        <v>734.12665600000003</v>
      </c>
      <c r="I269" s="25" t="s">
        <v>3984</v>
      </c>
    </row>
    <row r="270" spans="1:9">
      <c r="A270" s="23" t="s">
        <v>3985</v>
      </c>
      <c r="B270" s="23" t="s">
        <v>3618</v>
      </c>
      <c r="C270" s="24">
        <v>16133</v>
      </c>
      <c r="D270" s="24">
        <v>352330505000001</v>
      </c>
      <c r="E270" s="24">
        <v>3523305</v>
      </c>
      <c r="F270" s="24">
        <v>-47.175726099999999</v>
      </c>
      <c r="G270" s="24">
        <v>-24.2920056</v>
      </c>
      <c r="H270" s="24">
        <v>61.154409999999999</v>
      </c>
      <c r="I270" s="23" t="s">
        <v>3986</v>
      </c>
    </row>
    <row r="271" spans="1:9">
      <c r="A271" s="25" t="s">
        <v>644</v>
      </c>
      <c r="B271" s="25" t="s">
        <v>3501</v>
      </c>
      <c r="C271" s="26">
        <v>16138</v>
      </c>
      <c r="D271" s="26">
        <v>352340405000001</v>
      </c>
      <c r="E271" s="26">
        <v>3523404</v>
      </c>
      <c r="F271" s="26">
        <v>-46.8375579</v>
      </c>
      <c r="G271" s="26">
        <v>-23.004853000000001</v>
      </c>
      <c r="H271" s="26">
        <v>766.77427399999999</v>
      </c>
      <c r="I271" s="25" t="s">
        <v>3987</v>
      </c>
    </row>
    <row r="272" spans="1:9">
      <c r="A272" s="23" t="s">
        <v>3988</v>
      </c>
      <c r="B272" s="23" t="s">
        <v>3508</v>
      </c>
      <c r="C272" s="24">
        <v>16144</v>
      </c>
      <c r="D272" s="24">
        <v>352350305000001</v>
      </c>
      <c r="E272" s="24">
        <v>3523503</v>
      </c>
      <c r="F272" s="24">
        <v>-48.613380300000003</v>
      </c>
      <c r="G272" s="24">
        <v>-23.1042734</v>
      </c>
      <c r="H272" s="24">
        <v>839.32126600000004</v>
      </c>
      <c r="I272" s="23" t="s">
        <v>3989</v>
      </c>
    </row>
    <row r="273" spans="1:9">
      <c r="A273" s="25" t="s">
        <v>3990</v>
      </c>
      <c r="B273" s="25" t="s">
        <v>3501</v>
      </c>
      <c r="C273" s="26">
        <v>16148</v>
      </c>
      <c r="D273" s="26">
        <v>352360205000001</v>
      </c>
      <c r="E273" s="26">
        <v>3523602</v>
      </c>
      <c r="F273" s="26">
        <v>-47.819884899999998</v>
      </c>
      <c r="G273" s="26">
        <v>-22.253968</v>
      </c>
      <c r="H273" s="26">
        <v>762.11245199999996</v>
      </c>
      <c r="I273" s="25" t="s">
        <v>3991</v>
      </c>
    </row>
    <row r="274" spans="1:9">
      <c r="A274" s="23" t="s">
        <v>3992</v>
      </c>
      <c r="B274" s="23" t="s">
        <v>3566</v>
      </c>
      <c r="C274" s="24">
        <v>16154</v>
      </c>
      <c r="D274" s="24">
        <v>352370105000001</v>
      </c>
      <c r="E274" s="24">
        <v>3523701</v>
      </c>
      <c r="F274" s="24">
        <v>-47.219952900000003</v>
      </c>
      <c r="G274" s="24">
        <v>-20.642426499999999</v>
      </c>
      <c r="H274" s="24">
        <v>867.03915400000005</v>
      </c>
      <c r="I274" s="23" t="s">
        <v>3993</v>
      </c>
    </row>
    <row r="275" spans="1:9">
      <c r="A275" s="25" t="s">
        <v>3994</v>
      </c>
      <c r="B275" s="25" t="s">
        <v>3501</v>
      </c>
      <c r="C275" s="26">
        <v>16155</v>
      </c>
      <c r="D275" s="26">
        <v>352380005000001</v>
      </c>
      <c r="E275" s="26">
        <v>3523800</v>
      </c>
      <c r="F275" s="26">
        <v>-46.973418700000003</v>
      </c>
      <c r="G275" s="26">
        <v>-21.734901799999999</v>
      </c>
      <c r="H275" s="26">
        <v>687.11849400000006</v>
      </c>
      <c r="I275" s="25" t="s">
        <v>3995</v>
      </c>
    </row>
    <row r="276" spans="1:9">
      <c r="A276" s="23" t="s">
        <v>3996</v>
      </c>
      <c r="B276" s="23" t="s">
        <v>3508</v>
      </c>
      <c r="C276" s="24">
        <v>16156</v>
      </c>
      <c r="D276" s="24">
        <v>352390905000001</v>
      </c>
      <c r="E276" s="24">
        <v>3523909</v>
      </c>
      <c r="F276" s="24">
        <v>-47.299749800000001</v>
      </c>
      <c r="G276" s="24">
        <v>-23.265442499999999</v>
      </c>
      <c r="H276" s="24">
        <v>587.35891000000004</v>
      </c>
      <c r="I276" s="23" t="s">
        <v>3997</v>
      </c>
    </row>
    <row r="277" spans="1:9">
      <c r="A277" s="25" t="s">
        <v>382</v>
      </c>
      <c r="B277" s="25" t="s">
        <v>3501</v>
      </c>
      <c r="C277" s="26">
        <v>16193</v>
      </c>
      <c r="D277" s="26">
        <v>352400605000001</v>
      </c>
      <c r="E277" s="26">
        <v>3524006</v>
      </c>
      <c r="F277" s="26">
        <v>-47.055701200000001</v>
      </c>
      <c r="G277" s="26">
        <v>-23.1534096</v>
      </c>
      <c r="H277" s="26">
        <v>672.32714899999996</v>
      </c>
      <c r="I277" s="25" t="s">
        <v>3998</v>
      </c>
    </row>
    <row r="278" spans="1:9">
      <c r="A278" s="23" t="s">
        <v>3999</v>
      </c>
      <c r="B278" s="23" t="s">
        <v>3566</v>
      </c>
      <c r="C278" s="24">
        <v>16217</v>
      </c>
      <c r="D278" s="24">
        <v>352410505000001</v>
      </c>
      <c r="E278" s="24">
        <v>3524105</v>
      </c>
      <c r="F278" s="24">
        <v>-47.780415699999999</v>
      </c>
      <c r="G278" s="24">
        <v>-20.336288</v>
      </c>
      <c r="H278" s="24">
        <v>609.81985499999996</v>
      </c>
      <c r="I278" s="23" t="s">
        <v>4000</v>
      </c>
    </row>
    <row r="279" spans="1:9">
      <c r="A279" s="25" t="s">
        <v>4001</v>
      </c>
      <c r="B279" s="25" t="s">
        <v>3518</v>
      </c>
      <c r="C279" s="26">
        <v>16221</v>
      </c>
      <c r="D279" s="26">
        <v>352420405000001</v>
      </c>
      <c r="E279" s="26">
        <v>3524204</v>
      </c>
      <c r="F279" s="26">
        <v>-48.413444900000002</v>
      </c>
      <c r="G279" s="26">
        <v>-20.687224499999999</v>
      </c>
      <c r="H279" s="26">
        <v>504.204836</v>
      </c>
      <c r="I279" s="25" t="s">
        <v>4002</v>
      </c>
    </row>
    <row r="280" spans="1:9">
      <c r="A280" s="23" t="s">
        <v>4003</v>
      </c>
      <c r="B280" s="23" t="s">
        <v>3520</v>
      </c>
      <c r="C280" s="24">
        <v>16222</v>
      </c>
      <c r="D280" s="24">
        <v>352430305000001</v>
      </c>
      <c r="E280" s="24">
        <v>3524303</v>
      </c>
      <c r="F280" s="24">
        <v>-48.320349800000002</v>
      </c>
      <c r="G280" s="24">
        <v>-21.254471500000001</v>
      </c>
      <c r="H280" s="24">
        <v>594.409941</v>
      </c>
      <c r="I280" s="23" t="s">
        <v>4004</v>
      </c>
    </row>
    <row r="281" spans="1:9">
      <c r="A281" s="25" t="s">
        <v>4005</v>
      </c>
      <c r="B281" s="25" t="s">
        <v>3555</v>
      </c>
      <c r="C281" s="26">
        <v>16227</v>
      </c>
      <c r="D281" s="26">
        <v>352440205000001</v>
      </c>
      <c r="E281" s="26">
        <v>3524402</v>
      </c>
      <c r="F281" s="26">
        <v>-45.969593199999998</v>
      </c>
      <c r="G281" s="26">
        <v>-23.304880499999999</v>
      </c>
      <c r="H281" s="26">
        <v>572.58551699999998</v>
      </c>
      <c r="I281" s="25" t="s">
        <v>4006</v>
      </c>
    </row>
    <row r="282" spans="1:9">
      <c r="A282" s="23" t="s">
        <v>4007</v>
      </c>
      <c r="B282" s="23" t="s">
        <v>3498</v>
      </c>
      <c r="C282" s="24">
        <v>16239</v>
      </c>
      <c r="D282" s="24">
        <v>352450105000001</v>
      </c>
      <c r="E282" s="24">
        <v>3524501</v>
      </c>
      <c r="F282" s="24">
        <v>-49.573344599999999</v>
      </c>
      <c r="G282" s="24">
        <v>-20.8840851</v>
      </c>
      <c r="H282" s="24">
        <v>541.93222900000001</v>
      </c>
      <c r="I282" s="23" t="s">
        <v>4008</v>
      </c>
    </row>
    <row r="283" spans="1:9">
      <c r="A283" s="25" t="s">
        <v>4009</v>
      </c>
      <c r="B283" s="25" t="s">
        <v>3618</v>
      </c>
      <c r="C283" s="26">
        <v>16240</v>
      </c>
      <c r="D283" s="26">
        <v>352460005000001</v>
      </c>
      <c r="E283" s="26">
        <v>3524600</v>
      </c>
      <c r="F283" s="26">
        <v>-48.004704500000003</v>
      </c>
      <c r="G283" s="26">
        <v>-24.698150299999998</v>
      </c>
      <c r="H283" s="26">
        <v>44.204442</v>
      </c>
      <c r="I283" s="25" t="s">
        <v>4010</v>
      </c>
    </row>
    <row r="284" spans="1:9">
      <c r="A284" s="23" t="s">
        <v>4011</v>
      </c>
      <c r="B284" s="23" t="s">
        <v>3501</v>
      </c>
      <c r="C284" s="24">
        <v>16241</v>
      </c>
      <c r="D284" s="24">
        <v>352470905000001</v>
      </c>
      <c r="E284" s="24">
        <v>3524709</v>
      </c>
      <c r="F284" s="24">
        <v>-46.982343499999999</v>
      </c>
      <c r="G284" s="24">
        <v>-22.706782</v>
      </c>
      <c r="H284" s="24">
        <v>571.13846599999999</v>
      </c>
      <c r="I284" s="23" t="s">
        <v>4012</v>
      </c>
    </row>
    <row r="285" spans="1:9">
      <c r="A285" s="25" t="s">
        <v>4013</v>
      </c>
      <c r="B285" s="25" t="s">
        <v>3498</v>
      </c>
      <c r="C285" s="26">
        <v>16247</v>
      </c>
      <c r="D285" s="26">
        <v>352480805000001</v>
      </c>
      <c r="E285" s="26">
        <v>3524808</v>
      </c>
      <c r="F285" s="26">
        <v>-50.550356200000003</v>
      </c>
      <c r="G285" s="26">
        <v>-20.267852999999999</v>
      </c>
      <c r="H285" s="26">
        <v>480.696124</v>
      </c>
      <c r="I285" s="25" t="s">
        <v>4014</v>
      </c>
    </row>
    <row r="286" spans="1:9">
      <c r="A286" s="23" t="s">
        <v>4015</v>
      </c>
      <c r="B286" s="23" t="s">
        <v>3555</v>
      </c>
      <c r="C286" s="24">
        <v>16248</v>
      </c>
      <c r="D286" s="24">
        <v>352490705000001</v>
      </c>
      <c r="E286" s="24">
        <v>3524907</v>
      </c>
      <c r="F286" s="24">
        <v>-45.693655100000001</v>
      </c>
      <c r="G286" s="24">
        <v>-23.256576899999999</v>
      </c>
      <c r="H286" s="24">
        <v>702.43401500000004</v>
      </c>
      <c r="I286" s="23" t="s">
        <v>4016</v>
      </c>
    </row>
    <row r="287" spans="1:9">
      <c r="A287" s="25" t="s">
        <v>4017</v>
      </c>
      <c r="B287" s="25" t="s">
        <v>3585</v>
      </c>
      <c r="C287" s="26">
        <v>16249</v>
      </c>
      <c r="D287" s="26">
        <v>352500305000001</v>
      </c>
      <c r="E287" s="26">
        <v>3525003</v>
      </c>
      <c r="F287" s="26">
        <v>-46.905221099999999</v>
      </c>
      <c r="G287" s="26">
        <v>-23.529938999999999</v>
      </c>
      <c r="H287" s="26">
        <v>755.57207600000004</v>
      </c>
      <c r="I287" s="25" t="s">
        <v>4018</v>
      </c>
    </row>
    <row r="288" spans="1:9">
      <c r="A288" s="23" t="s">
        <v>4019</v>
      </c>
      <c r="B288" s="23" t="s">
        <v>3520</v>
      </c>
      <c r="C288" s="24">
        <v>16250</v>
      </c>
      <c r="D288" s="24">
        <v>352510205000001</v>
      </c>
      <c r="E288" s="24">
        <v>3525102</v>
      </c>
      <c r="F288" s="24">
        <v>-47.765352900000003</v>
      </c>
      <c r="G288" s="24">
        <v>-21.022456999999999</v>
      </c>
      <c r="H288" s="24">
        <v>581.10296800000003</v>
      </c>
      <c r="I288" s="23" t="s">
        <v>4020</v>
      </c>
    </row>
    <row r="289" spans="1:9">
      <c r="A289" s="25" t="s">
        <v>4021</v>
      </c>
      <c r="B289" s="25" t="s">
        <v>3501</v>
      </c>
      <c r="C289" s="26">
        <v>16253</v>
      </c>
      <c r="D289" s="26">
        <v>352520105000001</v>
      </c>
      <c r="E289" s="26">
        <v>3525201</v>
      </c>
      <c r="F289" s="26">
        <v>-46.738270900000003</v>
      </c>
      <c r="G289" s="26">
        <v>-23.1030625</v>
      </c>
      <c r="H289" s="26">
        <v>794.67851800000005</v>
      </c>
      <c r="I289" s="25" t="s">
        <v>4022</v>
      </c>
    </row>
    <row r="290" spans="1:9">
      <c r="A290" s="23" t="s">
        <v>4023</v>
      </c>
      <c r="B290" s="23" t="s">
        <v>3511</v>
      </c>
      <c r="C290" s="24">
        <v>16277</v>
      </c>
      <c r="D290" s="24">
        <v>352530005000001</v>
      </c>
      <c r="E290" s="24">
        <v>3525300</v>
      </c>
      <c r="F290" s="24">
        <v>-48.558141399999997</v>
      </c>
      <c r="G290" s="24">
        <v>-22.295791000000001</v>
      </c>
      <c r="H290" s="24">
        <v>526.28818999999999</v>
      </c>
      <c r="I290" s="23" t="s">
        <v>4024</v>
      </c>
    </row>
    <row r="291" spans="1:9">
      <c r="A291" s="25" t="s">
        <v>4025</v>
      </c>
      <c r="B291" s="25" t="s">
        <v>3566</v>
      </c>
      <c r="C291" s="26">
        <v>16289</v>
      </c>
      <c r="D291" s="26">
        <v>352540905000001</v>
      </c>
      <c r="E291" s="26">
        <v>3525409</v>
      </c>
      <c r="F291" s="26">
        <v>-47.588743899999997</v>
      </c>
      <c r="G291" s="26">
        <v>-20.312041600000001</v>
      </c>
      <c r="H291" s="26">
        <v>863.30757000000006</v>
      </c>
      <c r="I291" s="25" t="s">
        <v>4026</v>
      </c>
    </row>
    <row r="292" spans="1:9">
      <c r="A292" s="23" t="s">
        <v>4027</v>
      </c>
      <c r="B292" s="23" t="s">
        <v>3501</v>
      </c>
      <c r="C292" s="24">
        <v>16290</v>
      </c>
      <c r="D292" s="24">
        <v>352550805000001</v>
      </c>
      <c r="E292" s="24">
        <v>3525508</v>
      </c>
      <c r="F292" s="24">
        <v>-46.273416599999997</v>
      </c>
      <c r="G292" s="24">
        <v>-22.930678199999999</v>
      </c>
      <c r="H292" s="24">
        <v>924.35715600000003</v>
      </c>
      <c r="I292" s="23" t="s">
        <v>4028</v>
      </c>
    </row>
    <row r="293" spans="1:9">
      <c r="A293" s="25" t="s">
        <v>4029</v>
      </c>
      <c r="B293" s="25" t="s">
        <v>3532</v>
      </c>
      <c r="C293" s="26">
        <v>16291</v>
      </c>
      <c r="D293" s="26">
        <v>352560705000001</v>
      </c>
      <c r="E293" s="26">
        <v>3525607</v>
      </c>
      <c r="F293" s="26">
        <v>-50.768535300000003</v>
      </c>
      <c r="G293" s="26">
        <v>-22.2510461</v>
      </c>
      <c r="H293" s="26">
        <v>553.97006099999999</v>
      </c>
      <c r="I293" s="25" t="s">
        <v>4030</v>
      </c>
    </row>
    <row r="294" spans="1:9">
      <c r="A294" s="23" t="s">
        <v>4031</v>
      </c>
      <c r="B294" s="23" t="s">
        <v>3498</v>
      </c>
      <c r="C294" s="24">
        <v>16292</v>
      </c>
      <c r="D294" s="24">
        <v>352570605000001</v>
      </c>
      <c r="E294" s="24">
        <v>3525706</v>
      </c>
      <c r="F294" s="24">
        <v>-49.6862827</v>
      </c>
      <c r="G294" s="24">
        <v>-21.053719000000001</v>
      </c>
      <c r="H294" s="24">
        <v>444.057478</v>
      </c>
      <c r="I294" s="23" t="s">
        <v>4032</v>
      </c>
    </row>
    <row r="295" spans="1:9">
      <c r="A295" s="25" t="s">
        <v>4033</v>
      </c>
      <c r="B295" s="25" t="s">
        <v>3532</v>
      </c>
      <c r="C295" s="26">
        <v>16296</v>
      </c>
      <c r="D295" s="26">
        <v>352580505000001</v>
      </c>
      <c r="E295" s="26">
        <v>3525805</v>
      </c>
      <c r="F295" s="26">
        <v>-49.790794300000002</v>
      </c>
      <c r="G295" s="26">
        <v>-22.013169000000001</v>
      </c>
      <c r="H295" s="26">
        <v>539.64108399999998</v>
      </c>
      <c r="I295" s="25" t="s">
        <v>4034</v>
      </c>
    </row>
    <row r="296" spans="1:9">
      <c r="A296" s="23" t="s">
        <v>4035</v>
      </c>
      <c r="B296" s="23" t="s">
        <v>3508</v>
      </c>
      <c r="C296" s="24">
        <v>16297</v>
      </c>
      <c r="D296" s="24">
        <v>352585405000001</v>
      </c>
      <c r="E296" s="24">
        <v>3525854</v>
      </c>
      <c r="F296" s="24">
        <v>-47.798173499999997</v>
      </c>
      <c r="G296" s="24">
        <v>-23.082560000000001</v>
      </c>
      <c r="H296" s="24">
        <v>554.12080500000002</v>
      </c>
      <c r="I296" s="23" t="s">
        <v>4036</v>
      </c>
    </row>
    <row r="297" spans="1:9">
      <c r="A297" s="25" t="s">
        <v>4037</v>
      </c>
      <c r="B297" s="25" t="s">
        <v>3501</v>
      </c>
      <c r="C297" s="26">
        <v>16299</v>
      </c>
      <c r="D297" s="26">
        <v>352590405000001</v>
      </c>
      <c r="E297" s="26">
        <v>3525904</v>
      </c>
      <c r="F297" s="26">
        <v>-46.885274000000003</v>
      </c>
      <c r="G297" s="26">
        <v>-23.187667999999999</v>
      </c>
      <c r="H297" s="26">
        <v>760.15619000000004</v>
      </c>
      <c r="I297" s="25" t="s">
        <v>4038</v>
      </c>
    </row>
    <row r="298" spans="1:9">
      <c r="A298" s="23" t="s">
        <v>4039</v>
      </c>
      <c r="B298" s="23" t="s">
        <v>3495</v>
      </c>
      <c r="C298" s="24">
        <v>16307</v>
      </c>
      <c r="D298" s="24">
        <v>352600105000001</v>
      </c>
      <c r="E298" s="24">
        <v>3526001</v>
      </c>
      <c r="F298" s="24">
        <v>-51.434012000000003</v>
      </c>
      <c r="G298" s="24">
        <v>-21.511275699999999</v>
      </c>
      <c r="H298" s="24">
        <v>429.73788100000002</v>
      </c>
      <c r="I298" s="23" t="s">
        <v>4040</v>
      </c>
    </row>
    <row r="299" spans="1:9">
      <c r="A299" s="25" t="s">
        <v>4041</v>
      </c>
      <c r="B299" s="25" t="s">
        <v>3618</v>
      </c>
      <c r="C299" s="26">
        <v>16309</v>
      </c>
      <c r="D299" s="26">
        <v>352610005000001</v>
      </c>
      <c r="E299" s="26">
        <v>3526100</v>
      </c>
      <c r="F299" s="26">
        <v>-47.635342000000001</v>
      </c>
      <c r="G299" s="26">
        <v>-24.320703099999999</v>
      </c>
      <c r="H299" s="26">
        <v>25.220403000000001</v>
      </c>
      <c r="I299" s="25" t="s">
        <v>4042</v>
      </c>
    </row>
    <row r="300" spans="1:9">
      <c r="A300" s="23" t="s">
        <v>2198</v>
      </c>
      <c r="B300" s="23" t="s">
        <v>3585</v>
      </c>
      <c r="C300" s="24">
        <v>16312</v>
      </c>
      <c r="D300" s="24">
        <v>352620905000001</v>
      </c>
      <c r="E300" s="24">
        <v>3526209</v>
      </c>
      <c r="F300" s="24">
        <v>-47.081594099999997</v>
      </c>
      <c r="G300" s="24">
        <v>-23.935689199999999</v>
      </c>
      <c r="H300" s="24">
        <v>717.41663100000005</v>
      </c>
      <c r="I300" s="23" t="s">
        <v>4043</v>
      </c>
    </row>
    <row r="301" spans="1:9">
      <c r="A301" s="25" t="s">
        <v>1142</v>
      </c>
      <c r="B301" s="25" t="s">
        <v>3555</v>
      </c>
      <c r="C301" s="26">
        <v>16314</v>
      </c>
      <c r="D301" s="26">
        <v>352630805000001</v>
      </c>
      <c r="E301" s="26">
        <v>3526308</v>
      </c>
      <c r="F301" s="26">
        <v>-45.190810800000001</v>
      </c>
      <c r="G301" s="26">
        <v>-23.086921400000001</v>
      </c>
      <c r="H301" s="26">
        <v>897.36637700000006</v>
      </c>
      <c r="I301" s="25" t="s">
        <v>4044</v>
      </c>
    </row>
    <row r="302" spans="1:9">
      <c r="A302" s="23" t="s">
        <v>3479</v>
      </c>
      <c r="B302" s="23" t="s">
        <v>3508</v>
      </c>
      <c r="C302" s="24">
        <v>16315</v>
      </c>
      <c r="D302" s="24">
        <v>352640705000001</v>
      </c>
      <c r="E302" s="24">
        <v>3526407</v>
      </c>
      <c r="F302" s="24">
        <v>-47.833780699999998</v>
      </c>
      <c r="G302" s="24">
        <v>-23.054011599999999</v>
      </c>
      <c r="H302" s="24">
        <v>546.12378100000001</v>
      </c>
      <c r="I302" s="23" t="s">
        <v>4045</v>
      </c>
    </row>
    <row r="303" spans="1:9">
      <c r="A303" s="25" t="s">
        <v>4046</v>
      </c>
      <c r="B303" s="25" t="s">
        <v>3523</v>
      </c>
      <c r="C303" s="26">
        <v>16318</v>
      </c>
      <c r="D303" s="26">
        <v>352650605000001</v>
      </c>
      <c r="E303" s="26">
        <v>3526506</v>
      </c>
      <c r="F303" s="26">
        <v>-51.0405017</v>
      </c>
      <c r="G303" s="26">
        <v>-21.1648566</v>
      </c>
      <c r="H303" s="26">
        <v>462.05960099999999</v>
      </c>
      <c r="I303" s="25" t="s">
        <v>4047</v>
      </c>
    </row>
    <row r="304" spans="1:9">
      <c r="A304" s="23" t="s">
        <v>4048</v>
      </c>
      <c r="B304" s="23" t="s">
        <v>3555</v>
      </c>
      <c r="C304" s="24">
        <v>16320</v>
      </c>
      <c r="D304" s="24">
        <v>352660505000001</v>
      </c>
      <c r="E304" s="24">
        <v>3526605</v>
      </c>
      <c r="F304" s="24">
        <v>-44.893110299999996</v>
      </c>
      <c r="G304" s="24">
        <v>-22.570096499999998</v>
      </c>
      <c r="H304" s="24">
        <v>556.48646199999996</v>
      </c>
      <c r="I304" s="23" t="s">
        <v>4049</v>
      </c>
    </row>
    <row r="305" spans="1:9">
      <c r="A305" s="25" t="s">
        <v>4050</v>
      </c>
      <c r="B305" s="25" t="s">
        <v>3501</v>
      </c>
      <c r="C305" s="26">
        <v>16323</v>
      </c>
      <c r="D305" s="26">
        <v>352670405000001</v>
      </c>
      <c r="E305" s="26">
        <v>3526704</v>
      </c>
      <c r="F305" s="26">
        <v>-47.388708000000001</v>
      </c>
      <c r="G305" s="26">
        <v>-22.185435999999999</v>
      </c>
      <c r="H305" s="26">
        <v>628.81122600000003</v>
      </c>
      <c r="I305" s="25" t="s">
        <v>4051</v>
      </c>
    </row>
    <row r="306" spans="1:9">
      <c r="A306" s="23" t="s">
        <v>4052</v>
      </c>
      <c r="B306" s="23" t="s">
        <v>3511</v>
      </c>
      <c r="C306" s="24">
        <v>16327</v>
      </c>
      <c r="D306" s="24">
        <v>352680305000001</v>
      </c>
      <c r="E306" s="24">
        <v>3526803</v>
      </c>
      <c r="F306" s="24">
        <v>-48.798681999999999</v>
      </c>
      <c r="G306" s="24">
        <v>-22.597507</v>
      </c>
      <c r="H306" s="24">
        <v>548.88346100000001</v>
      </c>
      <c r="I306" s="23" t="s">
        <v>4053</v>
      </c>
    </row>
    <row r="307" spans="1:9">
      <c r="A307" s="25" t="s">
        <v>4054</v>
      </c>
      <c r="B307" s="25" t="s">
        <v>3501</v>
      </c>
      <c r="C307" s="26">
        <v>16334</v>
      </c>
      <c r="D307" s="26">
        <v>352690205000001</v>
      </c>
      <c r="E307" s="26">
        <v>3526902</v>
      </c>
      <c r="F307" s="26">
        <v>-47.401939499999997</v>
      </c>
      <c r="G307" s="26">
        <v>-22.562194000000002</v>
      </c>
      <c r="H307" s="26">
        <v>579.49797599999999</v>
      </c>
      <c r="I307" s="25" t="s">
        <v>4055</v>
      </c>
    </row>
    <row r="308" spans="1:9">
      <c r="A308" s="23" t="s">
        <v>1256</v>
      </c>
      <c r="B308" s="23" t="s">
        <v>3501</v>
      </c>
      <c r="C308" s="24">
        <v>16360</v>
      </c>
      <c r="D308" s="24">
        <v>352700905000001</v>
      </c>
      <c r="E308" s="24">
        <v>3527009</v>
      </c>
      <c r="F308" s="24">
        <v>-46.661483599999997</v>
      </c>
      <c r="G308" s="24">
        <v>-22.520488199999999</v>
      </c>
      <c r="H308" s="24">
        <v>717.27232600000002</v>
      </c>
      <c r="I308" s="23" t="s">
        <v>4056</v>
      </c>
    </row>
    <row r="309" spans="1:9">
      <c r="A309" s="25" t="s">
        <v>1907</v>
      </c>
      <c r="B309" s="25" t="s">
        <v>3511</v>
      </c>
      <c r="C309" s="26">
        <v>16361</v>
      </c>
      <c r="D309" s="26">
        <v>352710805000001</v>
      </c>
      <c r="E309" s="26">
        <v>3527108</v>
      </c>
      <c r="F309" s="26">
        <v>-49.7514234</v>
      </c>
      <c r="G309" s="26">
        <v>-21.6723465</v>
      </c>
      <c r="H309" s="26">
        <v>433.93564700000002</v>
      </c>
      <c r="I309" s="25" t="s">
        <v>4057</v>
      </c>
    </row>
    <row r="310" spans="1:9">
      <c r="A310" s="23" t="s">
        <v>3292</v>
      </c>
      <c r="B310" s="23" t="s">
        <v>3555</v>
      </c>
      <c r="C310" s="24">
        <v>16363</v>
      </c>
      <c r="D310" s="24">
        <v>352720705000001</v>
      </c>
      <c r="E310" s="24">
        <v>3527207</v>
      </c>
      <c r="F310" s="24">
        <v>-45.124248100000003</v>
      </c>
      <c r="G310" s="24">
        <v>-22.731693</v>
      </c>
      <c r="H310" s="24">
        <v>530</v>
      </c>
      <c r="I310" s="23" t="s">
        <v>4058</v>
      </c>
    </row>
    <row r="311" spans="1:9">
      <c r="A311" s="25" t="s">
        <v>4059</v>
      </c>
      <c r="B311" s="25" t="s">
        <v>3523</v>
      </c>
      <c r="C311" s="26">
        <v>16364</v>
      </c>
      <c r="D311" s="26">
        <v>352725605000001</v>
      </c>
      <c r="E311" s="26">
        <v>3527256</v>
      </c>
      <c r="F311" s="26">
        <v>-50.226660099999997</v>
      </c>
      <c r="G311" s="26">
        <v>-20.965390500000002</v>
      </c>
      <c r="H311" s="26">
        <v>399.01185099999998</v>
      </c>
      <c r="I311" s="25" t="s">
        <v>4060</v>
      </c>
    </row>
    <row r="312" spans="1:9">
      <c r="A312" s="23" t="s">
        <v>4061</v>
      </c>
      <c r="B312" s="23" t="s">
        <v>3501</v>
      </c>
      <c r="C312" s="24">
        <v>16365</v>
      </c>
      <c r="D312" s="24">
        <v>352730605000001</v>
      </c>
      <c r="E312" s="24">
        <v>3527306</v>
      </c>
      <c r="F312" s="24">
        <v>-46.946440199999998</v>
      </c>
      <c r="G312" s="24">
        <v>-23.086778500000001</v>
      </c>
      <c r="H312" s="24">
        <v>690.68539599999997</v>
      </c>
      <c r="I312" s="23" t="s">
        <v>4062</v>
      </c>
    </row>
    <row r="313" spans="1:9">
      <c r="A313" s="25" t="s">
        <v>4063</v>
      </c>
      <c r="B313" s="25" t="s">
        <v>3495</v>
      </c>
      <c r="C313" s="26">
        <v>16367</v>
      </c>
      <c r="D313" s="26">
        <v>352740505000001</v>
      </c>
      <c r="E313" s="26">
        <v>3527405</v>
      </c>
      <c r="F313" s="26">
        <v>-51.018349100000002</v>
      </c>
      <c r="G313" s="26">
        <v>-21.723415599999999</v>
      </c>
      <c r="H313" s="26">
        <v>465.16921500000001</v>
      </c>
      <c r="I313" s="25" t="s">
        <v>4064</v>
      </c>
    </row>
    <row r="314" spans="1:9">
      <c r="A314" s="23" t="s">
        <v>4065</v>
      </c>
      <c r="B314" s="23" t="s">
        <v>3511</v>
      </c>
      <c r="C314" s="24">
        <v>16368</v>
      </c>
      <c r="D314" s="24">
        <v>352750405000001</v>
      </c>
      <c r="E314" s="24">
        <v>3527504</v>
      </c>
      <c r="F314" s="24">
        <v>-49.5231791</v>
      </c>
      <c r="G314" s="24">
        <v>-22.431640000000002</v>
      </c>
      <c r="H314" s="24">
        <v>524.62983099999997</v>
      </c>
      <c r="I314" s="23" t="s">
        <v>4066</v>
      </c>
    </row>
    <row r="315" spans="1:9">
      <c r="A315" s="25" t="s">
        <v>4067</v>
      </c>
      <c r="B315" s="25" t="s">
        <v>3520</v>
      </c>
      <c r="C315" s="26">
        <v>16369</v>
      </c>
      <c r="D315" s="26">
        <v>352760305000001</v>
      </c>
      <c r="E315" s="26">
        <v>3527603</v>
      </c>
      <c r="F315" s="26">
        <v>-47.700279899999998</v>
      </c>
      <c r="G315" s="26">
        <v>-21.551706500000002</v>
      </c>
      <c r="H315" s="26">
        <v>645.80016699999999</v>
      </c>
      <c r="I315" s="25" t="s">
        <v>4068</v>
      </c>
    </row>
    <row r="316" spans="1:9">
      <c r="A316" s="23" t="s">
        <v>4069</v>
      </c>
      <c r="B316" s="23" t="s">
        <v>3523</v>
      </c>
      <c r="C316" s="24">
        <v>16370</v>
      </c>
      <c r="D316" s="24">
        <v>352770205000001</v>
      </c>
      <c r="E316" s="24">
        <v>3527702</v>
      </c>
      <c r="F316" s="24">
        <v>-50.327639499999997</v>
      </c>
      <c r="G316" s="24">
        <v>-21.673603</v>
      </c>
      <c r="H316" s="24">
        <v>413.30067300000002</v>
      </c>
      <c r="I316" s="23" t="s">
        <v>4070</v>
      </c>
    </row>
    <row r="317" spans="1:9">
      <c r="A317" s="25" t="s">
        <v>4071</v>
      </c>
      <c r="B317" s="25" t="s">
        <v>3532</v>
      </c>
      <c r="C317" s="26">
        <v>16371</v>
      </c>
      <c r="D317" s="26">
        <v>352780105000001</v>
      </c>
      <c r="E317" s="26">
        <v>3527801</v>
      </c>
      <c r="F317" s="26">
        <v>-49.8203247</v>
      </c>
      <c r="G317" s="26">
        <v>-22.413815400000001</v>
      </c>
      <c r="H317" s="26">
        <v>670.03316099999995</v>
      </c>
      <c r="I317" s="25" t="s">
        <v>4072</v>
      </c>
    </row>
    <row r="318" spans="1:9">
      <c r="A318" s="23" t="s">
        <v>4073</v>
      </c>
      <c r="B318" s="23" t="s">
        <v>3532</v>
      </c>
      <c r="C318" s="24">
        <v>16373</v>
      </c>
      <c r="D318" s="24">
        <v>352790005000001</v>
      </c>
      <c r="E318" s="24">
        <v>3527900</v>
      </c>
      <c r="F318" s="24">
        <v>-50.389327100000003</v>
      </c>
      <c r="G318" s="24">
        <v>-22.343444300000002</v>
      </c>
      <c r="H318" s="24">
        <v>567.67929200000003</v>
      </c>
      <c r="I318" s="23" t="s">
        <v>4074</v>
      </c>
    </row>
    <row r="319" spans="1:9">
      <c r="A319" s="25" t="s">
        <v>4075</v>
      </c>
      <c r="B319" s="25" t="s">
        <v>3511</v>
      </c>
      <c r="C319" s="26">
        <v>16374</v>
      </c>
      <c r="D319" s="26">
        <v>352800705000001</v>
      </c>
      <c r="E319" s="26">
        <v>3528007</v>
      </c>
      <c r="F319" s="26">
        <v>-48.711405399999997</v>
      </c>
      <c r="G319" s="26">
        <v>-22.505549599999998</v>
      </c>
      <c r="H319" s="26">
        <v>542.27126999999996</v>
      </c>
      <c r="I319" s="25" t="s">
        <v>4076</v>
      </c>
    </row>
    <row r="320" spans="1:9">
      <c r="A320" s="23" t="s">
        <v>4077</v>
      </c>
      <c r="B320" s="23" t="s">
        <v>3498</v>
      </c>
      <c r="C320" s="24">
        <v>16376</v>
      </c>
      <c r="D320" s="24">
        <v>352810605000001</v>
      </c>
      <c r="E320" s="24">
        <v>3528106</v>
      </c>
      <c r="F320" s="24">
        <v>-49.963497799999999</v>
      </c>
      <c r="G320" s="24">
        <v>-20.801313499999999</v>
      </c>
      <c r="H320" s="24">
        <v>516.14221899999995</v>
      </c>
      <c r="I320" s="23" t="s">
        <v>4078</v>
      </c>
    </row>
    <row r="321" spans="1:9">
      <c r="A321" s="25" t="s">
        <v>4079</v>
      </c>
      <c r="B321" s="25" t="s">
        <v>3498</v>
      </c>
      <c r="C321" s="26">
        <v>16377</v>
      </c>
      <c r="D321" s="26">
        <v>352820505000001</v>
      </c>
      <c r="E321" s="26">
        <v>3528205</v>
      </c>
      <c r="F321" s="26">
        <v>-50.1976285</v>
      </c>
      <c r="G321" s="26">
        <v>-20.149998</v>
      </c>
      <c r="H321" s="26">
        <v>516.15397099999996</v>
      </c>
      <c r="I321" s="25" t="s">
        <v>4080</v>
      </c>
    </row>
    <row r="322" spans="1:9">
      <c r="A322" s="23" t="s">
        <v>4081</v>
      </c>
      <c r="B322" s="23" t="s">
        <v>3498</v>
      </c>
      <c r="C322" s="24">
        <v>16378</v>
      </c>
      <c r="D322" s="24">
        <v>352830405000001</v>
      </c>
      <c r="E322" s="24">
        <v>3528304</v>
      </c>
      <c r="F322" s="24">
        <v>-50.227536999999998</v>
      </c>
      <c r="G322" s="24">
        <v>-20.643481300000001</v>
      </c>
      <c r="H322" s="24">
        <v>502.64309800000001</v>
      </c>
      <c r="I322" s="23" t="s">
        <v>4082</v>
      </c>
    </row>
    <row r="323" spans="1:9">
      <c r="A323" s="25" t="s">
        <v>4083</v>
      </c>
      <c r="B323" s="25" t="s">
        <v>3508</v>
      </c>
      <c r="C323" s="26">
        <v>16379</v>
      </c>
      <c r="D323" s="26">
        <v>352840305000001</v>
      </c>
      <c r="E323" s="26">
        <v>3528403</v>
      </c>
      <c r="F323" s="26">
        <v>-47.184482600000003</v>
      </c>
      <c r="G323" s="26">
        <v>-23.547457999999999</v>
      </c>
      <c r="H323" s="26">
        <v>861.81794500000001</v>
      </c>
      <c r="I323" s="25" t="s">
        <v>4084</v>
      </c>
    </row>
    <row r="324" spans="1:9">
      <c r="A324" s="23" t="s">
        <v>4085</v>
      </c>
      <c r="B324" s="23" t="s">
        <v>3585</v>
      </c>
      <c r="C324" s="24">
        <v>16381</v>
      </c>
      <c r="D324" s="24">
        <v>352850205000001</v>
      </c>
      <c r="E324" s="24">
        <v>3528502</v>
      </c>
      <c r="F324" s="24">
        <v>-46.590195899999998</v>
      </c>
      <c r="G324" s="24">
        <v>-23.3224594</v>
      </c>
      <c r="H324" s="24">
        <v>793.14745400000004</v>
      </c>
      <c r="I324" s="23" t="s">
        <v>4086</v>
      </c>
    </row>
    <row r="325" spans="1:9">
      <c r="A325" s="25" t="s">
        <v>4087</v>
      </c>
      <c r="B325" s="25" t="s">
        <v>3508</v>
      </c>
      <c r="C325" s="26">
        <v>16454</v>
      </c>
      <c r="D325" s="26">
        <v>352860105000001</v>
      </c>
      <c r="E325" s="26">
        <v>3528601</v>
      </c>
      <c r="F325" s="26">
        <v>-49.318113099999998</v>
      </c>
      <c r="G325" s="26">
        <v>-23.003346100000002</v>
      </c>
      <c r="H325" s="26">
        <v>707.25175100000001</v>
      </c>
      <c r="I325" s="25" t="s">
        <v>4088</v>
      </c>
    </row>
    <row r="326" spans="1:9">
      <c r="A326" s="23" t="s">
        <v>4089</v>
      </c>
      <c r="B326" s="23" t="s">
        <v>3495</v>
      </c>
      <c r="C326" s="24">
        <v>16457</v>
      </c>
      <c r="D326" s="24">
        <v>352870005000001</v>
      </c>
      <c r="E326" s="24">
        <v>3528700</v>
      </c>
      <c r="F326" s="24">
        <v>-51.968467500000003</v>
      </c>
      <c r="G326" s="24">
        <v>-22.110331500000001</v>
      </c>
      <c r="H326" s="24">
        <v>395.785686</v>
      </c>
      <c r="I326" s="23" t="s">
        <v>4090</v>
      </c>
    </row>
    <row r="327" spans="1:9">
      <c r="A327" s="25" t="s">
        <v>4091</v>
      </c>
      <c r="B327" s="25" t="s">
        <v>3532</v>
      </c>
      <c r="C327" s="26">
        <v>16458</v>
      </c>
      <c r="D327" s="26">
        <v>352880905000001</v>
      </c>
      <c r="E327" s="26">
        <v>3528809</v>
      </c>
      <c r="F327" s="26">
        <v>-50.668968200000002</v>
      </c>
      <c r="G327" s="26">
        <v>-22.6104153</v>
      </c>
      <c r="H327" s="26">
        <v>388.87179200000003</v>
      </c>
      <c r="I327" s="25" t="s">
        <v>4092</v>
      </c>
    </row>
    <row r="328" spans="1:9">
      <c r="A328" s="23" t="s">
        <v>4093</v>
      </c>
      <c r="B328" s="23" t="s">
        <v>3498</v>
      </c>
      <c r="C328" s="24">
        <v>16461</v>
      </c>
      <c r="D328" s="24">
        <v>352885805000001</v>
      </c>
      <c r="E328" s="24">
        <v>3528858</v>
      </c>
      <c r="F328" s="24">
        <v>-49.140000800000003</v>
      </c>
      <c r="G328" s="24">
        <v>-21.2587619</v>
      </c>
      <c r="H328" s="24">
        <v>451.39966099999998</v>
      </c>
      <c r="I328" s="23" t="s">
        <v>4094</v>
      </c>
    </row>
    <row r="329" spans="1:9">
      <c r="A329" s="25" t="s">
        <v>4095</v>
      </c>
      <c r="B329" s="25" t="s">
        <v>3495</v>
      </c>
      <c r="C329" s="26">
        <v>16462</v>
      </c>
      <c r="D329" s="26">
        <v>352890805000001</v>
      </c>
      <c r="E329" s="26">
        <v>3528908</v>
      </c>
      <c r="F329" s="26">
        <v>-51.182897599999997</v>
      </c>
      <c r="G329" s="26">
        <v>-21.7944934</v>
      </c>
      <c r="H329" s="26">
        <v>390.54092000000003</v>
      </c>
      <c r="I329" s="25" t="s">
        <v>4096</v>
      </c>
    </row>
    <row r="330" spans="1:9">
      <c r="A330" s="23" t="s">
        <v>537</v>
      </c>
      <c r="B330" s="23" t="s">
        <v>3532</v>
      </c>
      <c r="C330" s="24">
        <v>16464</v>
      </c>
      <c r="D330" s="24">
        <v>352900505000001</v>
      </c>
      <c r="E330" s="24">
        <v>3529005</v>
      </c>
      <c r="F330" s="24">
        <v>-49.951645599999999</v>
      </c>
      <c r="G330" s="24">
        <v>-22.214932999999998</v>
      </c>
      <c r="H330" s="24">
        <v>657.30619000000002</v>
      </c>
      <c r="I330" s="23" t="s">
        <v>4097</v>
      </c>
    </row>
    <row r="331" spans="1:9">
      <c r="A331" s="25" t="s">
        <v>4098</v>
      </c>
      <c r="B331" s="25" t="s">
        <v>3498</v>
      </c>
      <c r="C331" s="26">
        <v>16477</v>
      </c>
      <c r="D331" s="26">
        <v>352910405000001</v>
      </c>
      <c r="E331" s="26">
        <v>3529104</v>
      </c>
      <c r="F331" s="26">
        <v>-50.825677300000002</v>
      </c>
      <c r="G331" s="26">
        <v>-20.4393989</v>
      </c>
      <c r="H331" s="26">
        <v>408.527019</v>
      </c>
      <c r="I331" s="25" t="s">
        <v>4099</v>
      </c>
    </row>
    <row r="332" spans="1:9">
      <c r="A332" s="23" t="s">
        <v>4100</v>
      </c>
      <c r="B332" s="23" t="s">
        <v>3495</v>
      </c>
      <c r="C332" s="24">
        <v>16478</v>
      </c>
      <c r="D332" s="24">
        <v>352920305000001</v>
      </c>
      <c r="E332" s="24">
        <v>3529203</v>
      </c>
      <c r="F332" s="24">
        <v>-51.170768099999997</v>
      </c>
      <c r="G332" s="24">
        <v>-22.1478325</v>
      </c>
      <c r="H332" s="24">
        <v>497.54003499999999</v>
      </c>
      <c r="I332" s="23" t="s">
        <v>4101</v>
      </c>
    </row>
    <row r="333" spans="1:9">
      <c r="A333" s="25" t="s">
        <v>4102</v>
      </c>
      <c r="B333" s="25" t="s">
        <v>3538</v>
      </c>
      <c r="C333" s="26">
        <v>16482</v>
      </c>
      <c r="D333" s="26">
        <v>352930205000001</v>
      </c>
      <c r="E333" s="26">
        <v>3529302</v>
      </c>
      <c r="F333" s="26">
        <v>-48.367747700000002</v>
      </c>
      <c r="G333" s="26">
        <v>-21.602994500000001</v>
      </c>
      <c r="H333" s="26">
        <v>578.25469199999998</v>
      </c>
      <c r="I333" s="25" t="s">
        <v>4103</v>
      </c>
    </row>
    <row r="334" spans="1:9">
      <c r="A334" s="23" t="s">
        <v>4104</v>
      </c>
      <c r="B334" s="23" t="s">
        <v>3585</v>
      </c>
      <c r="C334" s="24">
        <v>16484</v>
      </c>
      <c r="D334" s="24">
        <v>352940105000001</v>
      </c>
      <c r="E334" s="24">
        <v>3529401</v>
      </c>
      <c r="F334" s="24">
        <v>-46.458261999999998</v>
      </c>
      <c r="G334" s="24">
        <v>-23.669334500000001</v>
      </c>
      <c r="H334" s="24">
        <v>789.32946700000002</v>
      </c>
      <c r="I334" s="23" t="s">
        <v>4105</v>
      </c>
    </row>
    <row r="335" spans="1:9">
      <c r="A335" s="25" t="s">
        <v>4106</v>
      </c>
      <c r="B335" s="25" t="s">
        <v>3498</v>
      </c>
      <c r="C335" s="26">
        <v>16485</v>
      </c>
      <c r="D335" s="26">
        <v>352950005000001</v>
      </c>
      <c r="E335" s="26">
        <v>3529500</v>
      </c>
      <c r="F335" s="26">
        <v>-49.582019000000003</v>
      </c>
      <c r="G335" s="26">
        <v>-21.180156199999999</v>
      </c>
      <c r="H335" s="26">
        <v>476.83669300000003</v>
      </c>
      <c r="I335" s="25" t="s">
        <v>4107</v>
      </c>
    </row>
    <row r="336" spans="1:9">
      <c r="A336" s="23" t="s">
        <v>4108</v>
      </c>
      <c r="B336" s="23" t="s">
        <v>3498</v>
      </c>
      <c r="C336" s="24">
        <v>16486</v>
      </c>
      <c r="D336" s="24">
        <v>352960905000001</v>
      </c>
      <c r="E336" s="24">
        <v>3529609</v>
      </c>
      <c r="F336" s="24">
        <v>-50.181831799999998</v>
      </c>
      <c r="G336" s="24">
        <v>-20.354109900000001</v>
      </c>
      <c r="H336" s="24">
        <v>518.44557199999997</v>
      </c>
      <c r="I336" s="23" t="s">
        <v>4109</v>
      </c>
    </row>
    <row r="337" spans="1:9">
      <c r="A337" s="25" t="s">
        <v>367</v>
      </c>
      <c r="B337" s="25" t="s">
        <v>3498</v>
      </c>
      <c r="C337" s="26">
        <v>16489</v>
      </c>
      <c r="D337" s="26">
        <v>352965805000001</v>
      </c>
      <c r="E337" s="26">
        <v>3529658</v>
      </c>
      <c r="F337" s="26">
        <v>-50.6220803</v>
      </c>
      <c r="G337" s="26">
        <v>-19.967037099999999</v>
      </c>
      <c r="H337" s="26">
        <v>408.60607299999998</v>
      </c>
      <c r="I337" s="25" t="s">
        <v>4110</v>
      </c>
    </row>
    <row r="338" spans="1:9">
      <c r="A338" s="23" t="s">
        <v>4111</v>
      </c>
      <c r="B338" s="23" t="s">
        <v>3566</v>
      </c>
      <c r="C338" s="24">
        <v>16490</v>
      </c>
      <c r="D338" s="24">
        <v>352970805000001</v>
      </c>
      <c r="E338" s="24">
        <v>3529708</v>
      </c>
      <c r="F338" s="24">
        <v>-48.029334200000001</v>
      </c>
      <c r="G338" s="24">
        <v>-20.1771292</v>
      </c>
      <c r="H338" s="24">
        <v>513.242119</v>
      </c>
      <c r="I338" s="23" t="s">
        <v>4112</v>
      </c>
    </row>
    <row r="339" spans="1:9">
      <c r="A339" s="25" t="s">
        <v>4113</v>
      </c>
      <c r="B339" s="25" t="s">
        <v>3511</v>
      </c>
      <c r="C339" s="26">
        <v>16496</v>
      </c>
      <c r="D339" s="26">
        <v>352980705000001</v>
      </c>
      <c r="E339" s="26">
        <v>3529807</v>
      </c>
      <c r="F339" s="26">
        <v>-48.451802299999997</v>
      </c>
      <c r="G339" s="26">
        <v>-22.411696800000001</v>
      </c>
      <c r="H339" s="26">
        <v>681.34163100000001</v>
      </c>
      <c r="I339" s="25" t="s">
        <v>4114</v>
      </c>
    </row>
    <row r="340" spans="1:9">
      <c r="A340" s="23" t="s">
        <v>744</v>
      </c>
      <c r="B340" s="23" t="s">
        <v>3498</v>
      </c>
      <c r="C340" s="24">
        <v>16510</v>
      </c>
      <c r="D340" s="24">
        <v>353000305000001</v>
      </c>
      <c r="E340" s="24">
        <v>3530003</v>
      </c>
      <c r="F340" s="24">
        <v>-50.138427200000002</v>
      </c>
      <c r="G340" s="24">
        <v>-19.980516099999999</v>
      </c>
      <c r="H340" s="24">
        <v>459.85779500000001</v>
      </c>
      <c r="I340" s="23" t="s">
        <v>4115</v>
      </c>
    </row>
    <row r="341" spans="1:9">
      <c r="A341" s="25" t="s">
        <v>1899</v>
      </c>
      <c r="B341" s="25" t="s">
        <v>3618</v>
      </c>
      <c r="C341" s="26">
        <v>16499</v>
      </c>
      <c r="D341" s="26">
        <v>352990605000001</v>
      </c>
      <c r="E341" s="26">
        <v>3529906</v>
      </c>
      <c r="F341" s="26">
        <v>-47.457104000000001</v>
      </c>
      <c r="G341" s="26">
        <v>-24.283929499999999</v>
      </c>
      <c r="H341" s="26">
        <v>34.310102000000001</v>
      </c>
      <c r="I341" s="25" t="s">
        <v>4116</v>
      </c>
    </row>
    <row r="342" spans="1:9">
      <c r="A342" s="23" t="s">
        <v>4117</v>
      </c>
      <c r="B342" s="23" t="s">
        <v>3523</v>
      </c>
      <c r="C342" s="24">
        <v>16518</v>
      </c>
      <c r="D342" s="24">
        <v>353010205000001</v>
      </c>
      <c r="E342" s="24">
        <v>3530102</v>
      </c>
      <c r="F342" s="24">
        <v>-51.105640399999999</v>
      </c>
      <c r="G342" s="24">
        <v>-21.132086999999999</v>
      </c>
      <c r="H342" s="24">
        <v>412.22447</v>
      </c>
      <c r="I342" s="23" t="s">
        <v>4118</v>
      </c>
    </row>
    <row r="343" spans="1:9">
      <c r="A343" s="25" t="s">
        <v>4119</v>
      </c>
      <c r="B343" s="25" t="s">
        <v>3495</v>
      </c>
      <c r="C343" s="26">
        <v>16523</v>
      </c>
      <c r="D343" s="26">
        <v>353020105000001</v>
      </c>
      <c r="E343" s="26">
        <v>3530201</v>
      </c>
      <c r="F343" s="26">
        <v>-51.905794299999997</v>
      </c>
      <c r="G343" s="26">
        <v>-22.290558600000001</v>
      </c>
      <c r="H343" s="26">
        <v>438.917914</v>
      </c>
      <c r="I343" s="25" t="s">
        <v>4120</v>
      </c>
    </row>
    <row r="344" spans="1:9">
      <c r="A344" s="23" t="s">
        <v>4121</v>
      </c>
      <c r="B344" s="23" t="s">
        <v>3498</v>
      </c>
      <c r="C344" s="24">
        <v>16526</v>
      </c>
      <c r="D344" s="24">
        <v>353030005000001</v>
      </c>
      <c r="E344" s="24">
        <v>3530300</v>
      </c>
      <c r="F344" s="24">
        <v>-49.5121392</v>
      </c>
      <c r="G344" s="24">
        <v>-20.817004499999999</v>
      </c>
      <c r="H344" s="24">
        <v>590.24368000000004</v>
      </c>
      <c r="I344" s="23" t="s">
        <v>4122</v>
      </c>
    </row>
    <row r="345" spans="1:9">
      <c r="A345" s="25" t="s">
        <v>4123</v>
      </c>
      <c r="B345" s="25" t="s">
        <v>3498</v>
      </c>
      <c r="C345" s="26">
        <v>16528</v>
      </c>
      <c r="D345" s="26">
        <v>353040905000001</v>
      </c>
      <c r="E345" s="26">
        <v>3530409</v>
      </c>
      <c r="F345" s="26">
        <v>-49.465519800000003</v>
      </c>
      <c r="G345" s="26">
        <v>-20.616857199999998</v>
      </c>
      <c r="H345" s="26">
        <v>528.41325900000004</v>
      </c>
      <c r="I345" s="25" t="s">
        <v>4124</v>
      </c>
    </row>
    <row r="346" spans="1:9">
      <c r="A346" s="23" t="s">
        <v>4125</v>
      </c>
      <c r="B346" s="23" t="s">
        <v>3501</v>
      </c>
      <c r="C346" s="24">
        <v>16530</v>
      </c>
      <c r="D346" s="24">
        <v>353050805000001</v>
      </c>
      <c r="E346" s="24">
        <v>3530508</v>
      </c>
      <c r="F346" s="24">
        <v>-47.007171</v>
      </c>
      <c r="G346" s="24">
        <v>-21.4689905</v>
      </c>
      <c r="H346" s="24">
        <v>633.52176899999995</v>
      </c>
      <c r="I346" s="23" t="s">
        <v>4126</v>
      </c>
    </row>
    <row r="347" spans="1:9">
      <c r="A347" s="25" t="s">
        <v>4127</v>
      </c>
      <c r="B347" s="25" t="s">
        <v>3585</v>
      </c>
      <c r="C347" s="26">
        <v>16533</v>
      </c>
      <c r="D347" s="26">
        <v>353060705000001</v>
      </c>
      <c r="E347" s="26">
        <v>3530607</v>
      </c>
      <c r="F347" s="26">
        <v>-46.196760099999999</v>
      </c>
      <c r="G347" s="26">
        <v>-23.522706500000002</v>
      </c>
      <c r="H347" s="26">
        <v>749.80401700000004</v>
      </c>
      <c r="I347" s="25" t="s">
        <v>4128</v>
      </c>
    </row>
    <row r="348" spans="1:9">
      <c r="A348" s="23" t="s">
        <v>2280</v>
      </c>
      <c r="B348" s="23" t="s">
        <v>3501</v>
      </c>
      <c r="C348" s="24">
        <v>16563</v>
      </c>
      <c r="D348" s="24">
        <v>353070605000001</v>
      </c>
      <c r="E348" s="24">
        <v>3530706</v>
      </c>
      <c r="F348" s="24">
        <v>-46.944474100000001</v>
      </c>
      <c r="G348" s="24">
        <v>-22.365720199999998</v>
      </c>
      <c r="H348" s="24">
        <v>607.01452099999995</v>
      </c>
      <c r="I348" s="23" t="s">
        <v>4129</v>
      </c>
    </row>
    <row r="349" spans="1:9">
      <c r="A349" s="25" t="s">
        <v>4130</v>
      </c>
      <c r="B349" s="25" t="s">
        <v>3501</v>
      </c>
      <c r="C349" s="26">
        <v>16566</v>
      </c>
      <c r="D349" s="26">
        <v>353080505000001</v>
      </c>
      <c r="E349" s="26">
        <v>3530805</v>
      </c>
      <c r="F349" s="26">
        <v>-46.956367100000001</v>
      </c>
      <c r="G349" s="26">
        <v>-22.432695500000001</v>
      </c>
      <c r="H349" s="26">
        <v>633.56336999999996</v>
      </c>
      <c r="I349" s="25" t="s">
        <v>4131</v>
      </c>
    </row>
    <row r="350" spans="1:9">
      <c r="A350" s="23" t="s">
        <v>4132</v>
      </c>
      <c r="B350" s="23" t="s">
        <v>3501</v>
      </c>
      <c r="C350" s="24">
        <v>16572</v>
      </c>
      <c r="D350" s="24">
        <v>353090405000001</v>
      </c>
      <c r="E350" s="24">
        <v>3530904</v>
      </c>
      <c r="F350" s="24">
        <v>-47.567523999999999</v>
      </c>
      <c r="G350" s="24">
        <v>-22.926827899999999</v>
      </c>
      <c r="H350" s="24">
        <v>536.93524000000002</v>
      </c>
      <c r="I350" s="23" t="s">
        <v>4133</v>
      </c>
    </row>
    <row r="351" spans="1:9">
      <c r="A351" s="25" t="s">
        <v>4134</v>
      </c>
      <c r="B351" s="25" t="s">
        <v>3498</v>
      </c>
      <c r="C351" s="26">
        <v>16573</v>
      </c>
      <c r="D351" s="26">
        <v>353100105000001</v>
      </c>
      <c r="E351" s="26">
        <v>3531001</v>
      </c>
      <c r="F351" s="26">
        <v>-50.0963061</v>
      </c>
      <c r="G351" s="26">
        <v>-20.850325699999999</v>
      </c>
      <c r="H351" s="26">
        <v>448.09811100000002</v>
      </c>
      <c r="I351" s="25" t="s">
        <v>4135</v>
      </c>
    </row>
    <row r="352" spans="1:9">
      <c r="A352" s="23" t="s">
        <v>4136</v>
      </c>
      <c r="B352" s="23" t="s">
        <v>3637</v>
      </c>
      <c r="C352" s="24">
        <v>16574</v>
      </c>
      <c r="D352" s="24">
        <v>353110005000001</v>
      </c>
      <c r="E352" s="24">
        <v>3531100</v>
      </c>
      <c r="F352" s="24">
        <v>-46.619992699999997</v>
      </c>
      <c r="G352" s="24">
        <v>-24.094116100000001</v>
      </c>
      <c r="H352" s="24">
        <v>9.9231230000000004</v>
      </c>
      <c r="I352" s="23" t="s">
        <v>4137</v>
      </c>
    </row>
    <row r="353" spans="1:9">
      <c r="A353" s="25" t="s">
        <v>810</v>
      </c>
      <c r="B353" s="25" t="s">
        <v>3501</v>
      </c>
      <c r="C353" s="26">
        <v>16577</v>
      </c>
      <c r="D353" s="26">
        <v>353120905000001</v>
      </c>
      <c r="E353" s="26">
        <v>3531209</v>
      </c>
      <c r="F353" s="26">
        <v>-46.681194300000001</v>
      </c>
      <c r="G353" s="26">
        <v>-22.681128699999999</v>
      </c>
      <c r="H353" s="26">
        <v>762.74740299999996</v>
      </c>
      <c r="I353" s="25" t="s">
        <v>4138</v>
      </c>
    </row>
    <row r="354" spans="1:9">
      <c r="A354" s="23" t="s">
        <v>1038</v>
      </c>
      <c r="B354" s="23" t="s">
        <v>3520</v>
      </c>
      <c r="C354" s="24">
        <v>16584</v>
      </c>
      <c r="D354" s="24">
        <v>353130805000001</v>
      </c>
      <c r="E354" s="24">
        <v>3531308</v>
      </c>
      <c r="F354" s="24">
        <v>-48.496651300000003</v>
      </c>
      <c r="G354" s="24">
        <v>-21.263864000000002</v>
      </c>
      <c r="H354" s="24">
        <v>722.39939100000004</v>
      </c>
      <c r="I354" s="23" t="s">
        <v>4139</v>
      </c>
    </row>
    <row r="355" spans="1:9">
      <c r="A355" s="25" t="s">
        <v>4140</v>
      </c>
      <c r="B355" s="25" t="s">
        <v>3498</v>
      </c>
      <c r="C355" s="26">
        <v>16586</v>
      </c>
      <c r="D355" s="26">
        <v>353140705000001</v>
      </c>
      <c r="E355" s="26">
        <v>3531407</v>
      </c>
      <c r="F355" s="26">
        <v>-49.714116199999999</v>
      </c>
      <c r="G355" s="26">
        <v>-20.772140100000001</v>
      </c>
      <c r="H355" s="26">
        <v>480.33712700000001</v>
      </c>
      <c r="I355" s="25" t="s">
        <v>4141</v>
      </c>
    </row>
    <row r="356" spans="1:9">
      <c r="A356" s="23" t="s">
        <v>4142</v>
      </c>
      <c r="B356" s="23" t="s">
        <v>3518</v>
      </c>
      <c r="C356" s="24">
        <v>16590</v>
      </c>
      <c r="D356" s="24">
        <v>353150605000001</v>
      </c>
      <c r="E356" s="24">
        <v>3531506</v>
      </c>
      <c r="F356" s="24">
        <v>-48.642971299999999</v>
      </c>
      <c r="G356" s="24">
        <v>-20.903841199999999</v>
      </c>
      <c r="H356" s="24">
        <v>595.70301300000006</v>
      </c>
      <c r="I356" s="23" t="s">
        <v>4143</v>
      </c>
    </row>
    <row r="357" spans="1:9">
      <c r="A357" s="25" t="s">
        <v>4144</v>
      </c>
      <c r="B357" s="25" t="s">
        <v>3495</v>
      </c>
      <c r="C357" s="26">
        <v>16592</v>
      </c>
      <c r="D357" s="26">
        <v>353160505000001</v>
      </c>
      <c r="E357" s="26">
        <v>3531605</v>
      </c>
      <c r="F357" s="26">
        <v>-51.565493199999999</v>
      </c>
      <c r="G357" s="26">
        <v>-21.298959400000001</v>
      </c>
      <c r="H357" s="26">
        <v>334.28188499999999</v>
      </c>
      <c r="I357" s="25" t="s">
        <v>4145</v>
      </c>
    </row>
    <row r="358" spans="1:9">
      <c r="A358" s="23" t="s">
        <v>4146</v>
      </c>
      <c r="B358" s="23" t="s">
        <v>3501</v>
      </c>
      <c r="C358" s="24">
        <v>16596</v>
      </c>
      <c r="D358" s="24">
        <v>353180305000001</v>
      </c>
      <c r="E358" s="24">
        <v>3531803</v>
      </c>
      <c r="F358" s="24">
        <v>-47.313269200000001</v>
      </c>
      <c r="G358" s="24">
        <v>-22.945522</v>
      </c>
      <c r="H358" s="24">
        <v>548.16684699999996</v>
      </c>
      <c r="I358" s="23" t="s">
        <v>4147</v>
      </c>
    </row>
    <row r="359" spans="1:9">
      <c r="A359" s="25" t="s">
        <v>4148</v>
      </c>
      <c r="B359" s="25" t="s">
        <v>3555</v>
      </c>
      <c r="C359" s="26">
        <v>16593</v>
      </c>
      <c r="D359" s="26">
        <v>353170405000001</v>
      </c>
      <c r="E359" s="26">
        <v>3531704</v>
      </c>
      <c r="F359" s="26">
        <v>-45.848151999999999</v>
      </c>
      <c r="G359" s="26">
        <v>-22.955010600000001</v>
      </c>
      <c r="H359" s="26">
        <v>654.34185300000001</v>
      </c>
      <c r="I359" s="25" t="s">
        <v>4149</v>
      </c>
    </row>
    <row r="360" spans="1:9">
      <c r="A360" s="23" t="s">
        <v>4150</v>
      </c>
      <c r="B360" s="23" t="s">
        <v>3566</v>
      </c>
      <c r="C360" s="24">
        <v>16601</v>
      </c>
      <c r="D360" s="24">
        <v>353190205000001</v>
      </c>
      <c r="E360" s="24">
        <v>3531902</v>
      </c>
      <c r="F360" s="24">
        <v>-48.057593799999999</v>
      </c>
      <c r="G360" s="24">
        <v>-20.732662999999999</v>
      </c>
      <c r="H360" s="24">
        <v>555.10492699999998</v>
      </c>
      <c r="I360" s="23" t="s">
        <v>4151</v>
      </c>
    </row>
    <row r="361" spans="1:9">
      <c r="A361" s="25" t="s">
        <v>4152</v>
      </c>
      <c r="B361" s="25" t="s">
        <v>3501</v>
      </c>
      <c r="C361" s="26">
        <v>16603</v>
      </c>
      <c r="D361" s="26">
        <v>353200905000001</v>
      </c>
      <c r="E361" s="26">
        <v>3532009</v>
      </c>
      <c r="F361" s="26">
        <v>-46.7913444</v>
      </c>
      <c r="G361" s="26">
        <v>-22.881030899999999</v>
      </c>
      <c r="H361" s="26">
        <v>789.27780900000005</v>
      </c>
      <c r="I361" s="25" t="s">
        <v>4153</v>
      </c>
    </row>
    <row r="362" spans="1:9">
      <c r="A362" s="23" t="s">
        <v>1921</v>
      </c>
      <c r="B362" s="23" t="s">
        <v>3538</v>
      </c>
      <c r="C362" s="24">
        <v>16609</v>
      </c>
      <c r="D362" s="24">
        <v>353205805000001</v>
      </c>
      <c r="E362" s="24">
        <v>3532058</v>
      </c>
      <c r="F362" s="24">
        <v>-48.150661300000003</v>
      </c>
      <c r="G362" s="24">
        <v>-21.5076094</v>
      </c>
      <c r="H362" s="24">
        <v>618.54385400000001</v>
      </c>
      <c r="I362" s="23" t="s">
        <v>4154</v>
      </c>
    </row>
    <row r="363" spans="1:9">
      <c r="A363" s="25" t="s">
        <v>4155</v>
      </c>
      <c r="B363" s="25" t="s">
        <v>3523</v>
      </c>
      <c r="C363" s="26">
        <v>16611</v>
      </c>
      <c r="D363" s="26">
        <v>353210805000001</v>
      </c>
      <c r="E363" s="26">
        <v>3532108</v>
      </c>
      <c r="F363" s="26">
        <v>-51.277138200000003</v>
      </c>
      <c r="G363" s="26">
        <v>-20.994298100000002</v>
      </c>
      <c r="H363" s="26">
        <v>402.97728699999999</v>
      </c>
      <c r="I363" s="25" t="s">
        <v>4156</v>
      </c>
    </row>
    <row r="364" spans="1:9">
      <c r="A364" s="23" t="s">
        <v>4157</v>
      </c>
      <c r="B364" s="23" t="s">
        <v>3495</v>
      </c>
      <c r="C364" s="24">
        <v>16612</v>
      </c>
      <c r="D364" s="24">
        <v>353215705000001</v>
      </c>
      <c r="E364" s="24">
        <v>3532157</v>
      </c>
      <c r="F364" s="24">
        <v>-51.238587500000001</v>
      </c>
      <c r="G364" s="24">
        <v>-22.6201176</v>
      </c>
      <c r="H364" s="24">
        <v>414.91542700000002</v>
      </c>
      <c r="I364" s="23" t="s">
        <v>4158</v>
      </c>
    </row>
    <row r="365" spans="1:9">
      <c r="A365" s="25" t="s">
        <v>4159</v>
      </c>
      <c r="B365" s="25" t="s">
        <v>3495</v>
      </c>
      <c r="C365" s="26">
        <v>16613</v>
      </c>
      <c r="D365" s="26">
        <v>353220705000001</v>
      </c>
      <c r="E365" s="26">
        <v>3532207</v>
      </c>
      <c r="F365" s="26">
        <v>-51.524239899999998</v>
      </c>
      <c r="G365" s="26">
        <v>-22.404283199999998</v>
      </c>
      <c r="H365" s="26">
        <v>426.10397999999998</v>
      </c>
      <c r="I365" s="25" t="s">
        <v>4160</v>
      </c>
    </row>
    <row r="366" spans="1:9">
      <c r="A366" s="23" t="s">
        <v>4161</v>
      </c>
      <c r="B366" s="23" t="s">
        <v>3555</v>
      </c>
      <c r="C366" s="24">
        <v>16614</v>
      </c>
      <c r="D366" s="24">
        <v>353230605000001</v>
      </c>
      <c r="E366" s="24">
        <v>3532306</v>
      </c>
      <c r="F366" s="24">
        <v>-45.446400500000003</v>
      </c>
      <c r="G366" s="24">
        <v>-23.375786999999999</v>
      </c>
      <c r="H366" s="24">
        <v>750.90185599999995</v>
      </c>
      <c r="I366" s="23" t="s">
        <v>4162</v>
      </c>
    </row>
    <row r="367" spans="1:9">
      <c r="A367" s="25" t="s">
        <v>846</v>
      </c>
      <c r="B367" s="25" t="s">
        <v>3501</v>
      </c>
      <c r="C367" s="26">
        <v>16617</v>
      </c>
      <c r="D367" s="26">
        <v>353240505000001</v>
      </c>
      <c r="E367" s="26">
        <v>3532405</v>
      </c>
      <c r="F367" s="26">
        <v>-46.402590199999999</v>
      </c>
      <c r="G367" s="26">
        <v>-23.1786958</v>
      </c>
      <c r="H367" s="26">
        <v>787.67400299999997</v>
      </c>
      <c r="I367" s="25" t="s">
        <v>4163</v>
      </c>
    </row>
    <row r="368" spans="1:9">
      <c r="A368" s="23" t="s">
        <v>4164</v>
      </c>
      <c r="B368" s="23" t="s">
        <v>3498</v>
      </c>
      <c r="C368" s="24">
        <v>16618</v>
      </c>
      <c r="D368" s="24">
        <v>353250405000001</v>
      </c>
      <c r="E368" s="24">
        <v>3532504</v>
      </c>
      <c r="F368" s="24">
        <v>-49.630474900000003</v>
      </c>
      <c r="G368" s="24">
        <v>-20.843916199999999</v>
      </c>
      <c r="H368" s="24">
        <v>544.12939100000006</v>
      </c>
      <c r="I368" s="23" t="s">
        <v>4165</v>
      </c>
    </row>
    <row r="369" spans="1:9">
      <c r="A369" s="25" t="s">
        <v>4166</v>
      </c>
      <c r="B369" s="25" t="s">
        <v>3498</v>
      </c>
      <c r="C369" s="26">
        <v>16621</v>
      </c>
      <c r="D369" s="26">
        <v>353260305000001</v>
      </c>
      <c r="E369" s="26">
        <v>3532603</v>
      </c>
      <c r="F369" s="26">
        <v>-50.040274500000002</v>
      </c>
      <c r="G369" s="26">
        <v>-20.694823499999998</v>
      </c>
      <c r="H369" s="26">
        <v>527.53094299999998</v>
      </c>
      <c r="I369" s="25" t="s">
        <v>4167</v>
      </c>
    </row>
    <row r="370" spans="1:9">
      <c r="A370" s="23" t="s">
        <v>4168</v>
      </c>
      <c r="B370" s="23" t="s">
        <v>3498</v>
      </c>
      <c r="C370" s="24">
        <v>16624</v>
      </c>
      <c r="D370" s="24">
        <v>353270205000001</v>
      </c>
      <c r="E370" s="24">
        <v>3532702</v>
      </c>
      <c r="F370" s="24">
        <v>-49.780898700000002</v>
      </c>
      <c r="G370" s="24">
        <v>-20.913902400000001</v>
      </c>
      <c r="H370" s="24">
        <v>443.31697100000002</v>
      </c>
      <c r="I370" s="23" t="s">
        <v>4169</v>
      </c>
    </row>
    <row r="371" spans="1:9">
      <c r="A371" s="25" t="s">
        <v>4170</v>
      </c>
      <c r="B371" s="25" t="s">
        <v>3498</v>
      </c>
      <c r="C371" s="26">
        <v>16625</v>
      </c>
      <c r="D371" s="26">
        <v>353280105000001</v>
      </c>
      <c r="E371" s="26">
        <v>3532801</v>
      </c>
      <c r="F371" s="26">
        <v>-49.507138300000001</v>
      </c>
      <c r="G371" s="26">
        <v>-21.013734700000001</v>
      </c>
      <c r="H371" s="26">
        <v>484.18830300000002</v>
      </c>
      <c r="I371" s="25" t="s">
        <v>4171</v>
      </c>
    </row>
    <row r="372" spans="1:9">
      <c r="A372" s="23" t="s">
        <v>4172</v>
      </c>
      <c r="B372" s="23" t="s">
        <v>3549</v>
      </c>
      <c r="C372" s="24">
        <v>16627</v>
      </c>
      <c r="D372" s="24">
        <v>353282705000001</v>
      </c>
      <c r="E372" s="24">
        <v>3532827</v>
      </c>
      <c r="F372" s="24">
        <v>-48.905738499999998</v>
      </c>
      <c r="G372" s="24">
        <v>-24.123210400000001</v>
      </c>
      <c r="H372" s="24">
        <v>830.40829900000006</v>
      </c>
      <c r="I372" s="23" t="s">
        <v>4173</v>
      </c>
    </row>
    <row r="373" spans="1:9">
      <c r="A373" s="25" t="s">
        <v>4174</v>
      </c>
      <c r="B373" s="25" t="s">
        <v>3498</v>
      </c>
      <c r="C373" s="26">
        <v>16629</v>
      </c>
      <c r="D373" s="26">
        <v>353284305000001</v>
      </c>
      <c r="E373" s="26">
        <v>3532843</v>
      </c>
      <c r="F373" s="26">
        <v>-50.948052400000002</v>
      </c>
      <c r="G373" s="26">
        <v>-20.386894999999999</v>
      </c>
      <c r="H373" s="26">
        <v>406.548295</v>
      </c>
      <c r="I373" s="25" t="s">
        <v>4175</v>
      </c>
    </row>
    <row r="374" spans="1:9">
      <c r="A374" s="23" t="s">
        <v>4176</v>
      </c>
      <c r="B374" s="23" t="s">
        <v>3523</v>
      </c>
      <c r="C374" s="24">
        <v>16631</v>
      </c>
      <c r="D374" s="24">
        <v>353286805000001</v>
      </c>
      <c r="E374" s="24">
        <v>3532868</v>
      </c>
      <c r="F374" s="24">
        <v>-50.343906199999999</v>
      </c>
      <c r="G374" s="24">
        <v>-20.765654600000001</v>
      </c>
      <c r="H374" s="24">
        <v>408.26790599999998</v>
      </c>
      <c r="I374" s="23" t="s">
        <v>4177</v>
      </c>
    </row>
    <row r="375" spans="1:9">
      <c r="A375" s="25" t="s">
        <v>4178</v>
      </c>
      <c r="B375" s="25" t="s">
        <v>3538</v>
      </c>
      <c r="C375" s="26">
        <v>16632</v>
      </c>
      <c r="D375" s="26">
        <v>353290005000001</v>
      </c>
      <c r="E375" s="26">
        <v>3532900</v>
      </c>
      <c r="F375" s="26">
        <v>-48.562140399999997</v>
      </c>
      <c r="G375" s="26">
        <v>-21.778922900000001</v>
      </c>
      <c r="H375" s="26">
        <v>498.74665099999999</v>
      </c>
      <c r="I375" s="25" t="s">
        <v>4179</v>
      </c>
    </row>
    <row r="376" spans="1:9">
      <c r="A376" s="23" t="s">
        <v>4180</v>
      </c>
      <c r="B376" s="23" t="s">
        <v>3498</v>
      </c>
      <c r="C376" s="24">
        <v>16633</v>
      </c>
      <c r="D376" s="24">
        <v>353300705000001</v>
      </c>
      <c r="E376" s="24">
        <v>3533007</v>
      </c>
      <c r="F376" s="24">
        <v>-49.320092899999999</v>
      </c>
      <c r="G376" s="24">
        <v>-20.533154</v>
      </c>
      <c r="H376" s="24">
        <v>550.25140399999998</v>
      </c>
      <c r="I376" s="23" t="s">
        <v>4181</v>
      </c>
    </row>
    <row r="377" spans="1:9">
      <c r="A377" s="25" t="s">
        <v>4182</v>
      </c>
      <c r="B377" s="25" t="s">
        <v>3495</v>
      </c>
      <c r="C377" s="26">
        <v>16638</v>
      </c>
      <c r="D377" s="26">
        <v>353310605000001</v>
      </c>
      <c r="E377" s="26">
        <v>3533106</v>
      </c>
      <c r="F377" s="26">
        <v>-51.6498329</v>
      </c>
      <c r="G377" s="26">
        <v>-21.329937099999999</v>
      </c>
      <c r="H377" s="26">
        <v>382.23311999999999</v>
      </c>
      <c r="I377" s="25" t="s">
        <v>4183</v>
      </c>
    </row>
    <row r="378" spans="1:9">
      <c r="A378" s="23" t="s">
        <v>4184</v>
      </c>
      <c r="B378" s="23" t="s">
        <v>3523</v>
      </c>
      <c r="C378" s="24">
        <v>16639</v>
      </c>
      <c r="D378" s="24">
        <v>353320505000001</v>
      </c>
      <c r="E378" s="24">
        <v>3533205</v>
      </c>
      <c r="F378" s="24">
        <v>-51.490446499999997</v>
      </c>
      <c r="G378" s="24">
        <v>-21.104541999999999</v>
      </c>
      <c r="H378" s="24">
        <v>326.80445300000002</v>
      </c>
      <c r="I378" s="23" t="s">
        <v>4185</v>
      </c>
    </row>
    <row r="379" spans="1:9">
      <c r="A379" s="25" t="s">
        <v>2872</v>
      </c>
      <c r="B379" s="25" t="s">
        <v>3523</v>
      </c>
      <c r="C379" s="26">
        <v>16641</v>
      </c>
      <c r="D379" s="26">
        <v>353330405000001</v>
      </c>
      <c r="E379" s="26">
        <v>3533304</v>
      </c>
      <c r="F379" s="26">
        <v>-50.265827399999999</v>
      </c>
      <c r="G379" s="26">
        <v>-20.856611000000001</v>
      </c>
      <c r="H379" s="26">
        <v>437.64648799999998</v>
      </c>
      <c r="I379" s="25" t="s">
        <v>4186</v>
      </c>
    </row>
    <row r="380" spans="1:9">
      <c r="A380" s="23" t="s">
        <v>4187</v>
      </c>
      <c r="B380" s="23" t="s">
        <v>3501</v>
      </c>
      <c r="C380" s="24">
        <v>16642</v>
      </c>
      <c r="D380" s="24">
        <v>353340305000001</v>
      </c>
      <c r="E380" s="24">
        <v>3533403</v>
      </c>
      <c r="F380" s="24">
        <v>-47.293634599999997</v>
      </c>
      <c r="G380" s="24">
        <v>-22.7827947</v>
      </c>
      <c r="H380" s="24">
        <v>561.31518600000004</v>
      </c>
      <c r="I380" s="23" t="s">
        <v>4188</v>
      </c>
    </row>
    <row r="381" spans="1:9">
      <c r="A381" s="25" t="s">
        <v>4189</v>
      </c>
      <c r="B381" s="25" t="s">
        <v>3498</v>
      </c>
      <c r="C381" s="26">
        <v>16640</v>
      </c>
      <c r="D381" s="26">
        <v>353325405000001</v>
      </c>
      <c r="E381" s="26">
        <v>3533254</v>
      </c>
      <c r="F381" s="26">
        <v>-48.9170637</v>
      </c>
      <c r="G381" s="26">
        <v>-20.990358199999999</v>
      </c>
      <c r="H381" s="26">
        <v>543.25176599999998</v>
      </c>
      <c r="I381" s="25" t="s">
        <v>4190</v>
      </c>
    </row>
    <row r="382" spans="1:9">
      <c r="A382" s="23" t="s">
        <v>1355</v>
      </c>
      <c r="B382" s="23" t="s">
        <v>3498</v>
      </c>
      <c r="C382" s="24">
        <v>16654</v>
      </c>
      <c r="D382" s="24">
        <v>353350205000001</v>
      </c>
      <c r="E382" s="24">
        <v>3533502</v>
      </c>
      <c r="F382" s="24">
        <v>-49.221749500000001</v>
      </c>
      <c r="G382" s="24">
        <v>-21.468475000000002</v>
      </c>
      <c r="H382" s="24">
        <v>457.48877499999998</v>
      </c>
      <c r="I382" s="23" t="s">
        <v>4191</v>
      </c>
    </row>
    <row r="383" spans="1:9">
      <c r="A383" s="25" t="s">
        <v>4192</v>
      </c>
      <c r="B383" s="25" t="s">
        <v>3566</v>
      </c>
      <c r="C383" s="26">
        <v>16665</v>
      </c>
      <c r="D383" s="26">
        <v>353360105000001</v>
      </c>
      <c r="E383" s="26">
        <v>3533601</v>
      </c>
      <c r="F383" s="26">
        <v>-47.749105499999999</v>
      </c>
      <c r="G383" s="26">
        <v>-20.733999699999998</v>
      </c>
      <c r="H383" s="26">
        <v>783.32163000000003</v>
      </c>
      <c r="I383" s="25" t="s">
        <v>4193</v>
      </c>
    </row>
    <row r="384" spans="1:9">
      <c r="A384" s="23" t="s">
        <v>4194</v>
      </c>
      <c r="B384" s="23" t="s">
        <v>3532</v>
      </c>
      <c r="C384" s="24">
        <v>16666</v>
      </c>
      <c r="D384" s="24">
        <v>353370005000001</v>
      </c>
      <c r="E384" s="24">
        <v>3533700</v>
      </c>
      <c r="F384" s="24">
        <v>-49.927372800000001</v>
      </c>
      <c r="G384" s="24">
        <v>-22.438860399999999</v>
      </c>
      <c r="H384" s="24">
        <v>526.48381199999994</v>
      </c>
      <c r="I384" s="23" t="s">
        <v>4195</v>
      </c>
    </row>
    <row r="385" spans="1:9">
      <c r="A385" s="25" t="s">
        <v>4196</v>
      </c>
      <c r="B385" s="25" t="s">
        <v>3532</v>
      </c>
      <c r="C385" s="26">
        <v>16668</v>
      </c>
      <c r="D385" s="26">
        <v>353380905000001</v>
      </c>
      <c r="E385" s="26">
        <v>3533809</v>
      </c>
      <c r="F385" s="26">
        <v>-49.340950800000002</v>
      </c>
      <c r="G385" s="26">
        <v>-22.944584800000001</v>
      </c>
      <c r="H385" s="26">
        <v>625.86302699999999</v>
      </c>
      <c r="I385" s="25" t="s">
        <v>4197</v>
      </c>
    </row>
    <row r="386" spans="1:9">
      <c r="A386" s="23" t="s">
        <v>198</v>
      </c>
      <c r="B386" s="23" t="s">
        <v>3518</v>
      </c>
      <c r="C386" s="24">
        <v>16671</v>
      </c>
      <c r="D386" s="24">
        <v>353390805000001</v>
      </c>
      <c r="E386" s="24">
        <v>3533908</v>
      </c>
      <c r="F386" s="24">
        <v>-48.913491700000002</v>
      </c>
      <c r="G386" s="24">
        <v>-20.737283999999999</v>
      </c>
      <c r="H386" s="24">
        <v>500.315541</v>
      </c>
      <c r="I386" s="23" t="s">
        <v>4198</v>
      </c>
    </row>
    <row r="387" spans="1:9">
      <c r="A387" s="25" t="s">
        <v>4199</v>
      </c>
      <c r="B387" s="25" t="s">
        <v>3498</v>
      </c>
      <c r="C387" s="26">
        <v>16674</v>
      </c>
      <c r="D387" s="26">
        <v>353400505000001</v>
      </c>
      <c r="E387" s="26">
        <v>3534005</v>
      </c>
      <c r="F387" s="26">
        <v>-49.299214800000001</v>
      </c>
      <c r="G387" s="26">
        <v>-20.612722099999999</v>
      </c>
      <c r="H387" s="26">
        <v>526.32908999999995</v>
      </c>
      <c r="I387" s="25" t="s">
        <v>4200</v>
      </c>
    </row>
    <row r="388" spans="1:9">
      <c r="A388" s="23" t="s">
        <v>4201</v>
      </c>
      <c r="B388" s="23" t="s">
        <v>3532</v>
      </c>
      <c r="C388" s="24">
        <v>16675</v>
      </c>
      <c r="D388" s="24">
        <v>353410405000001</v>
      </c>
      <c r="E388" s="24">
        <v>3534104</v>
      </c>
      <c r="F388" s="24">
        <v>-50.093585500000003</v>
      </c>
      <c r="G388" s="24">
        <v>-22.148599399999998</v>
      </c>
      <c r="H388" s="24">
        <v>603.71756700000003</v>
      </c>
      <c r="I388" s="23" t="s">
        <v>4202</v>
      </c>
    </row>
    <row r="389" spans="1:9">
      <c r="A389" s="25" t="s">
        <v>4203</v>
      </c>
      <c r="B389" s="25" t="s">
        <v>3498</v>
      </c>
      <c r="C389" s="26">
        <v>16679</v>
      </c>
      <c r="D389" s="26">
        <v>353420305000001</v>
      </c>
      <c r="E389" s="26">
        <v>3534203</v>
      </c>
      <c r="F389" s="26">
        <v>-49.3518185</v>
      </c>
      <c r="G389" s="26">
        <v>-20.1801967</v>
      </c>
      <c r="H389" s="26">
        <v>449.94425799999999</v>
      </c>
      <c r="I389" s="25" t="s">
        <v>4204</v>
      </c>
    </row>
    <row r="390" spans="1:9">
      <c r="A390" s="23" t="s">
        <v>884</v>
      </c>
      <c r="B390" s="23" t="s">
        <v>3566</v>
      </c>
      <c r="C390" s="24">
        <v>16680</v>
      </c>
      <c r="D390" s="24">
        <v>353430205000001</v>
      </c>
      <c r="E390" s="24">
        <v>3534302</v>
      </c>
      <c r="F390" s="24">
        <v>-47.886383799999997</v>
      </c>
      <c r="G390" s="24">
        <v>-20.7204215</v>
      </c>
      <c r="H390" s="24">
        <v>696.79220299999997</v>
      </c>
      <c r="I390" s="23" t="s">
        <v>4205</v>
      </c>
    </row>
    <row r="391" spans="1:9">
      <c r="A391" s="25" t="s">
        <v>4206</v>
      </c>
      <c r="B391" s="25" t="s">
        <v>3585</v>
      </c>
      <c r="C391" s="26">
        <v>16681</v>
      </c>
      <c r="D391" s="26">
        <v>353440105000001</v>
      </c>
      <c r="E391" s="26">
        <v>3534401</v>
      </c>
      <c r="F391" s="26">
        <v>-46.788810099999999</v>
      </c>
      <c r="G391" s="26">
        <v>-23.533612000000002</v>
      </c>
      <c r="H391" s="26">
        <v>742.96637699999997</v>
      </c>
      <c r="I391" s="25" t="s">
        <v>4207</v>
      </c>
    </row>
    <row r="392" spans="1:9">
      <c r="A392" s="23" t="s">
        <v>4208</v>
      </c>
      <c r="B392" s="23" t="s">
        <v>3532</v>
      </c>
      <c r="C392" s="24">
        <v>16682</v>
      </c>
      <c r="D392" s="24">
        <v>353450005000001</v>
      </c>
      <c r="E392" s="24">
        <v>3534500</v>
      </c>
      <c r="F392" s="24">
        <v>-50.284126200000003</v>
      </c>
      <c r="G392" s="24">
        <v>-22.317882099999999</v>
      </c>
      <c r="H392" s="24">
        <v>482.056601</v>
      </c>
      <c r="I392" s="23" t="s">
        <v>4209</v>
      </c>
    </row>
    <row r="393" spans="1:9">
      <c r="A393" s="25" t="s">
        <v>4210</v>
      </c>
      <c r="B393" s="25" t="s">
        <v>3495</v>
      </c>
      <c r="C393" s="26">
        <v>16683</v>
      </c>
      <c r="D393" s="26">
        <v>353460905000001</v>
      </c>
      <c r="E393" s="26">
        <v>3534609</v>
      </c>
      <c r="F393" s="26">
        <v>-50.873139100000003</v>
      </c>
      <c r="G393" s="26">
        <v>-21.797083499999999</v>
      </c>
      <c r="H393" s="26">
        <v>463.43185899999997</v>
      </c>
      <c r="I393" s="25" t="s">
        <v>4211</v>
      </c>
    </row>
    <row r="394" spans="1:9">
      <c r="A394" s="23" t="s">
        <v>4212</v>
      </c>
      <c r="B394" s="23" t="s">
        <v>3532</v>
      </c>
      <c r="C394" s="24">
        <v>16691</v>
      </c>
      <c r="D394" s="24">
        <v>353470805000001</v>
      </c>
      <c r="E394" s="24">
        <v>3534708</v>
      </c>
      <c r="F394" s="24">
        <v>-49.868579799999999</v>
      </c>
      <c r="G394" s="24">
        <v>-22.9772675</v>
      </c>
      <c r="H394" s="24">
        <v>482.57116100000002</v>
      </c>
      <c r="I394" s="23" t="s">
        <v>4213</v>
      </c>
    </row>
    <row r="395" spans="1:9">
      <c r="A395" s="25" t="s">
        <v>4214</v>
      </c>
      <c r="B395" s="25" t="s">
        <v>3495</v>
      </c>
      <c r="C395" s="26">
        <v>16695</v>
      </c>
      <c r="D395" s="26">
        <v>353480705000001</v>
      </c>
      <c r="E395" s="26">
        <v>3534807</v>
      </c>
      <c r="F395" s="26">
        <v>-51.699320700000001</v>
      </c>
      <c r="G395" s="26">
        <v>-21.491165899999999</v>
      </c>
      <c r="H395" s="26">
        <v>365.23921799999999</v>
      </c>
      <c r="I395" s="25" t="s">
        <v>4215</v>
      </c>
    </row>
    <row r="396" spans="1:9">
      <c r="A396" s="23" t="s">
        <v>4216</v>
      </c>
      <c r="B396" s="23" t="s">
        <v>3498</v>
      </c>
      <c r="C396" s="24">
        <v>16693</v>
      </c>
      <c r="D396" s="24">
        <v>353475705000001</v>
      </c>
      <c r="E396" s="24">
        <v>3534757</v>
      </c>
      <c r="F396" s="24">
        <v>-50.3775847</v>
      </c>
      <c r="G396" s="24">
        <v>-19.9955921</v>
      </c>
      <c r="H396" s="24">
        <v>498.75365799999997</v>
      </c>
      <c r="I396" s="23" t="s">
        <v>4217</v>
      </c>
    </row>
    <row r="397" spans="1:9">
      <c r="A397" s="25" t="s">
        <v>4218</v>
      </c>
      <c r="B397" s="25" t="s">
        <v>3495</v>
      </c>
      <c r="C397" s="26">
        <v>16696</v>
      </c>
      <c r="D397" s="26">
        <v>353490605000001</v>
      </c>
      <c r="E397" s="26">
        <v>3534906</v>
      </c>
      <c r="F397" s="26">
        <v>-51.265201500000003</v>
      </c>
      <c r="G397" s="26">
        <v>-21.560078499999999</v>
      </c>
      <c r="H397" s="26">
        <v>429.05030900000003</v>
      </c>
      <c r="I397" s="25" t="s">
        <v>4219</v>
      </c>
    </row>
    <row r="398" spans="1:9">
      <c r="A398" s="23" t="s">
        <v>4220</v>
      </c>
      <c r="B398" s="23" t="s">
        <v>3498</v>
      </c>
      <c r="C398" s="24">
        <v>16697</v>
      </c>
      <c r="D398" s="24">
        <v>353500205000001</v>
      </c>
      <c r="E398" s="24">
        <v>3535002</v>
      </c>
      <c r="F398" s="24">
        <v>-49.433782399999998</v>
      </c>
      <c r="G398" s="24">
        <v>-20.390587499999999</v>
      </c>
      <c r="H398" s="24">
        <v>555.54606899999999</v>
      </c>
      <c r="I398" s="23" t="s">
        <v>4221</v>
      </c>
    </row>
    <row r="399" spans="1:9">
      <c r="A399" s="25" t="s">
        <v>4222</v>
      </c>
      <c r="B399" s="25" t="s">
        <v>3498</v>
      </c>
      <c r="C399" s="26">
        <v>16700</v>
      </c>
      <c r="D399" s="26">
        <v>353510105000001</v>
      </c>
      <c r="E399" s="26">
        <v>3535101</v>
      </c>
      <c r="F399" s="26">
        <v>-48.801284600000002</v>
      </c>
      <c r="G399" s="26">
        <v>-21.082470699999998</v>
      </c>
      <c r="H399" s="26">
        <v>507.21819599999998</v>
      </c>
      <c r="I399" s="25" t="s">
        <v>4223</v>
      </c>
    </row>
    <row r="400" spans="1:9">
      <c r="A400" s="23" t="s">
        <v>4224</v>
      </c>
      <c r="B400" s="23" t="s">
        <v>3498</v>
      </c>
      <c r="C400" s="24">
        <v>16701</v>
      </c>
      <c r="D400" s="24">
        <v>353520005000001</v>
      </c>
      <c r="E400" s="24">
        <v>3535200</v>
      </c>
      <c r="F400" s="24">
        <v>-50.765987799999998</v>
      </c>
      <c r="G400" s="24">
        <v>-20.4162173</v>
      </c>
      <c r="H400" s="24">
        <v>427.004255</v>
      </c>
      <c r="I400" s="23" t="s">
        <v>4225</v>
      </c>
    </row>
    <row r="401" spans="1:9">
      <c r="A401" s="25" t="s">
        <v>4226</v>
      </c>
      <c r="B401" s="25" t="s">
        <v>3532</v>
      </c>
      <c r="C401" s="26">
        <v>16703</v>
      </c>
      <c r="D401" s="26">
        <v>353530905000001</v>
      </c>
      <c r="E401" s="26">
        <v>3535309</v>
      </c>
      <c r="F401" s="26">
        <v>-50.218791000000003</v>
      </c>
      <c r="G401" s="26">
        <v>-22.785592000000001</v>
      </c>
      <c r="H401" s="26">
        <v>509.997837</v>
      </c>
      <c r="I401" s="25" t="s">
        <v>4227</v>
      </c>
    </row>
    <row r="402" spans="1:9">
      <c r="A402" s="23" t="s">
        <v>3368</v>
      </c>
      <c r="B402" s="23" t="s">
        <v>3495</v>
      </c>
      <c r="C402" s="24">
        <v>16705</v>
      </c>
      <c r="D402" s="24">
        <v>353540805000001</v>
      </c>
      <c r="E402" s="24">
        <v>3535408</v>
      </c>
      <c r="F402" s="24">
        <v>-51.856574199999997</v>
      </c>
      <c r="G402" s="24">
        <v>-21.360183599999999</v>
      </c>
      <c r="H402" s="24">
        <v>300.140829</v>
      </c>
      <c r="I402" s="23" t="s">
        <v>4228</v>
      </c>
    </row>
    <row r="403" spans="1:9">
      <c r="A403" s="25" t="s">
        <v>4229</v>
      </c>
      <c r="B403" s="25" t="s">
        <v>3532</v>
      </c>
      <c r="C403" s="26">
        <v>16707</v>
      </c>
      <c r="D403" s="26">
        <v>353550705000001</v>
      </c>
      <c r="E403" s="26">
        <v>3535507</v>
      </c>
      <c r="F403" s="26">
        <v>-50.575028500000002</v>
      </c>
      <c r="G403" s="26">
        <v>-22.417711000000001</v>
      </c>
      <c r="H403" s="26">
        <v>503.90114799999998</v>
      </c>
      <c r="I403" s="25" t="s">
        <v>4230</v>
      </c>
    </row>
    <row r="404" spans="1:9">
      <c r="A404" s="23" t="s">
        <v>1004</v>
      </c>
      <c r="B404" s="23" t="s">
        <v>3555</v>
      </c>
      <c r="C404" s="24">
        <v>16711</v>
      </c>
      <c r="D404" s="24">
        <v>353560605000001</v>
      </c>
      <c r="E404" s="24">
        <v>3535606</v>
      </c>
      <c r="F404" s="24">
        <v>-45.6628641</v>
      </c>
      <c r="G404" s="24">
        <v>-23.386261600000001</v>
      </c>
      <c r="H404" s="24">
        <v>636.606582</v>
      </c>
      <c r="I404" s="23" t="s">
        <v>4231</v>
      </c>
    </row>
    <row r="405" spans="1:9">
      <c r="A405" s="25" t="s">
        <v>4232</v>
      </c>
      <c r="B405" s="25" t="s">
        <v>3498</v>
      </c>
      <c r="C405" s="26">
        <v>16713</v>
      </c>
      <c r="D405" s="26">
        <v>353570505000001</v>
      </c>
      <c r="E405" s="26">
        <v>3535705</v>
      </c>
      <c r="F405" s="26">
        <v>-48.772528899999998</v>
      </c>
      <c r="G405" s="26">
        <v>-21.015792999999999</v>
      </c>
      <c r="H405" s="26">
        <v>574.81024000000002</v>
      </c>
      <c r="I405" s="25" t="s">
        <v>4233</v>
      </c>
    </row>
    <row r="406" spans="1:9">
      <c r="A406" s="23" t="s">
        <v>4234</v>
      </c>
      <c r="B406" s="23" t="s">
        <v>3549</v>
      </c>
      <c r="C406" s="24">
        <v>16714</v>
      </c>
      <c r="D406" s="24">
        <v>353580405000001</v>
      </c>
      <c r="E406" s="24">
        <v>3535804</v>
      </c>
      <c r="F406" s="24">
        <v>-48.723677000000002</v>
      </c>
      <c r="G406" s="24">
        <v>-23.386928000000001</v>
      </c>
      <c r="H406" s="24">
        <v>607.74558100000002</v>
      </c>
      <c r="I406" s="23" t="s">
        <v>4235</v>
      </c>
    </row>
    <row r="407" spans="1:9">
      <c r="A407" s="25" t="s">
        <v>4236</v>
      </c>
      <c r="B407" s="25" t="s">
        <v>3498</v>
      </c>
      <c r="C407" s="26">
        <v>16731</v>
      </c>
      <c r="D407" s="26">
        <v>353590305000001</v>
      </c>
      <c r="E407" s="26">
        <v>3535903</v>
      </c>
      <c r="F407" s="26">
        <v>-50.586718900000001</v>
      </c>
      <c r="G407" s="26">
        <v>-20.099806000000001</v>
      </c>
      <c r="H407" s="26">
        <v>471.60355499999997</v>
      </c>
      <c r="I407" s="25" t="s">
        <v>4237</v>
      </c>
    </row>
    <row r="408" spans="1:9">
      <c r="A408" s="23" t="s">
        <v>4238</v>
      </c>
      <c r="B408" s="23" t="s">
        <v>3532</v>
      </c>
      <c r="C408" s="24">
        <v>16732</v>
      </c>
      <c r="D408" s="24">
        <v>353600005000001</v>
      </c>
      <c r="E408" s="24">
        <v>3536000</v>
      </c>
      <c r="F408" s="24">
        <v>-50.793843799999998</v>
      </c>
      <c r="G408" s="24">
        <v>-21.7798391</v>
      </c>
      <c r="H408" s="24">
        <v>479.399565</v>
      </c>
      <c r="I408" s="23" t="s">
        <v>4239</v>
      </c>
    </row>
    <row r="409" spans="1:9">
      <c r="A409" s="25" t="s">
        <v>4240</v>
      </c>
      <c r="B409" s="25" t="s">
        <v>3508</v>
      </c>
      <c r="C409" s="26">
        <v>16737</v>
      </c>
      <c r="D409" s="26">
        <v>353610905000001</v>
      </c>
      <c r="E409" s="26">
        <v>3536109</v>
      </c>
      <c r="F409" s="26">
        <v>-48.372876699999999</v>
      </c>
      <c r="G409" s="26">
        <v>-23.080318299999998</v>
      </c>
      <c r="H409" s="26">
        <v>892.85883699999999</v>
      </c>
      <c r="I409" s="25" t="s">
        <v>4241</v>
      </c>
    </row>
    <row r="410" spans="1:9">
      <c r="A410" s="23" t="s">
        <v>624</v>
      </c>
      <c r="B410" s="23" t="s">
        <v>3618</v>
      </c>
      <c r="C410" s="24">
        <v>16744</v>
      </c>
      <c r="D410" s="24">
        <v>353620805000001</v>
      </c>
      <c r="E410" s="24">
        <v>3536208</v>
      </c>
      <c r="F410" s="24">
        <v>-47.879997600000003</v>
      </c>
      <c r="G410" s="24">
        <v>-24.7125466</v>
      </c>
      <c r="H410" s="24">
        <v>32.946368</v>
      </c>
      <c r="I410" s="23" t="s">
        <v>4242</v>
      </c>
    </row>
    <row r="411" spans="1:9">
      <c r="A411" s="25" t="s">
        <v>4243</v>
      </c>
      <c r="B411" s="25" t="s">
        <v>3498</v>
      </c>
      <c r="C411" s="26">
        <v>16746</v>
      </c>
      <c r="D411" s="26">
        <v>353625705000001</v>
      </c>
      <c r="E411" s="26">
        <v>3536257</v>
      </c>
      <c r="F411" s="26">
        <v>-50.012617800000001</v>
      </c>
      <c r="G411" s="26">
        <v>-20.302191199999999</v>
      </c>
      <c r="H411" s="26">
        <v>511.12064600000002</v>
      </c>
      <c r="I411" s="25" t="s">
        <v>4244</v>
      </c>
    </row>
    <row r="412" spans="1:9">
      <c r="A412" s="23" t="s">
        <v>4245</v>
      </c>
      <c r="B412" s="23" t="s">
        <v>3566</v>
      </c>
      <c r="C412" s="24">
        <v>16747</v>
      </c>
      <c r="D412" s="24">
        <v>353630705000001</v>
      </c>
      <c r="E412" s="24">
        <v>3536307</v>
      </c>
      <c r="F412" s="24">
        <v>-47.2830601</v>
      </c>
      <c r="G412" s="24">
        <v>-20.6411534</v>
      </c>
      <c r="H412" s="24">
        <v>748.62826600000005</v>
      </c>
      <c r="I412" s="23" t="s">
        <v>4246</v>
      </c>
    </row>
    <row r="413" spans="1:9">
      <c r="A413" s="25" t="s">
        <v>208</v>
      </c>
      <c r="B413" s="25" t="s">
        <v>3495</v>
      </c>
      <c r="C413" s="26">
        <v>16749</v>
      </c>
      <c r="D413" s="26">
        <v>353640605000001</v>
      </c>
      <c r="E413" s="26">
        <v>3536406</v>
      </c>
      <c r="F413" s="26">
        <v>-51.847140000000003</v>
      </c>
      <c r="G413" s="26">
        <v>-21.309275599999999</v>
      </c>
      <c r="H413" s="26">
        <v>294.97141699999997</v>
      </c>
      <c r="I413" s="25" t="s">
        <v>4247</v>
      </c>
    </row>
    <row r="414" spans="1:9">
      <c r="A414" s="23" t="s">
        <v>4248</v>
      </c>
      <c r="B414" s="23" t="s">
        <v>3501</v>
      </c>
      <c r="C414" s="24">
        <v>16753</v>
      </c>
      <c r="D414" s="24">
        <v>353650505000001</v>
      </c>
      <c r="E414" s="24">
        <v>3536505</v>
      </c>
      <c r="F414" s="24">
        <v>-47.1543858</v>
      </c>
      <c r="G414" s="24">
        <v>-22.7599217</v>
      </c>
      <c r="H414" s="24">
        <v>590.39793199999997</v>
      </c>
      <c r="I414" s="23" t="s">
        <v>4249</v>
      </c>
    </row>
    <row r="415" spans="1:9">
      <c r="A415" s="25" t="s">
        <v>4250</v>
      </c>
      <c r="B415" s="25" t="s">
        <v>3511</v>
      </c>
      <c r="C415" s="26">
        <v>16754</v>
      </c>
      <c r="D415" s="26">
        <v>353657005000001</v>
      </c>
      <c r="E415" s="26">
        <v>3536570</v>
      </c>
      <c r="F415" s="26">
        <v>-49.399038300000001</v>
      </c>
      <c r="G415" s="26">
        <v>-22.574300699999998</v>
      </c>
      <c r="H415" s="26">
        <v>556.12801000000002</v>
      </c>
      <c r="I415" s="25" t="s">
        <v>4251</v>
      </c>
    </row>
    <row r="416" spans="1:9">
      <c r="A416" s="23" t="s">
        <v>4252</v>
      </c>
      <c r="B416" s="23" t="s">
        <v>3498</v>
      </c>
      <c r="C416" s="24">
        <v>16755</v>
      </c>
      <c r="D416" s="24">
        <v>353660405000001</v>
      </c>
      <c r="E416" s="24">
        <v>3536604</v>
      </c>
      <c r="F416" s="24">
        <v>-49.399551899999999</v>
      </c>
      <c r="G416" s="24">
        <v>-20.029299999999999</v>
      </c>
      <c r="H416" s="24">
        <v>447.690067</v>
      </c>
      <c r="I416" s="23" t="s">
        <v>4253</v>
      </c>
    </row>
    <row r="417" spans="1:9">
      <c r="A417" s="25" t="s">
        <v>4254</v>
      </c>
      <c r="B417" s="25" t="s">
        <v>3511</v>
      </c>
      <c r="C417" s="26">
        <v>16756</v>
      </c>
      <c r="D417" s="26">
        <v>353670305000001</v>
      </c>
      <c r="E417" s="26">
        <v>3536703</v>
      </c>
      <c r="F417" s="26">
        <v>-48.779680999999997</v>
      </c>
      <c r="G417" s="26">
        <v>-22.355491499999999</v>
      </c>
      <c r="H417" s="26">
        <v>499.65328299999999</v>
      </c>
      <c r="I417" s="25" t="s">
        <v>4255</v>
      </c>
    </row>
    <row r="418" spans="1:9">
      <c r="A418" s="23" t="s">
        <v>4256</v>
      </c>
      <c r="B418" s="23" t="s">
        <v>3501</v>
      </c>
      <c r="C418" s="24">
        <v>16762</v>
      </c>
      <c r="D418" s="24">
        <v>353680205000001</v>
      </c>
      <c r="E418" s="24">
        <v>3536802</v>
      </c>
      <c r="F418" s="24">
        <v>-46.442030899999999</v>
      </c>
      <c r="G418" s="24">
        <v>-22.791384399999998</v>
      </c>
      <c r="H418" s="24">
        <v>1102.2691199999999</v>
      </c>
      <c r="I418" s="23" t="s">
        <v>4257</v>
      </c>
    </row>
    <row r="419" spans="1:9">
      <c r="A419" s="25" t="s">
        <v>4258</v>
      </c>
      <c r="B419" s="25" t="s">
        <v>3498</v>
      </c>
      <c r="C419" s="26">
        <v>16763</v>
      </c>
      <c r="D419" s="26">
        <v>353690105000001</v>
      </c>
      <c r="E419" s="26">
        <v>3536901</v>
      </c>
      <c r="F419" s="26">
        <v>-50.112390300000001</v>
      </c>
      <c r="G419" s="26">
        <v>-20.247646700000001</v>
      </c>
      <c r="H419" s="26">
        <v>475.54750100000001</v>
      </c>
      <c r="I419" s="25" t="s">
        <v>4259</v>
      </c>
    </row>
    <row r="420" spans="1:9">
      <c r="A420" s="23" t="s">
        <v>3185</v>
      </c>
      <c r="B420" s="23" t="s">
        <v>3566</v>
      </c>
      <c r="C420" s="24">
        <v>16765</v>
      </c>
      <c r="D420" s="24">
        <v>353700805000001</v>
      </c>
      <c r="E420" s="24">
        <v>3537008</v>
      </c>
      <c r="F420" s="24">
        <v>-47.481794999999998</v>
      </c>
      <c r="G420" s="24">
        <v>-20.256871</v>
      </c>
      <c r="H420" s="24">
        <v>1010.4828199999999</v>
      </c>
      <c r="I420" s="23" t="s">
        <v>4260</v>
      </c>
    </row>
    <row r="421" spans="1:9">
      <c r="A421" s="25" t="s">
        <v>2919</v>
      </c>
      <c r="B421" s="25" t="s">
        <v>3501</v>
      </c>
      <c r="C421" s="26">
        <v>16769</v>
      </c>
      <c r="D421" s="26">
        <v>353710705000001</v>
      </c>
      <c r="E421" s="26">
        <v>3537107</v>
      </c>
      <c r="F421" s="26">
        <v>-46.8978021</v>
      </c>
      <c r="G421" s="26">
        <v>-22.743770999999999</v>
      </c>
      <c r="H421" s="26">
        <v>600.41107999999997</v>
      </c>
      <c r="I421" s="25" t="s">
        <v>4261</v>
      </c>
    </row>
    <row r="422" spans="1:9">
      <c r="A422" s="23" t="s">
        <v>2833</v>
      </c>
      <c r="B422" s="23" t="s">
        <v>3532</v>
      </c>
      <c r="C422" s="24">
        <v>16772</v>
      </c>
      <c r="D422" s="24">
        <v>353715605000001</v>
      </c>
      <c r="E422" s="24">
        <v>3537156</v>
      </c>
      <c r="F422" s="24">
        <v>-50.792165699999998</v>
      </c>
      <c r="G422" s="24">
        <v>-22.811215199999999</v>
      </c>
      <c r="H422" s="24">
        <v>351.82605000000001</v>
      </c>
      <c r="I422" s="23" t="s">
        <v>4262</v>
      </c>
    </row>
    <row r="423" spans="1:9">
      <c r="A423" s="25" t="s">
        <v>184</v>
      </c>
      <c r="B423" s="25" t="s">
        <v>3618</v>
      </c>
      <c r="C423" s="26">
        <v>16773</v>
      </c>
      <c r="D423" s="26">
        <v>353720605000001</v>
      </c>
      <c r="E423" s="26">
        <v>3537206</v>
      </c>
      <c r="F423" s="26">
        <v>-47.229076300000003</v>
      </c>
      <c r="G423" s="26">
        <v>-24.272800700000001</v>
      </c>
      <c r="H423" s="26">
        <v>62.710276</v>
      </c>
      <c r="I423" s="25" t="s">
        <v>4263</v>
      </c>
    </row>
    <row r="424" spans="1:9">
      <c r="A424" s="23" t="s">
        <v>4264</v>
      </c>
      <c r="B424" s="23" t="s">
        <v>3523</v>
      </c>
      <c r="C424" s="24">
        <v>16774</v>
      </c>
      <c r="D424" s="24">
        <v>353730505000001</v>
      </c>
      <c r="E424" s="24">
        <v>3537305</v>
      </c>
      <c r="F424" s="24">
        <v>-50.073036299999998</v>
      </c>
      <c r="G424" s="24">
        <v>-21.418382999999999</v>
      </c>
      <c r="H424" s="24">
        <v>415.20048700000001</v>
      </c>
      <c r="I424" s="23" t="s">
        <v>4265</v>
      </c>
    </row>
    <row r="425" spans="1:9">
      <c r="A425" s="25" t="s">
        <v>4266</v>
      </c>
      <c r="B425" s="25" t="s">
        <v>3523</v>
      </c>
      <c r="C425" s="26">
        <v>16778</v>
      </c>
      <c r="D425" s="26">
        <v>353740405000001</v>
      </c>
      <c r="E425" s="26">
        <v>3537404</v>
      </c>
      <c r="F425" s="26">
        <v>-51.106661000000003</v>
      </c>
      <c r="G425" s="26">
        <v>-20.636669000000001</v>
      </c>
      <c r="H425" s="26">
        <v>363.98671899999999</v>
      </c>
      <c r="I425" s="25" t="s">
        <v>4267</v>
      </c>
    </row>
    <row r="426" spans="1:9">
      <c r="A426" s="23" t="s">
        <v>4268</v>
      </c>
      <c r="B426" s="23" t="s">
        <v>3508</v>
      </c>
      <c r="C426" s="24">
        <v>16779</v>
      </c>
      <c r="D426" s="24">
        <v>353750305000001</v>
      </c>
      <c r="E426" s="24">
        <v>3537503</v>
      </c>
      <c r="F426" s="24">
        <v>-47.967866800000003</v>
      </c>
      <c r="G426" s="24">
        <v>-23.072852300000001</v>
      </c>
      <c r="H426" s="24">
        <v>522.01582900000005</v>
      </c>
      <c r="I426" s="23" t="s">
        <v>4269</v>
      </c>
    </row>
    <row r="427" spans="1:9">
      <c r="A427" s="25" t="s">
        <v>4270</v>
      </c>
      <c r="B427" s="25" t="s">
        <v>3637</v>
      </c>
      <c r="C427" s="26">
        <v>16780</v>
      </c>
      <c r="D427" s="26">
        <v>353760205000001</v>
      </c>
      <c r="E427" s="26">
        <v>3537602</v>
      </c>
      <c r="F427" s="26">
        <v>-46.997301899999997</v>
      </c>
      <c r="G427" s="26">
        <v>-24.319508899999999</v>
      </c>
      <c r="H427" s="26">
        <v>11.33502</v>
      </c>
      <c r="I427" s="25" t="s">
        <v>4271</v>
      </c>
    </row>
    <row r="428" spans="1:9">
      <c r="A428" s="23" t="s">
        <v>4272</v>
      </c>
      <c r="B428" s="23" t="s">
        <v>3523</v>
      </c>
      <c r="C428" s="24">
        <v>16782</v>
      </c>
      <c r="D428" s="24">
        <v>353770105000001</v>
      </c>
      <c r="E428" s="24">
        <v>3537701</v>
      </c>
      <c r="F428" s="24">
        <v>-50.599425699999998</v>
      </c>
      <c r="G428" s="24">
        <v>-21.5953917</v>
      </c>
      <c r="H428" s="24">
        <v>435.26418000000001</v>
      </c>
      <c r="I428" s="23" t="s">
        <v>4273</v>
      </c>
    </row>
    <row r="429" spans="1:9">
      <c r="A429" s="25" t="s">
        <v>1273</v>
      </c>
      <c r="B429" s="25" t="s">
        <v>3508</v>
      </c>
      <c r="C429" s="26">
        <v>16783</v>
      </c>
      <c r="D429" s="26">
        <v>353780005000001</v>
      </c>
      <c r="E429" s="26">
        <v>3537800</v>
      </c>
      <c r="F429" s="26">
        <v>-47.418015199999999</v>
      </c>
      <c r="G429" s="26">
        <v>-23.714202199999999</v>
      </c>
      <c r="H429" s="26">
        <v>805.44356400000004</v>
      </c>
      <c r="I429" s="25" t="s">
        <v>4274</v>
      </c>
    </row>
    <row r="430" spans="1:9">
      <c r="A430" s="23" t="s">
        <v>4275</v>
      </c>
      <c r="B430" s="23" t="s">
        <v>3508</v>
      </c>
      <c r="C430" s="24">
        <v>16786</v>
      </c>
      <c r="D430" s="24">
        <v>353790905000001</v>
      </c>
      <c r="E430" s="24">
        <v>3537909</v>
      </c>
      <c r="F430" s="24">
        <v>-47.715507700000003</v>
      </c>
      <c r="G430" s="24">
        <v>-23.814612</v>
      </c>
      <c r="H430" s="24">
        <v>693.03119100000004</v>
      </c>
      <c r="I430" s="23" t="s">
        <v>4276</v>
      </c>
    </row>
    <row r="431" spans="1:9">
      <c r="A431" s="25" t="s">
        <v>4277</v>
      </c>
      <c r="B431" s="25" t="s">
        <v>3555</v>
      </c>
      <c r="C431" s="26">
        <v>16789</v>
      </c>
      <c r="D431" s="26">
        <v>353800605000001</v>
      </c>
      <c r="E431" s="26">
        <v>3538006</v>
      </c>
      <c r="F431" s="26">
        <v>-45.462048799999998</v>
      </c>
      <c r="G431" s="26">
        <v>-22.9266687</v>
      </c>
      <c r="H431" s="26">
        <v>559.00517500000001</v>
      </c>
      <c r="I431" s="25" t="s">
        <v>4278</v>
      </c>
    </row>
    <row r="432" spans="1:9">
      <c r="A432" s="23" t="s">
        <v>4279</v>
      </c>
      <c r="B432" s="23" t="s">
        <v>3498</v>
      </c>
      <c r="C432" s="24">
        <v>16791</v>
      </c>
      <c r="D432" s="24">
        <v>353810505000001</v>
      </c>
      <c r="E432" s="24">
        <v>3538105</v>
      </c>
      <c r="F432" s="24">
        <v>-48.905637499999997</v>
      </c>
      <c r="G432" s="24">
        <v>-21.185988500000001</v>
      </c>
      <c r="H432" s="24">
        <v>514.94505800000002</v>
      </c>
      <c r="I432" s="23" t="s">
        <v>4280</v>
      </c>
    </row>
    <row r="433" spans="1:9">
      <c r="A433" s="25" t="s">
        <v>4281</v>
      </c>
      <c r="B433" s="25" t="s">
        <v>3501</v>
      </c>
      <c r="C433" s="26">
        <v>16793</v>
      </c>
      <c r="D433" s="26">
        <v>353820405000001</v>
      </c>
      <c r="E433" s="26">
        <v>3538204</v>
      </c>
      <c r="F433" s="26">
        <v>-46.5905773</v>
      </c>
      <c r="G433" s="26">
        <v>-22.7807961</v>
      </c>
      <c r="H433" s="26">
        <v>938.50386400000002</v>
      </c>
      <c r="I433" s="25" t="s">
        <v>4282</v>
      </c>
    </row>
    <row r="434" spans="1:9">
      <c r="A434" s="23" t="s">
        <v>4283</v>
      </c>
      <c r="B434" s="23" t="s">
        <v>3495</v>
      </c>
      <c r="C434" s="24">
        <v>16796</v>
      </c>
      <c r="D434" s="24">
        <v>353830305000001</v>
      </c>
      <c r="E434" s="24">
        <v>3538303</v>
      </c>
      <c r="F434" s="24">
        <v>-51.731626900000002</v>
      </c>
      <c r="G434" s="24">
        <v>-21.884989699999998</v>
      </c>
      <c r="H434" s="24">
        <v>436.11788300000001</v>
      </c>
      <c r="I434" s="23" t="s">
        <v>4284</v>
      </c>
    </row>
    <row r="435" spans="1:9">
      <c r="A435" s="25" t="s">
        <v>2938</v>
      </c>
      <c r="B435" s="25" t="s">
        <v>3555</v>
      </c>
      <c r="C435" s="26">
        <v>16797</v>
      </c>
      <c r="D435" s="26">
        <v>353850105000001</v>
      </c>
      <c r="E435" s="26">
        <v>3538501</v>
      </c>
      <c r="F435" s="26">
        <v>-45.183569400000003</v>
      </c>
      <c r="G435" s="26">
        <v>-22.611166900000001</v>
      </c>
      <c r="H435" s="26">
        <v>638.54311600000005</v>
      </c>
      <c r="I435" s="25" t="s">
        <v>4285</v>
      </c>
    </row>
    <row r="436" spans="1:9">
      <c r="A436" s="23" t="s">
        <v>4286</v>
      </c>
      <c r="B436" s="23" t="s">
        <v>3501</v>
      </c>
      <c r="C436" s="24">
        <v>16798</v>
      </c>
      <c r="D436" s="24">
        <v>353860005000001</v>
      </c>
      <c r="E436" s="24">
        <v>3538600</v>
      </c>
      <c r="F436" s="24">
        <v>-46.358755199999997</v>
      </c>
      <c r="G436" s="24">
        <v>-23.050498999999999</v>
      </c>
      <c r="H436" s="24">
        <v>793.71493199999998</v>
      </c>
      <c r="I436" s="23" t="s">
        <v>4287</v>
      </c>
    </row>
    <row r="437" spans="1:9">
      <c r="A437" s="25" t="s">
        <v>1108</v>
      </c>
      <c r="B437" s="25" t="s">
        <v>3501</v>
      </c>
      <c r="C437" s="26">
        <v>16800</v>
      </c>
      <c r="D437" s="26">
        <v>353870905000001</v>
      </c>
      <c r="E437" s="26">
        <v>3538709</v>
      </c>
      <c r="F437" s="26">
        <v>-47.646846199999999</v>
      </c>
      <c r="G437" s="26">
        <v>-22.723721999999999</v>
      </c>
      <c r="H437" s="26">
        <v>527.09938799999998</v>
      </c>
      <c r="I437" s="25" t="s">
        <v>4288</v>
      </c>
    </row>
    <row r="438" spans="1:9">
      <c r="A438" s="23" t="s">
        <v>1247</v>
      </c>
      <c r="B438" s="23" t="s">
        <v>3549</v>
      </c>
      <c r="C438" s="24">
        <v>16818</v>
      </c>
      <c r="D438" s="24">
        <v>353880805000001</v>
      </c>
      <c r="E438" s="24">
        <v>3538808</v>
      </c>
      <c r="F438" s="24">
        <v>-49.383974500000001</v>
      </c>
      <c r="G438" s="24">
        <v>-23.192991500000002</v>
      </c>
      <c r="H438" s="24">
        <v>555.89249900000004</v>
      </c>
      <c r="I438" s="23" t="s">
        <v>4289</v>
      </c>
    </row>
    <row r="439" spans="1:9">
      <c r="A439" s="25" t="s">
        <v>4290</v>
      </c>
      <c r="B439" s="25" t="s">
        <v>3511</v>
      </c>
      <c r="C439" s="26">
        <v>16821</v>
      </c>
      <c r="D439" s="26">
        <v>353890705000001</v>
      </c>
      <c r="E439" s="26">
        <v>3538907</v>
      </c>
      <c r="F439" s="26">
        <v>-49.4566424</v>
      </c>
      <c r="G439" s="26">
        <v>-21.993447</v>
      </c>
      <c r="H439" s="26">
        <v>481.45619599999998</v>
      </c>
      <c r="I439" s="25" t="s">
        <v>4291</v>
      </c>
    </row>
    <row r="440" spans="1:9">
      <c r="A440" s="23" t="s">
        <v>4292</v>
      </c>
      <c r="B440" s="23" t="s">
        <v>3518</v>
      </c>
      <c r="C440" s="24">
        <v>16826</v>
      </c>
      <c r="D440" s="24">
        <v>353900405000001</v>
      </c>
      <c r="E440" s="24">
        <v>3539004</v>
      </c>
      <c r="F440" s="24">
        <v>-48.669841900000002</v>
      </c>
      <c r="G440" s="24">
        <v>-21.0996317</v>
      </c>
      <c r="H440" s="24">
        <v>579.64226299999996</v>
      </c>
      <c r="I440" s="23" t="s">
        <v>4293</v>
      </c>
    </row>
    <row r="441" spans="1:9">
      <c r="A441" s="25" t="s">
        <v>4294</v>
      </c>
      <c r="B441" s="25" t="s">
        <v>3585</v>
      </c>
      <c r="C441" s="26">
        <v>16827</v>
      </c>
      <c r="D441" s="26">
        <v>353910305000001</v>
      </c>
      <c r="E441" s="26">
        <v>3539103</v>
      </c>
      <c r="F441" s="26">
        <v>-47.000967600000003</v>
      </c>
      <c r="G441" s="26">
        <v>-23.3975233</v>
      </c>
      <c r="H441" s="26">
        <v>705.50592800000004</v>
      </c>
      <c r="I441" s="25" t="s">
        <v>4295</v>
      </c>
    </row>
    <row r="442" spans="1:9">
      <c r="A442" s="23" t="s">
        <v>1085</v>
      </c>
      <c r="B442" s="23" t="s">
        <v>3495</v>
      </c>
      <c r="C442" s="24">
        <v>16828</v>
      </c>
      <c r="D442" s="24">
        <v>353920205000001</v>
      </c>
      <c r="E442" s="24">
        <v>3539202</v>
      </c>
      <c r="F442" s="24">
        <v>-51.499584300000002</v>
      </c>
      <c r="G442" s="24">
        <v>-22.2766755</v>
      </c>
      <c r="H442" s="24">
        <v>486.94915099999997</v>
      </c>
      <c r="I442" s="23" t="s">
        <v>4296</v>
      </c>
    </row>
    <row r="443" spans="1:9">
      <c r="A443" s="25" t="s">
        <v>4297</v>
      </c>
      <c r="B443" s="25" t="s">
        <v>3501</v>
      </c>
      <c r="C443" s="26">
        <v>16830</v>
      </c>
      <c r="D443" s="26">
        <v>353930105000001</v>
      </c>
      <c r="E443" s="26">
        <v>3539301</v>
      </c>
      <c r="F443" s="26">
        <v>-47.4251729</v>
      </c>
      <c r="G443" s="26">
        <v>-21.9940493</v>
      </c>
      <c r="H443" s="26">
        <v>626.16231400000004</v>
      </c>
      <c r="I443" s="25" t="s">
        <v>4298</v>
      </c>
    </row>
    <row r="444" spans="1:9">
      <c r="A444" s="23" t="s">
        <v>4299</v>
      </c>
      <c r="B444" s="23" t="s">
        <v>3511</v>
      </c>
      <c r="C444" s="24">
        <v>16833</v>
      </c>
      <c r="D444" s="24">
        <v>353940005000001</v>
      </c>
      <c r="E444" s="24">
        <v>3539400</v>
      </c>
      <c r="F444" s="24">
        <v>-49.137252199999999</v>
      </c>
      <c r="G444" s="24">
        <v>-22.412065900000002</v>
      </c>
      <c r="H444" s="24">
        <v>516.61361999999997</v>
      </c>
      <c r="I444" s="23" t="s">
        <v>4300</v>
      </c>
    </row>
    <row r="445" spans="1:9">
      <c r="A445" s="25" t="s">
        <v>4301</v>
      </c>
      <c r="B445" s="25" t="s">
        <v>3520</v>
      </c>
      <c r="C445" s="26">
        <v>16841</v>
      </c>
      <c r="D445" s="26">
        <v>353950905000001</v>
      </c>
      <c r="E445" s="26">
        <v>3539509</v>
      </c>
      <c r="F445" s="26">
        <v>-48.222265800000002</v>
      </c>
      <c r="G445" s="26">
        <v>-21.0109995</v>
      </c>
      <c r="H445" s="26">
        <v>515.81715599999995</v>
      </c>
      <c r="I445" s="25" t="s">
        <v>4302</v>
      </c>
    </row>
    <row r="446" spans="1:9">
      <c r="A446" s="23" t="s">
        <v>4303</v>
      </c>
      <c r="B446" s="23" t="s">
        <v>3498</v>
      </c>
      <c r="C446" s="24">
        <v>16846</v>
      </c>
      <c r="D446" s="24">
        <v>353960805000001</v>
      </c>
      <c r="E446" s="24">
        <v>3539608</v>
      </c>
      <c r="F446" s="24">
        <v>-49.925719800000003</v>
      </c>
      <c r="G446" s="24">
        <v>-21.032328199999998</v>
      </c>
      <c r="H446" s="24">
        <v>436.45196800000002</v>
      </c>
      <c r="I446" s="23" t="s">
        <v>4304</v>
      </c>
    </row>
    <row r="447" spans="1:9">
      <c r="A447" s="25" t="s">
        <v>1523</v>
      </c>
      <c r="B447" s="25" t="s">
        <v>3532</v>
      </c>
      <c r="C447" s="26">
        <v>16847</v>
      </c>
      <c r="D447" s="26">
        <v>353970705000001</v>
      </c>
      <c r="E447" s="26">
        <v>3539707</v>
      </c>
      <c r="F447" s="26">
        <v>-50.208934499999998</v>
      </c>
      <c r="G447" s="26">
        <v>-22.6334573</v>
      </c>
      <c r="H447" s="26">
        <v>485.544939</v>
      </c>
      <c r="I447" s="25" t="s">
        <v>4305</v>
      </c>
    </row>
    <row r="448" spans="1:9">
      <c r="A448" s="23" t="s">
        <v>1869</v>
      </c>
      <c r="B448" s="23" t="s">
        <v>3585</v>
      </c>
      <c r="C448" s="24">
        <v>16848</v>
      </c>
      <c r="D448" s="24">
        <v>353980605000001</v>
      </c>
      <c r="E448" s="24">
        <v>3539806</v>
      </c>
      <c r="F448" s="24">
        <v>-46.3462204</v>
      </c>
      <c r="G448" s="24">
        <v>-23.528626599999999</v>
      </c>
      <c r="H448" s="24">
        <v>755.62460599999997</v>
      </c>
      <c r="I448" s="23" t="s">
        <v>4306</v>
      </c>
    </row>
    <row r="449" spans="1:9">
      <c r="A449" s="25" t="s">
        <v>4307</v>
      </c>
      <c r="B449" s="25" t="s">
        <v>3498</v>
      </c>
      <c r="C449" s="26">
        <v>16850</v>
      </c>
      <c r="D449" s="26">
        <v>353990505000001</v>
      </c>
      <c r="E449" s="26">
        <v>3539905</v>
      </c>
      <c r="F449" s="26">
        <v>-49.813894900000001</v>
      </c>
      <c r="G449" s="26">
        <v>-20.785857799999999</v>
      </c>
      <c r="H449" s="26">
        <v>529.59821599999998</v>
      </c>
      <c r="I449" s="25" t="s">
        <v>4308</v>
      </c>
    </row>
    <row r="450" spans="1:9">
      <c r="A450" s="23" t="s">
        <v>4309</v>
      </c>
      <c r="B450" s="23" t="s">
        <v>3532</v>
      </c>
      <c r="C450" s="24">
        <v>16851</v>
      </c>
      <c r="D450" s="24">
        <v>354000205000001</v>
      </c>
      <c r="E450" s="24">
        <v>3540002</v>
      </c>
      <c r="F450" s="24">
        <v>-50.176028100000003</v>
      </c>
      <c r="G450" s="24">
        <v>-22.106145699999999</v>
      </c>
      <c r="H450" s="24">
        <v>599.188267</v>
      </c>
      <c r="I450" s="23" t="s">
        <v>4310</v>
      </c>
    </row>
    <row r="451" spans="1:9">
      <c r="A451" s="25" t="s">
        <v>1542</v>
      </c>
      <c r="B451" s="25" t="s">
        <v>3511</v>
      </c>
      <c r="C451" s="26">
        <v>16854</v>
      </c>
      <c r="D451" s="26">
        <v>354010105000001</v>
      </c>
      <c r="E451" s="26">
        <v>3540101</v>
      </c>
      <c r="F451" s="26">
        <v>-49.3608701</v>
      </c>
      <c r="G451" s="26">
        <v>-21.736176499999999</v>
      </c>
      <c r="H451" s="26">
        <v>414.678968</v>
      </c>
      <c r="I451" s="25" t="s">
        <v>4311</v>
      </c>
    </row>
    <row r="452" spans="1:9">
      <c r="A452" s="23" t="s">
        <v>4312</v>
      </c>
      <c r="B452" s="23" t="s">
        <v>3520</v>
      </c>
      <c r="C452" s="24">
        <v>16856</v>
      </c>
      <c r="D452" s="24">
        <v>354020005000001</v>
      </c>
      <c r="E452" s="24">
        <v>3540200</v>
      </c>
      <c r="F452" s="24">
        <v>-48.0378373</v>
      </c>
      <c r="G452" s="24">
        <v>-21.02571</v>
      </c>
      <c r="H452" s="24">
        <v>533.05990099999997</v>
      </c>
      <c r="I452" s="23" t="s">
        <v>4313</v>
      </c>
    </row>
    <row r="453" spans="1:9">
      <c r="A453" s="25" t="s">
        <v>4314</v>
      </c>
      <c r="B453" s="25" t="s">
        <v>3498</v>
      </c>
      <c r="C453" s="26">
        <v>16861</v>
      </c>
      <c r="D453" s="26">
        <v>354025905000001</v>
      </c>
      <c r="E453" s="26">
        <v>3540259</v>
      </c>
      <c r="F453" s="26">
        <v>-50.524602000000002</v>
      </c>
      <c r="G453" s="26">
        <v>-20.4408338</v>
      </c>
      <c r="H453" s="26">
        <v>396.90904899999998</v>
      </c>
      <c r="I453" s="25" t="s">
        <v>4315</v>
      </c>
    </row>
    <row r="454" spans="1:9">
      <c r="A454" s="23" t="s">
        <v>4316</v>
      </c>
      <c r="B454" s="23" t="s">
        <v>3498</v>
      </c>
      <c r="C454" s="24">
        <v>16862</v>
      </c>
      <c r="D454" s="24">
        <v>354030905000001</v>
      </c>
      <c r="E454" s="24">
        <v>3540309</v>
      </c>
      <c r="F454" s="24">
        <v>-49.7035524</v>
      </c>
      <c r="G454" s="24">
        <v>-20.1823631</v>
      </c>
      <c r="H454" s="24">
        <v>451.92222800000002</v>
      </c>
      <c r="I454" s="23" t="s">
        <v>4317</v>
      </c>
    </row>
    <row r="455" spans="1:9">
      <c r="A455" s="25" t="s">
        <v>4318</v>
      </c>
      <c r="B455" s="25" t="s">
        <v>3498</v>
      </c>
      <c r="C455" s="26">
        <v>16863</v>
      </c>
      <c r="D455" s="26">
        <v>354040805000001</v>
      </c>
      <c r="E455" s="26">
        <v>3540408</v>
      </c>
      <c r="F455" s="26">
        <v>-50.536853100000002</v>
      </c>
      <c r="G455" s="26">
        <v>-19.944333100000001</v>
      </c>
      <c r="H455" s="26">
        <v>435.026816</v>
      </c>
      <c r="I455" s="25" t="s">
        <v>4319</v>
      </c>
    </row>
    <row r="456" spans="1:9">
      <c r="A456" s="23" t="s">
        <v>4320</v>
      </c>
      <c r="B456" s="23" t="s">
        <v>3508</v>
      </c>
      <c r="C456" s="24">
        <v>16865</v>
      </c>
      <c r="D456" s="24">
        <v>354050705000001</v>
      </c>
      <c r="E456" s="24">
        <v>3540507</v>
      </c>
      <c r="F456" s="24">
        <v>-48.126767399999999</v>
      </c>
      <c r="G456" s="24">
        <v>-23.175387499999999</v>
      </c>
      <c r="H456" s="24">
        <v>532.19377699999995</v>
      </c>
      <c r="I456" s="23" t="s">
        <v>4321</v>
      </c>
    </row>
    <row r="457" spans="1:9">
      <c r="A457" s="25" t="s">
        <v>4322</v>
      </c>
      <c r="B457" s="25" t="s">
        <v>3508</v>
      </c>
      <c r="C457" s="26">
        <v>16879</v>
      </c>
      <c r="D457" s="26">
        <v>354060605000001</v>
      </c>
      <c r="E457" s="26">
        <v>3540606</v>
      </c>
      <c r="F457" s="26">
        <v>-47.524596600000002</v>
      </c>
      <c r="G457" s="26">
        <v>-23.214412299999999</v>
      </c>
      <c r="H457" s="26">
        <v>541.442588</v>
      </c>
      <c r="I457" s="25" t="s">
        <v>4323</v>
      </c>
    </row>
    <row r="458" spans="1:9">
      <c r="A458" s="23" t="s">
        <v>4324</v>
      </c>
      <c r="B458" s="23" t="s">
        <v>3538</v>
      </c>
      <c r="C458" s="24">
        <v>16892</v>
      </c>
      <c r="D458" s="24">
        <v>354070505000001</v>
      </c>
      <c r="E458" s="24">
        <v>3540705</v>
      </c>
      <c r="F458" s="24">
        <v>-47.481409599999999</v>
      </c>
      <c r="G458" s="24">
        <v>-21.858362499999998</v>
      </c>
      <c r="H458" s="24">
        <v>586.68104000000005</v>
      </c>
      <c r="I458" s="23" t="s">
        <v>4325</v>
      </c>
    </row>
    <row r="459" spans="1:9">
      <c r="A459" s="25" t="s">
        <v>1630</v>
      </c>
      <c r="B459" s="25" t="s">
        <v>3555</v>
      </c>
      <c r="C459" s="26">
        <v>16894</v>
      </c>
      <c r="D459" s="26">
        <v>354075405000001</v>
      </c>
      <c r="E459" s="26">
        <v>3540754</v>
      </c>
      <c r="F459" s="26">
        <v>-45.255974299999998</v>
      </c>
      <c r="G459" s="26">
        <v>-22.8406202</v>
      </c>
      <c r="H459" s="26">
        <v>536</v>
      </c>
      <c r="I459" s="25" t="s">
        <v>4326</v>
      </c>
    </row>
    <row r="460" spans="1:9">
      <c r="A460" s="23" t="s">
        <v>4327</v>
      </c>
      <c r="B460" s="23" t="s">
        <v>3498</v>
      </c>
      <c r="C460" s="24">
        <v>16895</v>
      </c>
      <c r="D460" s="24">
        <v>354080405000001</v>
      </c>
      <c r="E460" s="24">
        <v>3540804</v>
      </c>
      <c r="F460" s="24">
        <v>-49.378183200000002</v>
      </c>
      <c r="G460" s="24">
        <v>-21.0450947</v>
      </c>
      <c r="H460" s="24">
        <v>484.66015199999998</v>
      </c>
      <c r="I460" s="23" t="s">
        <v>4328</v>
      </c>
    </row>
    <row r="461" spans="1:9">
      <c r="A461" s="25" t="s">
        <v>4329</v>
      </c>
      <c r="B461" s="25" t="s">
        <v>3495</v>
      </c>
      <c r="C461" s="26">
        <v>16896</v>
      </c>
      <c r="D461" s="26">
        <v>354085305000001</v>
      </c>
      <c r="E461" s="26">
        <v>3540853</v>
      </c>
      <c r="F461" s="26">
        <v>-51.087077200000003</v>
      </c>
      <c r="G461" s="26">
        <v>-21.8519276</v>
      </c>
      <c r="H461" s="26">
        <v>387.368966</v>
      </c>
      <c r="I461" s="25" t="s">
        <v>4330</v>
      </c>
    </row>
    <row r="462" spans="1:9">
      <c r="A462" s="23" t="s">
        <v>4331</v>
      </c>
      <c r="B462" s="23" t="s">
        <v>3520</v>
      </c>
      <c r="C462" s="24">
        <v>16897</v>
      </c>
      <c r="D462" s="24">
        <v>354090305000001</v>
      </c>
      <c r="E462" s="24">
        <v>3540903</v>
      </c>
      <c r="F462" s="24">
        <v>-48.065582999999997</v>
      </c>
      <c r="G462" s="24">
        <v>-21.358049000000001</v>
      </c>
      <c r="H462" s="24">
        <v>537.51995999999997</v>
      </c>
      <c r="I462" s="23" t="s">
        <v>4332</v>
      </c>
    </row>
    <row r="463" spans="1:9">
      <c r="A463" s="25" t="s">
        <v>662</v>
      </c>
      <c r="B463" s="25" t="s">
        <v>3637</v>
      </c>
      <c r="C463" s="26">
        <v>16898</v>
      </c>
      <c r="D463" s="26">
        <v>354100005000001</v>
      </c>
      <c r="E463" s="26">
        <v>3541000</v>
      </c>
      <c r="F463" s="26">
        <v>-46.412049600000003</v>
      </c>
      <c r="G463" s="26">
        <v>-24.003021499999999</v>
      </c>
      <c r="H463" s="26">
        <v>8.6821260000000002</v>
      </c>
      <c r="I463" s="25" t="s">
        <v>4333</v>
      </c>
    </row>
    <row r="464" spans="1:9">
      <c r="A464" s="23" t="s">
        <v>1490</v>
      </c>
      <c r="B464" s="23" t="s">
        <v>3508</v>
      </c>
      <c r="C464" s="24">
        <v>16900</v>
      </c>
      <c r="D464" s="24">
        <v>354105905000001</v>
      </c>
      <c r="E464" s="24">
        <v>3541059</v>
      </c>
      <c r="F464" s="24">
        <v>-48.664685599999999</v>
      </c>
      <c r="G464" s="24">
        <v>-22.811468000000001</v>
      </c>
      <c r="H464" s="24">
        <v>706.57203400000003</v>
      </c>
      <c r="I464" s="23" t="s">
        <v>4334</v>
      </c>
    </row>
    <row r="465" spans="1:9">
      <c r="A465" s="25" t="s">
        <v>4335</v>
      </c>
      <c r="B465" s="25" t="s">
        <v>3511</v>
      </c>
      <c r="C465" s="26">
        <v>16902</v>
      </c>
      <c r="D465" s="26">
        <v>354110905000001</v>
      </c>
      <c r="E465" s="26">
        <v>3541109</v>
      </c>
      <c r="F465" s="26">
        <v>-49.439149299999997</v>
      </c>
      <c r="G465" s="26">
        <v>-22.103674300000002</v>
      </c>
      <c r="H465" s="26">
        <v>550.77447199999995</v>
      </c>
      <c r="I465" s="25" t="s">
        <v>4336</v>
      </c>
    </row>
    <row r="466" spans="1:9">
      <c r="A466" s="23" t="s">
        <v>4337</v>
      </c>
      <c r="B466" s="23" t="s">
        <v>3495</v>
      </c>
      <c r="C466" s="24">
        <v>16904</v>
      </c>
      <c r="D466" s="24">
        <v>354120805000001</v>
      </c>
      <c r="E466" s="24">
        <v>3541208</v>
      </c>
      <c r="F466" s="24">
        <v>-51.557570200000001</v>
      </c>
      <c r="G466" s="24">
        <v>-22.008990799999999</v>
      </c>
      <c r="H466" s="24">
        <v>446.222148</v>
      </c>
      <c r="I466" s="23" t="s">
        <v>4338</v>
      </c>
    </row>
    <row r="467" spans="1:9">
      <c r="A467" s="25" t="s">
        <v>4339</v>
      </c>
      <c r="B467" s="25" t="s">
        <v>3495</v>
      </c>
      <c r="C467" s="26">
        <v>16908</v>
      </c>
      <c r="D467" s="26">
        <v>354130705000001</v>
      </c>
      <c r="E467" s="26">
        <v>3541307</v>
      </c>
      <c r="F467" s="26">
        <v>-52.115275799999999</v>
      </c>
      <c r="G467" s="26">
        <v>-21.768782000000002</v>
      </c>
      <c r="H467" s="26">
        <v>306.17832099999998</v>
      </c>
      <c r="I467" s="25" t="s">
        <v>4340</v>
      </c>
    </row>
    <row r="468" spans="1:9">
      <c r="A468" s="23" t="s">
        <v>4341</v>
      </c>
      <c r="B468" s="23" t="s">
        <v>3495</v>
      </c>
      <c r="C468" s="24">
        <v>16911</v>
      </c>
      <c r="D468" s="24">
        <v>354140605000001</v>
      </c>
      <c r="E468" s="24">
        <v>3541406</v>
      </c>
      <c r="F468" s="24">
        <v>-51.386765599999997</v>
      </c>
      <c r="G468" s="24">
        <v>-22.122743499999999</v>
      </c>
      <c r="H468" s="24">
        <v>478.61516499999999</v>
      </c>
      <c r="I468" s="23" t="s">
        <v>4342</v>
      </c>
    </row>
    <row r="469" spans="1:9">
      <c r="A469" s="25" t="s">
        <v>4343</v>
      </c>
      <c r="B469" s="25" t="s">
        <v>3495</v>
      </c>
      <c r="C469" s="26">
        <v>16917</v>
      </c>
      <c r="D469" s="26">
        <v>354150505000001</v>
      </c>
      <c r="E469" s="26">
        <v>3541505</v>
      </c>
      <c r="F469" s="26">
        <v>-51.840258800000001</v>
      </c>
      <c r="G469" s="26">
        <v>-21.875939500000001</v>
      </c>
      <c r="H469" s="26">
        <v>419.896501</v>
      </c>
      <c r="I469" s="25" t="s">
        <v>4344</v>
      </c>
    </row>
    <row r="470" spans="1:9">
      <c r="A470" s="23" t="s">
        <v>4345</v>
      </c>
      <c r="B470" s="23" t="s">
        <v>3511</v>
      </c>
      <c r="C470" s="24">
        <v>16918</v>
      </c>
      <c r="D470" s="24">
        <v>354160405000001</v>
      </c>
      <c r="E470" s="24">
        <v>3541604</v>
      </c>
      <c r="F470" s="24">
        <v>-49.8577352</v>
      </c>
      <c r="G470" s="24">
        <v>-21.538867499999999</v>
      </c>
      <c r="H470" s="24">
        <v>431.25679100000002</v>
      </c>
      <c r="I470" s="23" t="s">
        <v>4346</v>
      </c>
    </row>
    <row r="471" spans="1:9">
      <c r="A471" s="25" t="s">
        <v>4347</v>
      </c>
      <c r="B471" s="25" t="s">
        <v>3508</v>
      </c>
      <c r="C471" s="26">
        <v>16920</v>
      </c>
      <c r="D471" s="26">
        <v>354165305000001</v>
      </c>
      <c r="E471" s="26">
        <v>3541653</v>
      </c>
      <c r="F471" s="26">
        <v>-48.0526853</v>
      </c>
      <c r="G471" s="26">
        <v>-23.301575</v>
      </c>
      <c r="H471" s="26">
        <v>619.44831199999999</v>
      </c>
      <c r="I471" s="25" t="s">
        <v>4348</v>
      </c>
    </row>
    <row r="472" spans="1:9">
      <c r="A472" s="23" t="s">
        <v>4349</v>
      </c>
      <c r="B472" s="23" t="s">
        <v>3532</v>
      </c>
      <c r="C472" s="24">
        <v>16922</v>
      </c>
      <c r="D472" s="24">
        <v>354170305000001</v>
      </c>
      <c r="E472" s="24">
        <v>3541703</v>
      </c>
      <c r="F472" s="24">
        <v>-50.697947399999997</v>
      </c>
      <c r="G472" s="24">
        <v>-22.249404800000001</v>
      </c>
      <c r="H472" s="24">
        <v>548.62896000000001</v>
      </c>
      <c r="I472" s="23" t="s">
        <v>4350</v>
      </c>
    </row>
    <row r="473" spans="1:9">
      <c r="A473" s="25" t="s">
        <v>4351</v>
      </c>
      <c r="B473" s="25" t="s">
        <v>3532</v>
      </c>
      <c r="C473" s="26">
        <v>16924</v>
      </c>
      <c r="D473" s="26">
        <v>354180205000001</v>
      </c>
      <c r="E473" s="26">
        <v>3541802</v>
      </c>
      <c r="F473" s="26">
        <v>-50.240928500000003</v>
      </c>
      <c r="G473" s="26">
        <v>-21.799094400000001</v>
      </c>
      <c r="H473" s="26">
        <v>433.32870600000001</v>
      </c>
      <c r="I473" s="25" t="s">
        <v>4352</v>
      </c>
    </row>
    <row r="474" spans="1:9">
      <c r="A474" s="23" t="s">
        <v>4353</v>
      </c>
      <c r="B474" s="23" t="s">
        <v>3555</v>
      </c>
      <c r="C474" s="24">
        <v>16925</v>
      </c>
      <c r="D474" s="24">
        <v>354190105000001</v>
      </c>
      <c r="E474" s="24">
        <v>3541901</v>
      </c>
      <c r="F474" s="24">
        <v>-44.778477299999999</v>
      </c>
      <c r="G474" s="24">
        <v>-22.5418445</v>
      </c>
      <c r="H474" s="24">
        <v>481.52960999999999</v>
      </c>
      <c r="I474" s="23" t="s">
        <v>4354</v>
      </c>
    </row>
    <row r="475" spans="1:9">
      <c r="A475" s="25" t="s">
        <v>4355</v>
      </c>
      <c r="B475" s="25" t="s">
        <v>3532</v>
      </c>
      <c r="C475" s="26">
        <v>16926</v>
      </c>
      <c r="D475" s="26">
        <v>354200805000001</v>
      </c>
      <c r="E475" s="26">
        <v>3542008</v>
      </c>
      <c r="F475" s="26">
        <v>-50.311595199999999</v>
      </c>
      <c r="G475" s="26">
        <v>-22.0719198</v>
      </c>
      <c r="H475" s="26">
        <v>592.44499800000006</v>
      </c>
      <c r="I475" s="25" t="s">
        <v>4356</v>
      </c>
    </row>
    <row r="476" spans="1:9">
      <c r="A476" s="23" t="s">
        <v>4357</v>
      </c>
      <c r="B476" s="23" t="s">
        <v>3501</v>
      </c>
      <c r="C476" s="24">
        <v>16927</v>
      </c>
      <c r="D476" s="24">
        <v>354210705000001</v>
      </c>
      <c r="E476" s="24">
        <v>3542107</v>
      </c>
      <c r="F476" s="24">
        <v>-47.531160700000001</v>
      </c>
      <c r="G476" s="24">
        <v>-23.0115564</v>
      </c>
      <c r="H476" s="24">
        <v>537.59462499999995</v>
      </c>
      <c r="I476" s="23" t="s">
        <v>4358</v>
      </c>
    </row>
    <row r="477" spans="1:9">
      <c r="A477" s="25" t="s">
        <v>4359</v>
      </c>
      <c r="B477" s="25" t="s">
        <v>3495</v>
      </c>
      <c r="C477" s="26">
        <v>16928</v>
      </c>
      <c r="D477" s="26">
        <v>354220605000001</v>
      </c>
      <c r="E477" s="26">
        <v>3542206</v>
      </c>
      <c r="F477" s="26">
        <v>-50.890211700000002</v>
      </c>
      <c r="G477" s="26">
        <v>-22.228451</v>
      </c>
      <c r="H477" s="26">
        <v>507.51757700000002</v>
      </c>
      <c r="I477" s="25" t="s">
        <v>4360</v>
      </c>
    </row>
    <row r="478" spans="1:9">
      <c r="A478" s="23" t="s">
        <v>4361</v>
      </c>
      <c r="B478" s="23" t="s">
        <v>3555</v>
      </c>
      <c r="C478" s="24">
        <v>16932</v>
      </c>
      <c r="D478" s="24">
        <v>354230505000001</v>
      </c>
      <c r="E478" s="24">
        <v>3542305</v>
      </c>
      <c r="F478" s="24">
        <v>-45.536495600000002</v>
      </c>
      <c r="G478" s="24">
        <v>-23.272655499999999</v>
      </c>
      <c r="H478" s="24">
        <v>719.26927799999999</v>
      </c>
      <c r="I478" s="23" t="s">
        <v>4362</v>
      </c>
    </row>
    <row r="479" spans="1:9">
      <c r="A479" s="25" t="s">
        <v>4363</v>
      </c>
      <c r="B479" s="25" t="s">
        <v>3495</v>
      </c>
      <c r="C479" s="26">
        <v>16933</v>
      </c>
      <c r="D479" s="26">
        <v>354240405000001</v>
      </c>
      <c r="E479" s="26">
        <v>3542404</v>
      </c>
      <c r="F479" s="26">
        <v>-51.303148999999998</v>
      </c>
      <c r="G479" s="26">
        <v>-22.220234099999999</v>
      </c>
      <c r="H479" s="26">
        <v>504.90724899999998</v>
      </c>
      <c r="I479" s="25" t="s">
        <v>4364</v>
      </c>
    </row>
    <row r="480" spans="1:9">
      <c r="A480" s="23" t="s">
        <v>4365</v>
      </c>
      <c r="B480" s="23" t="s">
        <v>3511</v>
      </c>
      <c r="C480" s="24">
        <v>16943</v>
      </c>
      <c r="D480" s="24">
        <v>354250305000001</v>
      </c>
      <c r="E480" s="24">
        <v>3542503</v>
      </c>
      <c r="F480" s="24">
        <v>-49.229797699999999</v>
      </c>
      <c r="G480" s="24">
        <v>-21.886760899999999</v>
      </c>
      <c r="H480" s="24">
        <v>401.62601999999998</v>
      </c>
      <c r="I480" s="23" t="s">
        <v>4366</v>
      </c>
    </row>
    <row r="481" spans="1:9">
      <c r="A481" s="25" t="s">
        <v>3406</v>
      </c>
      <c r="B481" s="25" t="s">
        <v>3618</v>
      </c>
      <c r="C481" s="26">
        <v>16945</v>
      </c>
      <c r="D481" s="26">
        <v>354260205000001</v>
      </c>
      <c r="E481" s="26">
        <v>3542602</v>
      </c>
      <c r="F481" s="26">
        <v>-47.841054800000002</v>
      </c>
      <c r="G481" s="26">
        <v>-24.4942514</v>
      </c>
      <c r="H481" s="26">
        <v>19.002613</v>
      </c>
      <c r="I481" s="25" t="s">
        <v>4367</v>
      </c>
    </row>
    <row r="482" spans="1:9">
      <c r="A482" s="23" t="s">
        <v>4368</v>
      </c>
      <c r="B482" s="23" t="s">
        <v>3566</v>
      </c>
      <c r="C482" s="24">
        <v>16947</v>
      </c>
      <c r="D482" s="24">
        <v>354270105000001</v>
      </c>
      <c r="E482" s="24">
        <v>3542701</v>
      </c>
      <c r="F482" s="24">
        <v>-47.483090199999999</v>
      </c>
      <c r="G482" s="24">
        <v>-20.6038028</v>
      </c>
      <c r="H482" s="24">
        <v>910.98194799999999</v>
      </c>
      <c r="I482" s="23" t="s">
        <v>4369</v>
      </c>
    </row>
    <row r="483" spans="1:9">
      <c r="A483" s="25" t="s">
        <v>4370</v>
      </c>
      <c r="B483" s="25" t="s">
        <v>3549</v>
      </c>
      <c r="C483" s="26">
        <v>16948</v>
      </c>
      <c r="D483" s="26">
        <v>354280005000001</v>
      </c>
      <c r="E483" s="26">
        <v>3542800</v>
      </c>
      <c r="F483" s="26">
        <v>-49.008302</v>
      </c>
      <c r="G483" s="26">
        <v>-24.657489500000001</v>
      </c>
      <c r="H483" s="26">
        <v>177.22798499999999</v>
      </c>
      <c r="I483" s="25" t="s">
        <v>4371</v>
      </c>
    </row>
    <row r="484" spans="1:9">
      <c r="A484" s="23" t="s">
        <v>4372</v>
      </c>
      <c r="B484" s="23" t="s">
        <v>3538</v>
      </c>
      <c r="C484" s="24">
        <v>16950</v>
      </c>
      <c r="D484" s="24">
        <v>354290905000001</v>
      </c>
      <c r="E484" s="24">
        <v>3542909</v>
      </c>
      <c r="F484" s="24">
        <v>-48.177705799999998</v>
      </c>
      <c r="G484" s="24">
        <v>-22.064934699999998</v>
      </c>
      <c r="H484" s="24">
        <v>563.33300499999996</v>
      </c>
      <c r="I484" s="23" t="s">
        <v>4373</v>
      </c>
    </row>
    <row r="485" spans="1:9">
      <c r="A485" s="25" t="s">
        <v>4374</v>
      </c>
      <c r="B485" s="25" t="s">
        <v>3549</v>
      </c>
      <c r="C485" s="26">
        <v>16952</v>
      </c>
      <c r="D485" s="26">
        <v>354300605000001</v>
      </c>
      <c r="E485" s="26">
        <v>3543006</v>
      </c>
      <c r="F485" s="26">
        <v>-48.765477500000003</v>
      </c>
      <c r="G485" s="26">
        <v>-24.2202685</v>
      </c>
      <c r="H485" s="26">
        <v>865.95305199999996</v>
      </c>
      <c r="I485" s="25" t="s">
        <v>4375</v>
      </c>
    </row>
    <row r="486" spans="1:9">
      <c r="A486" s="23" t="s">
        <v>4376</v>
      </c>
      <c r="B486" s="23" t="s">
        <v>3566</v>
      </c>
      <c r="C486" s="24">
        <v>16955</v>
      </c>
      <c r="D486" s="24">
        <v>354310505000001</v>
      </c>
      <c r="E486" s="24">
        <v>3543105</v>
      </c>
      <c r="F486" s="24">
        <v>-47.590705100000001</v>
      </c>
      <c r="G486" s="24">
        <v>-20.4606602</v>
      </c>
      <c r="H486" s="24">
        <v>866.30719699999997</v>
      </c>
      <c r="I486" s="23" t="s">
        <v>4377</v>
      </c>
    </row>
    <row r="487" spans="1:9">
      <c r="A487" s="25" t="s">
        <v>4378</v>
      </c>
      <c r="B487" s="25" t="s">
        <v>3532</v>
      </c>
      <c r="C487" s="26">
        <v>16956</v>
      </c>
      <c r="D487" s="26">
        <v>354320405000001</v>
      </c>
      <c r="E487" s="26">
        <v>3543204</v>
      </c>
      <c r="F487" s="26">
        <v>-49.934167799999997</v>
      </c>
      <c r="G487" s="26">
        <v>-22.7857348</v>
      </c>
      <c r="H487" s="26">
        <v>481.35211299999997</v>
      </c>
      <c r="I487" s="25" t="s">
        <v>4379</v>
      </c>
    </row>
    <row r="488" spans="1:9">
      <c r="A488" s="23" t="s">
        <v>4380</v>
      </c>
      <c r="B488" s="23" t="s">
        <v>3495</v>
      </c>
      <c r="C488" s="24">
        <v>16957</v>
      </c>
      <c r="D488" s="24">
        <v>354323805000001</v>
      </c>
      <c r="E488" s="24">
        <v>3543238</v>
      </c>
      <c r="F488" s="24">
        <v>-51.600634499999998</v>
      </c>
      <c r="G488" s="24">
        <v>-21.8385</v>
      </c>
      <c r="H488" s="24">
        <v>387.12235700000002</v>
      </c>
      <c r="I488" s="23" t="s">
        <v>4381</v>
      </c>
    </row>
    <row r="489" spans="1:9">
      <c r="A489" s="25" t="s">
        <v>2435</v>
      </c>
      <c r="B489" s="25" t="s">
        <v>3549</v>
      </c>
      <c r="C489" s="26">
        <v>16958</v>
      </c>
      <c r="D489" s="26">
        <v>354325305000001</v>
      </c>
      <c r="E489" s="26">
        <v>3543253</v>
      </c>
      <c r="F489" s="26">
        <v>-48.367071199999998</v>
      </c>
      <c r="G489" s="26">
        <v>-24.101200299999999</v>
      </c>
      <c r="H489" s="26">
        <v>680.982846</v>
      </c>
      <c r="I489" s="25" t="s">
        <v>4382</v>
      </c>
    </row>
    <row r="490" spans="1:9">
      <c r="A490" s="23" t="s">
        <v>4383</v>
      </c>
      <c r="B490" s="23" t="s">
        <v>3585</v>
      </c>
      <c r="C490" s="24">
        <v>16959</v>
      </c>
      <c r="D490" s="24">
        <v>354330305000001</v>
      </c>
      <c r="E490" s="24">
        <v>3543303</v>
      </c>
      <c r="F490" s="24">
        <v>-46.415344400000002</v>
      </c>
      <c r="G490" s="24">
        <v>-23.707422999999999</v>
      </c>
      <c r="H490" s="24">
        <v>757.07632599999999</v>
      </c>
      <c r="I490" s="23" t="s">
        <v>4384</v>
      </c>
    </row>
    <row r="491" spans="1:9">
      <c r="A491" s="25" t="s">
        <v>4385</v>
      </c>
      <c r="B491" s="25" t="s">
        <v>3520</v>
      </c>
      <c r="C491" s="26">
        <v>16962</v>
      </c>
      <c r="D491" s="26">
        <v>354340205000001</v>
      </c>
      <c r="E491" s="26">
        <v>3543402</v>
      </c>
      <c r="F491" s="26">
        <v>-47.805475899999998</v>
      </c>
      <c r="G491" s="26">
        <v>-21.184834500000001</v>
      </c>
      <c r="H491" s="26">
        <v>569.83060799999998</v>
      </c>
      <c r="I491" s="25" t="s">
        <v>4386</v>
      </c>
    </row>
    <row r="492" spans="1:9">
      <c r="A492" s="23" t="s">
        <v>4387</v>
      </c>
      <c r="B492" s="23" t="s">
        <v>3566</v>
      </c>
      <c r="C492" s="24">
        <v>16969</v>
      </c>
      <c r="D492" s="24">
        <v>354360005000001</v>
      </c>
      <c r="E492" s="24">
        <v>3543600</v>
      </c>
      <c r="F492" s="24">
        <v>-47.429198900000003</v>
      </c>
      <c r="G492" s="24">
        <v>-20.082932499999998</v>
      </c>
      <c r="H492" s="24">
        <v>611.52208199999995</v>
      </c>
      <c r="I492" s="23" t="s">
        <v>4388</v>
      </c>
    </row>
    <row r="493" spans="1:9">
      <c r="A493" s="25" t="s">
        <v>4389</v>
      </c>
      <c r="B493" s="25" t="s">
        <v>3538</v>
      </c>
      <c r="C493" s="26">
        <v>16973</v>
      </c>
      <c r="D493" s="26">
        <v>354370905000001</v>
      </c>
      <c r="E493" s="26">
        <v>3543709</v>
      </c>
      <c r="F493" s="26">
        <v>-48.072330100000002</v>
      </c>
      <c r="G493" s="26">
        <v>-21.5891895</v>
      </c>
      <c r="H493" s="26">
        <v>537.58763799999997</v>
      </c>
      <c r="I493" s="25" t="s">
        <v>4390</v>
      </c>
    </row>
    <row r="494" spans="1:9">
      <c r="A494" s="23" t="s">
        <v>4391</v>
      </c>
      <c r="B494" s="23" t="s">
        <v>3532</v>
      </c>
      <c r="C494" s="24">
        <v>16974</v>
      </c>
      <c r="D494" s="24">
        <v>354380805000001</v>
      </c>
      <c r="E494" s="24">
        <v>3543808</v>
      </c>
      <c r="F494" s="24">
        <v>-50.724838300000002</v>
      </c>
      <c r="G494" s="24">
        <v>-21.727891</v>
      </c>
      <c r="H494" s="24">
        <v>441.08302800000001</v>
      </c>
      <c r="I494" s="23" t="s">
        <v>4392</v>
      </c>
    </row>
    <row r="495" spans="1:9">
      <c r="A495" s="25" t="s">
        <v>4393</v>
      </c>
      <c r="B495" s="25" t="s">
        <v>3501</v>
      </c>
      <c r="C495" s="26">
        <v>16976</v>
      </c>
      <c r="D495" s="26">
        <v>354390705000001</v>
      </c>
      <c r="E495" s="26">
        <v>3543907</v>
      </c>
      <c r="F495" s="26">
        <v>-47.563533200000002</v>
      </c>
      <c r="G495" s="26">
        <v>-22.412511500000001</v>
      </c>
      <c r="H495" s="26">
        <v>618.99365499999999</v>
      </c>
      <c r="I495" s="25" t="s">
        <v>4394</v>
      </c>
    </row>
    <row r="496" spans="1:9">
      <c r="A496" s="23" t="s">
        <v>4395</v>
      </c>
      <c r="B496" s="23" t="s">
        <v>3501</v>
      </c>
      <c r="C496" s="24">
        <v>16981</v>
      </c>
      <c r="D496" s="24">
        <v>354400405000001</v>
      </c>
      <c r="E496" s="24">
        <v>3544004</v>
      </c>
      <c r="F496" s="24">
        <v>-47.604484900000003</v>
      </c>
      <c r="G496" s="24">
        <v>-22.842860699999999</v>
      </c>
      <c r="H496" s="24">
        <v>627.719112</v>
      </c>
      <c r="I496" s="23" t="s">
        <v>4396</v>
      </c>
    </row>
    <row r="497" spans="1:9">
      <c r="A497" s="25" t="s">
        <v>4397</v>
      </c>
      <c r="B497" s="25" t="s">
        <v>3585</v>
      </c>
      <c r="C497" s="26">
        <v>16982</v>
      </c>
      <c r="D497" s="26">
        <v>354410305000001</v>
      </c>
      <c r="E497" s="26">
        <v>3544103</v>
      </c>
      <c r="F497" s="26">
        <v>-46.393692700000003</v>
      </c>
      <c r="G497" s="26">
        <v>-23.744515</v>
      </c>
      <c r="H497" s="26">
        <v>762.981314</v>
      </c>
      <c r="I497" s="25" t="s">
        <v>4398</v>
      </c>
    </row>
    <row r="498" spans="1:9">
      <c r="A498" s="23" t="s">
        <v>4399</v>
      </c>
      <c r="B498" s="23" t="s">
        <v>3498</v>
      </c>
      <c r="C498" s="24">
        <v>16983</v>
      </c>
      <c r="D498" s="24">
        <v>354420205000001</v>
      </c>
      <c r="E498" s="24">
        <v>3544202</v>
      </c>
      <c r="F498" s="24">
        <v>-49.681159100000002</v>
      </c>
      <c r="G498" s="24">
        <v>-19.977734300000002</v>
      </c>
      <c r="H498" s="24">
        <v>439.56064500000002</v>
      </c>
      <c r="I498" s="23" t="s">
        <v>4400</v>
      </c>
    </row>
    <row r="499" spans="1:9">
      <c r="A499" s="25" t="s">
        <v>4401</v>
      </c>
      <c r="B499" s="25" t="s">
        <v>3549</v>
      </c>
      <c r="C499" s="26">
        <v>16968</v>
      </c>
      <c r="D499" s="26">
        <v>354350105000001</v>
      </c>
      <c r="E499" s="26">
        <v>3543501</v>
      </c>
      <c r="F499" s="26">
        <v>-49.436696699999999</v>
      </c>
      <c r="G499" s="26">
        <v>-23.831334999999999</v>
      </c>
      <c r="H499" s="26">
        <v>564.76986799999997</v>
      </c>
      <c r="I499" s="25" t="s">
        <v>4402</v>
      </c>
    </row>
    <row r="500" spans="1:9">
      <c r="A500" s="23" t="s">
        <v>1572</v>
      </c>
      <c r="B500" s="23" t="s">
        <v>3495</v>
      </c>
      <c r="C500" s="24">
        <v>16985</v>
      </c>
      <c r="D500" s="24">
        <v>354425105000001</v>
      </c>
      <c r="E500" s="24">
        <v>3544251</v>
      </c>
      <c r="F500" s="24">
        <v>-53.058654500000003</v>
      </c>
      <c r="G500" s="24">
        <v>-22.581175500000001</v>
      </c>
      <c r="H500" s="24">
        <v>280.69404700000001</v>
      </c>
      <c r="I500" s="23" t="s">
        <v>4403</v>
      </c>
    </row>
    <row r="501" spans="1:9">
      <c r="A501" s="25" t="s">
        <v>4404</v>
      </c>
      <c r="B501" s="25" t="s">
        <v>3555</v>
      </c>
      <c r="C501" s="26">
        <v>16988</v>
      </c>
      <c r="D501" s="26">
        <v>354430105000001</v>
      </c>
      <c r="E501" s="26">
        <v>3544301</v>
      </c>
      <c r="F501" s="26">
        <v>-45.3093778</v>
      </c>
      <c r="G501" s="26">
        <v>-22.896818499999998</v>
      </c>
      <c r="H501" s="26">
        <v>547.20737899999995</v>
      </c>
      <c r="I501" s="25" t="s">
        <v>4405</v>
      </c>
    </row>
    <row r="502" spans="1:9">
      <c r="A502" s="23" t="s">
        <v>4406</v>
      </c>
      <c r="B502" s="23" t="s">
        <v>3523</v>
      </c>
      <c r="C502" s="24">
        <v>16989</v>
      </c>
      <c r="D502" s="24">
        <v>354440005000001</v>
      </c>
      <c r="E502" s="24">
        <v>3544400</v>
      </c>
      <c r="F502" s="24">
        <v>-50.726908000000002</v>
      </c>
      <c r="G502" s="24">
        <v>-21.300523999999999</v>
      </c>
      <c r="H502" s="24">
        <v>427.03193800000003</v>
      </c>
      <c r="I502" s="23" t="s">
        <v>4407</v>
      </c>
    </row>
    <row r="503" spans="1:9">
      <c r="A503" s="25" t="s">
        <v>469</v>
      </c>
      <c r="B503" s="25" t="s">
        <v>3498</v>
      </c>
      <c r="C503" s="26">
        <v>16991</v>
      </c>
      <c r="D503" s="26">
        <v>354450905000001</v>
      </c>
      <c r="E503" s="26">
        <v>3544509</v>
      </c>
      <c r="F503" s="26">
        <v>-50.9974846</v>
      </c>
      <c r="G503" s="26">
        <v>-20.171774500000001</v>
      </c>
      <c r="H503" s="26">
        <v>343.14790499999998</v>
      </c>
      <c r="I503" s="25" t="s">
        <v>4408</v>
      </c>
    </row>
    <row r="504" spans="1:9">
      <c r="A504" s="23" t="s">
        <v>4409</v>
      </c>
      <c r="B504" s="23" t="s">
        <v>3511</v>
      </c>
      <c r="C504" s="24">
        <v>17006</v>
      </c>
      <c r="D504" s="24">
        <v>354460805000001</v>
      </c>
      <c r="E504" s="24">
        <v>3544608</v>
      </c>
      <c r="F504" s="24">
        <v>-49.580818600000001</v>
      </c>
      <c r="G504" s="24">
        <v>-21.460213799999998</v>
      </c>
      <c r="H504" s="24">
        <v>400.85286000000002</v>
      </c>
      <c r="I504" s="23" t="s">
        <v>4410</v>
      </c>
    </row>
    <row r="505" spans="1:9">
      <c r="A505" s="25" t="s">
        <v>4411</v>
      </c>
      <c r="B505" s="25" t="s">
        <v>3495</v>
      </c>
      <c r="C505" s="26">
        <v>17008</v>
      </c>
      <c r="D505" s="26">
        <v>354470705000001</v>
      </c>
      <c r="E505" s="26">
        <v>3544707</v>
      </c>
      <c r="F505" s="26">
        <v>-50.957154699999997</v>
      </c>
      <c r="G505" s="26">
        <v>-21.881138700000001</v>
      </c>
      <c r="H505" s="26">
        <v>422.375293</v>
      </c>
      <c r="I505" s="25" t="s">
        <v>4412</v>
      </c>
    </row>
    <row r="506" spans="1:9">
      <c r="A506" s="23" t="s">
        <v>2812</v>
      </c>
      <c r="B506" s="23" t="s">
        <v>3498</v>
      </c>
      <c r="C506" s="24">
        <v>17009</v>
      </c>
      <c r="D506" s="24">
        <v>354480605000001</v>
      </c>
      <c r="E506" s="24">
        <v>3544806</v>
      </c>
      <c r="F506" s="24">
        <v>-49.498768699999999</v>
      </c>
      <c r="G506" s="24">
        <v>-21.344453399999999</v>
      </c>
      <c r="H506" s="24">
        <v>444.49292700000001</v>
      </c>
      <c r="I506" s="23" t="s">
        <v>4413</v>
      </c>
    </row>
    <row r="507" spans="1:9">
      <c r="A507" s="25" t="s">
        <v>4414</v>
      </c>
      <c r="B507" s="25" t="s">
        <v>3566</v>
      </c>
      <c r="C507" s="26">
        <v>17023</v>
      </c>
      <c r="D507" s="26">
        <v>354490505000001</v>
      </c>
      <c r="E507" s="26">
        <v>3544905</v>
      </c>
      <c r="F507" s="26">
        <v>-47.842349300000002</v>
      </c>
      <c r="G507" s="26">
        <v>-20.777882200000001</v>
      </c>
      <c r="H507" s="26">
        <v>716.54131199999995</v>
      </c>
      <c r="I507" s="25" t="s">
        <v>4415</v>
      </c>
    </row>
    <row r="508" spans="1:9">
      <c r="A508" s="23" t="s">
        <v>4416</v>
      </c>
      <c r="B508" s="23" t="s">
        <v>3585</v>
      </c>
      <c r="C508" s="24">
        <v>17024</v>
      </c>
      <c r="D508" s="24">
        <v>354500105000001</v>
      </c>
      <c r="E508" s="24">
        <v>3545001</v>
      </c>
      <c r="F508" s="24">
        <v>-45.847176900000001</v>
      </c>
      <c r="G508" s="24">
        <v>-23.531793</v>
      </c>
      <c r="H508" s="24">
        <v>806.35944600000005</v>
      </c>
      <c r="I508" s="23" t="s">
        <v>4417</v>
      </c>
    </row>
    <row r="509" spans="1:9">
      <c r="A509" s="25" t="s">
        <v>4418</v>
      </c>
      <c r="B509" s="25" t="s">
        <v>3495</v>
      </c>
      <c r="C509" s="26">
        <v>17027</v>
      </c>
      <c r="D509" s="26">
        <v>354510005000001</v>
      </c>
      <c r="E509" s="26">
        <v>3545100</v>
      </c>
      <c r="F509" s="26">
        <v>-50.860672000000001</v>
      </c>
      <c r="G509" s="26">
        <v>-21.6253627</v>
      </c>
      <c r="H509" s="26">
        <v>469.58034900000001</v>
      </c>
      <c r="I509" s="25" t="s">
        <v>4419</v>
      </c>
    </row>
    <row r="510" spans="1:9">
      <c r="A510" s="23" t="s">
        <v>4420</v>
      </c>
      <c r="B510" s="23" t="s">
        <v>3501</v>
      </c>
      <c r="C510" s="24">
        <v>17028</v>
      </c>
      <c r="D510" s="24">
        <v>354515905000001</v>
      </c>
      <c r="E510" s="24">
        <v>3545159</v>
      </c>
      <c r="F510" s="24">
        <v>-47.6782884</v>
      </c>
      <c r="G510" s="24">
        <v>-22.843367499999999</v>
      </c>
      <c r="H510" s="24">
        <v>599.00793699999997</v>
      </c>
      <c r="I510" s="23" t="s">
        <v>4421</v>
      </c>
    </row>
    <row r="511" spans="1:9">
      <c r="A511" s="25" t="s">
        <v>4422</v>
      </c>
      <c r="B511" s="25" t="s">
        <v>3508</v>
      </c>
      <c r="C511" s="26">
        <v>17029</v>
      </c>
      <c r="D511" s="26">
        <v>354520905000001</v>
      </c>
      <c r="E511" s="26">
        <v>3545209</v>
      </c>
      <c r="F511" s="26">
        <v>-47.292415599999998</v>
      </c>
      <c r="G511" s="26">
        <v>-23.2040738</v>
      </c>
      <c r="H511" s="26">
        <v>554.42366700000002</v>
      </c>
      <c r="I511" s="25" t="s">
        <v>4423</v>
      </c>
    </row>
    <row r="512" spans="1:9">
      <c r="A512" s="23" t="s">
        <v>325</v>
      </c>
      <c r="B512" s="23" t="s">
        <v>3508</v>
      </c>
      <c r="C512" s="24">
        <v>17030</v>
      </c>
      <c r="D512" s="24">
        <v>354530805000001</v>
      </c>
      <c r="E512" s="24">
        <v>3545308</v>
      </c>
      <c r="F512" s="24">
        <v>-47.574680100000002</v>
      </c>
      <c r="G512" s="24">
        <v>-23.6491322</v>
      </c>
      <c r="H512" s="24">
        <v>632.38720499999999</v>
      </c>
      <c r="I512" s="23" t="s">
        <v>4424</v>
      </c>
    </row>
    <row r="513" spans="1:9">
      <c r="A513" s="25" t="s">
        <v>4425</v>
      </c>
      <c r="B513" s="25" t="s">
        <v>3532</v>
      </c>
      <c r="C513" s="26">
        <v>17036</v>
      </c>
      <c r="D513" s="26">
        <v>354540705000001</v>
      </c>
      <c r="E513" s="26">
        <v>3545407</v>
      </c>
      <c r="F513" s="26">
        <v>-49.981077800000001</v>
      </c>
      <c r="G513" s="26">
        <v>-22.890507299999999</v>
      </c>
      <c r="H513" s="26">
        <v>405.760739</v>
      </c>
      <c r="I513" s="25" t="s">
        <v>4426</v>
      </c>
    </row>
    <row r="514" spans="1:9">
      <c r="A514" s="23" t="s">
        <v>4427</v>
      </c>
      <c r="B514" s="23" t="s">
        <v>3495</v>
      </c>
      <c r="C514" s="24">
        <v>17038</v>
      </c>
      <c r="D514" s="24">
        <v>354550605000001</v>
      </c>
      <c r="E514" s="24">
        <v>3545506</v>
      </c>
      <c r="F514" s="24">
        <v>-51.759951700000002</v>
      </c>
      <c r="G514" s="24">
        <v>-22.458541700000001</v>
      </c>
      <c r="H514" s="24">
        <v>374.04254700000001</v>
      </c>
      <c r="I514" s="23" t="s">
        <v>4428</v>
      </c>
    </row>
    <row r="515" spans="1:9">
      <c r="A515" s="25" t="s">
        <v>4429</v>
      </c>
      <c r="B515" s="25" t="s">
        <v>3498</v>
      </c>
      <c r="C515" s="26">
        <v>17039</v>
      </c>
      <c r="D515" s="26">
        <v>354560505000001</v>
      </c>
      <c r="E515" s="26">
        <v>3545605</v>
      </c>
      <c r="F515" s="26">
        <v>-48.805948399999998</v>
      </c>
      <c r="G515" s="26">
        <v>-21.243269999999999</v>
      </c>
      <c r="H515" s="26">
        <v>611.64257399999997</v>
      </c>
      <c r="I515" s="25" t="s">
        <v>4430</v>
      </c>
    </row>
    <row r="516" spans="1:9">
      <c r="A516" s="23" t="s">
        <v>291</v>
      </c>
      <c r="B516" s="23" t="s">
        <v>3498</v>
      </c>
      <c r="C516" s="24">
        <v>17043</v>
      </c>
      <c r="D516" s="24">
        <v>354570405000001</v>
      </c>
      <c r="E516" s="24">
        <v>3545704</v>
      </c>
      <c r="F516" s="24">
        <v>-50.730564399999999</v>
      </c>
      <c r="G516" s="24">
        <v>-20.030702600000001</v>
      </c>
      <c r="H516" s="24">
        <v>418.52105299999999</v>
      </c>
      <c r="I516" s="23" t="s">
        <v>4431</v>
      </c>
    </row>
    <row r="517" spans="1:9">
      <c r="A517" s="25" t="s">
        <v>695</v>
      </c>
      <c r="B517" s="25" t="s">
        <v>3501</v>
      </c>
      <c r="C517" s="26">
        <v>17044</v>
      </c>
      <c r="D517" s="26">
        <v>354580305000001</v>
      </c>
      <c r="E517" s="26">
        <v>3545803</v>
      </c>
      <c r="F517" s="26">
        <v>-47.413954799999999</v>
      </c>
      <c r="G517" s="26">
        <v>-22.7553935</v>
      </c>
      <c r="H517" s="26">
        <v>567.88567699999999</v>
      </c>
      <c r="I517" s="25" t="s">
        <v>4432</v>
      </c>
    </row>
    <row r="518" spans="1:9">
      <c r="A518" s="23" t="s">
        <v>4433</v>
      </c>
      <c r="B518" s="23" t="s">
        <v>3555</v>
      </c>
      <c r="C518" s="24">
        <v>17052</v>
      </c>
      <c r="D518" s="24">
        <v>354600905000001</v>
      </c>
      <c r="E518" s="24">
        <v>3546009</v>
      </c>
      <c r="F518" s="24">
        <v>-45.887648300000002</v>
      </c>
      <c r="G518" s="24">
        <v>-23.395758000000001</v>
      </c>
      <c r="H518" s="24">
        <v>630.32430199999999</v>
      </c>
      <c r="I518" s="23" t="s">
        <v>4434</v>
      </c>
    </row>
    <row r="519" spans="1:9">
      <c r="A519" s="25" t="s">
        <v>913</v>
      </c>
      <c r="B519" s="25" t="s">
        <v>3498</v>
      </c>
      <c r="C519" s="26">
        <v>17056</v>
      </c>
      <c r="D519" s="26">
        <v>354610805000001</v>
      </c>
      <c r="E519" s="26">
        <v>3546108</v>
      </c>
      <c r="F519" s="26">
        <v>-50.930221199999998</v>
      </c>
      <c r="G519" s="26">
        <v>-20.091391900000001</v>
      </c>
      <c r="H519" s="26">
        <v>387.21857399999999</v>
      </c>
      <c r="I519" s="25" t="s">
        <v>4435</v>
      </c>
    </row>
    <row r="520" spans="1:9">
      <c r="A520" s="23" t="s">
        <v>4436</v>
      </c>
      <c r="B520" s="23" t="s">
        <v>3501</v>
      </c>
      <c r="C520" s="24">
        <v>17057</v>
      </c>
      <c r="D520" s="24">
        <v>354620705000001</v>
      </c>
      <c r="E520" s="24">
        <v>3546207</v>
      </c>
      <c r="F520" s="24">
        <v>-47.457163700000002</v>
      </c>
      <c r="G520" s="24">
        <v>-22.127682</v>
      </c>
      <c r="H520" s="24">
        <v>636.16404199999999</v>
      </c>
      <c r="I520" s="23" t="s">
        <v>4437</v>
      </c>
    </row>
    <row r="521" spans="1:9">
      <c r="A521" s="25" t="s">
        <v>4438</v>
      </c>
      <c r="B521" s="25" t="s">
        <v>3520</v>
      </c>
      <c r="C521" s="26">
        <v>17058</v>
      </c>
      <c r="D521" s="26">
        <v>354625605000001</v>
      </c>
      <c r="E521" s="26">
        <v>3546256</v>
      </c>
      <c r="F521" s="26">
        <v>-47.433780599999999</v>
      </c>
      <c r="G521" s="26">
        <v>-21.2911684</v>
      </c>
      <c r="H521" s="26">
        <v>608.92385300000001</v>
      </c>
      <c r="I521" s="25" t="s">
        <v>4439</v>
      </c>
    </row>
    <row r="522" spans="1:9">
      <c r="A522" s="23" t="s">
        <v>1503</v>
      </c>
      <c r="B522" s="23" t="s">
        <v>3501</v>
      </c>
      <c r="C522" s="24">
        <v>17059</v>
      </c>
      <c r="D522" s="24">
        <v>354630605000001</v>
      </c>
      <c r="E522" s="24">
        <v>3546306</v>
      </c>
      <c r="F522" s="24">
        <v>-47.249414399999999</v>
      </c>
      <c r="G522" s="24">
        <v>-21.827567999999999</v>
      </c>
      <c r="H522" s="24">
        <v>657.94260199999997</v>
      </c>
      <c r="I522" s="23" t="s">
        <v>4440</v>
      </c>
    </row>
    <row r="523" spans="1:9">
      <c r="A523" s="25" t="s">
        <v>529</v>
      </c>
      <c r="B523" s="25" t="s">
        <v>3532</v>
      </c>
      <c r="C523" s="26">
        <v>17061</v>
      </c>
      <c r="D523" s="26">
        <v>354640505000001</v>
      </c>
      <c r="E523" s="26">
        <v>3546405</v>
      </c>
      <c r="F523" s="26">
        <v>-49.624608899999998</v>
      </c>
      <c r="G523" s="26">
        <v>-22.9057225</v>
      </c>
      <c r="H523" s="26">
        <v>456.771523</v>
      </c>
      <c r="I523" s="25" t="s">
        <v>4441</v>
      </c>
    </row>
    <row r="524" spans="1:9">
      <c r="A524" s="23" t="s">
        <v>4442</v>
      </c>
      <c r="B524" s="23" t="s">
        <v>3538</v>
      </c>
      <c r="C524" s="24">
        <v>17067</v>
      </c>
      <c r="D524" s="24">
        <v>354650405000001</v>
      </c>
      <c r="E524" s="24">
        <v>3546504</v>
      </c>
      <c r="F524" s="24">
        <v>-48.3936499</v>
      </c>
      <c r="G524" s="24">
        <v>-21.4629215</v>
      </c>
      <c r="H524" s="24">
        <v>588.85806700000001</v>
      </c>
      <c r="I524" s="23" t="s">
        <v>4443</v>
      </c>
    </row>
    <row r="525" spans="1:9">
      <c r="A525" s="25" t="s">
        <v>4444</v>
      </c>
      <c r="B525" s="25" t="s">
        <v>3498</v>
      </c>
      <c r="C525" s="26">
        <v>17069</v>
      </c>
      <c r="D525" s="26">
        <v>354660305000001</v>
      </c>
      <c r="E525" s="26">
        <v>3546603</v>
      </c>
      <c r="F525" s="26">
        <v>-50.926777399999999</v>
      </c>
      <c r="G525" s="26">
        <v>-20.211693199999999</v>
      </c>
      <c r="H525" s="26">
        <v>398.81276100000002</v>
      </c>
      <c r="I525" s="25" t="s">
        <v>4445</v>
      </c>
    </row>
    <row r="526" spans="1:9">
      <c r="A526" s="23" t="s">
        <v>4446</v>
      </c>
      <c r="B526" s="23" t="s">
        <v>3501</v>
      </c>
      <c r="C526" s="24">
        <v>17076</v>
      </c>
      <c r="D526" s="24">
        <v>354670205000001</v>
      </c>
      <c r="E526" s="24">
        <v>3546702</v>
      </c>
      <c r="F526" s="24">
        <v>-47.530708699999998</v>
      </c>
      <c r="G526" s="24">
        <v>-22.455327</v>
      </c>
      <c r="H526" s="24">
        <v>584.71581600000002</v>
      </c>
      <c r="I526" s="23" t="s">
        <v>4447</v>
      </c>
    </row>
    <row r="527" spans="1:9">
      <c r="A527" s="25" t="s">
        <v>581</v>
      </c>
      <c r="B527" s="25" t="s">
        <v>3585</v>
      </c>
      <c r="C527" s="26">
        <v>17077</v>
      </c>
      <c r="D527" s="26">
        <v>354680105000001</v>
      </c>
      <c r="E527" s="26">
        <v>3546801</v>
      </c>
      <c r="F527" s="26">
        <v>-46.227012799999997</v>
      </c>
      <c r="G527" s="26">
        <v>-23.318088500000002</v>
      </c>
      <c r="H527" s="26">
        <v>646.60742200000004</v>
      </c>
      <c r="I527" s="25" t="s">
        <v>4448</v>
      </c>
    </row>
    <row r="528" spans="1:9">
      <c r="A528" s="23" t="s">
        <v>4449</v>
      </c>
      <c r="B528" s="23" t="s">
        <v>3538</v>
      </c>
      <c r="C528" s="24">
        <v>17091</v>
      </c>
      <c r="D528" s="24">
        <v>354690005000001</v>
      </c>
      <c r="E528" s="24">
        <v>3546900</v>
      </c>
      <c r="F528" s="24">
        <v>-48.085335999999998</v>
      </c>
      <c r="G528" s="24">
        <v>-21.6865679</v>
      </c>
      <c r="H528" s="24">
        <v>714.804936</v>
      </c>
      <c r="I528" s="23" t="s">
        <v>4450</v>
      </c>
    </row>
    <row r="529" spans="1:9">
      <c r="A529" s="25" t="s">
        <v>4451</v>
      </c>
      <c r="B529" s="25" t="s">
        <v>3501</v>
      </c>
      <c r="C529" s="26">
        <v>17092</v>
      </c>
      <c r="D529" s="26">
        <v>354700705000001</v>
      </c>
      <c r="E529" s="26">
        <v>3547007</v>
      </c>
      <c r="F529" s="26">
        <v>-48.1590141</v>
      </c>
      <c r="G529" s="26">
        <v>-22.569410300000001</v>
      </c>
      <c r="H529" s="26">
        <v>512.43853300000001</v>
      </c>
      <c r="I529" s="25" t="s">
        <v>4452</v>
      </c>
    </row>
    <row r="530" spans="1:9">
      <c r="A530" s="23" t="s">
        <v>4453</v>
      </c>
      <c r="B530" s="23" t="s">
        <v>3495</v>
      </c>
      <c r="C530" s="24">
        <v>17095</v>
      </c>
      <c r="D530" s="24">
        <v>354710605000001</v>
      </c>
      <c r="E530" s="24">
        <v>3547106</v>
      </c>
      <c r="F530" s="24">
        <v>-51.758974199999997</v>
      </c>
      <c r="G530" s="24">
        <v>-21.346910699999999</v>
      </c>
      <c r="H530" s="24">
        <v>357.49049100000002</v>
      </c>
      <c r="I530" s="23" t="s">
        <v>4454</v>
      </c>
    </row>
    <row r="531" spans="1:9">
      <c r="A531" s="25" t="s">
        <v>2411</v>
      </c>
      <c r="B531" s="25" t="s">
        <v>3498</v>
      </c>
      <c r="C531" s="26">
        <v>17101</v>
      </c>
      <c r="D531" s="26">
        <v>354750205000001</v>
      </c>
      <c r="E531" s="26">
        <v>3547502</v>
      </c>
      <c r="F531" s="26">
        <v>-47.478980900000003</v>
      </c>
      <c r="G531" s="26">
        <v>-21.707144</v>
      </c>
      <c r="H531" s="26">
        <v>763.07680100000005</v>
      </c>
      <c r="I531" s="25" t="s">
        <v>4455</v>
      </c>
    </row>
    <row r="532" spans="1:9">
      <c r="A532" s="23" t="s">
        <v>702</v>
      </c>
      <c r="B532" s="23" t="s">
        <v>3538</v>
      </c>
      <c r="C532" s="24">
        <v>17099</v>
      </c>
      <c r="D532" s="24">
        <v>354740305000001</v>
      </c>
      <c r="E532" s="24">
        <v>3547403</v>
      </c>
      <c r="F532" s="24">
        <v>-50.830947399999999</v>
      </c>
      <c r="G532" s="24">
        <v>-20.1418015</v>
      </c>
      <c r="H532" s="24">
        <v>428.951819</v>
      </c>
      <c r="I532" s="23" t="s">
        <v>4456</v>
      </c>
    </row>
    <row r="533" spans="1:9">
      <c r="A533" s="25" t="s">
        <v>4457</v>
      </c>
      <c r="B533" s="25" t="s">
        <v>3520</v>
      </c>
      <c r="C533" s="26">
        <v>17104</v>
      </c>
      <c r="D533" s="26">
        <v>354760105000001</v>
      </c>
      <c r="E533" s="26">
        <v>3547601</v>
      </c>
      <c r="F533" s="26">
        <v>-47.367268899999999</v>
      </c>
      <c r="G533" s="26">
        <v>-21.485272500000001</v>
      </c>
      <c r="H533" s="26">
        <v>739.90868899999998</v>
      </c>
      <c r="I533" s="25" t="s">
        <v>4458</v>
      </c>
    </row>
    <row r="534" spans="1:9">
      <c r="A534" s="23" t="s">
        <v>102</v>
      </c>
      <c r="B534" s="23" t="s">
        <v>3498</v>
      </c>
      <c r="C534" s="24">
        <v>17107</v>
      </c>
      <c r="D534" s="24">
        <v>354765005000001</v>
      </c>
      <c r="E534" s="24">
        <v>3547650</v>
      </c>
      <c r="F534" s="24">
        <v>-50.6884619</v>
      </c>
      <c r="G534" s="24">
        <v>-20.243845199999999</v>
      </c>
      <c r="H534" s="24">
        <v>443.15183100000002</v>
      </c>
      <c r="I534" s="23" t="s">
        <v>4459</v>
      </c>
    </row>
    <row r="535" spans="1:9">
      <c r="A535" s="25" t="s">
        <v>4460</v>
      </c>
      <c r="B535" s="25" t="s">
        <v>3498</v>
      </c>
      <c r="C535" s="26">
        <v>17097</v>
      </c>
      <c r="D535" s="26">
        <v>354720505000001</v>
      </c>
      <c r="E535" s="26">
        <v>3547205</v>
      </c>
      <c r="F535" s="26">
        <v>-50.798403800000003</v>
      </c>
      <c r="G535" s="26">
        <v>-20.2526023</v>
      </c>
      <c r="H535" s="26">
        <v>426.15583400000003</v>
      </c>
      <c r="I535" s="25" t="s">
        <v>4461</v>
      </c>
    </row>
    <row r="536" spans="1:9">
      <c r="A536" s="23" t="s">
        <v>456</v>
      </c>
      <c r="B536" s="23" t="s">
        <v>3585</v>
      </c>
      <c r="C536" s="24">
        <v>17098</v>
      </c>
      <c r="D536" s="24">
        <v>354730405000001</v>
      </c>
      <c r="E536" s="24">
        <v>3547304</v>
      </c>
      <c r="F536" s="24">
        <v>-46.922092499999998</v>
      </c>
      <c r="G536" s="24">
        <v>-23.449452999999998</v>
      </c>
      <c r="H536" s="24">
        <v>769.83483799999999</v>
      </c>
      <c r="I536" s="23" t="s">
        <v>4462</v>
      </c>
    </row>
    <row r="537" spans="1:9">
      <c r="A537" s="25" t="s">
        <v>4463</v>
      </c>
      <c r="B537" s="25" t="s">
        <v>3495</v>
      </c>
      <c r="C537" s="26">
        <v>17108</v>
      </c>
      <c r="D537" s="26">
        <v>354770005000001</v>
      </c>
      <c r="E537" s="26">
        <v>3547700</v>
      </c>
      <c r="F537" s="26">
        <v>-51.649892199999996</v>
      </c>
      <c r="G537" s="26">
        <v>-21.973020999999999</v>
      </c>
      <c r="H537" s="26">
        <v>428.49614000000003</v>
      </c>
      <c r="I537" s="25" t="s">
        <v>4464</v>
      </c>
    </row>
    <row r="538" spans="1:9">
      <c r="A538" s="23" t="s">
        <v>1323</v>
      </c>
      <c r="B538" s="23" t="s">
        <v>3585</v>
      </c>
      <c r="C538" s="24">
        <v>17109</v>
      </c>
      <c r="D538" s="24">
        <v>354780905000001</v>
      </c>
      <c r="E538" s="24">
        <v>3547809</v>
      </c>
      <c r="F538" s="24">
        <v>-46.530874300000001</v>
      </c>
      <c r="G538" s="24">
        <v>-23.657509999999998</v>
      </c>
      <c r="H538" s="24">
        <v>764.09666800000002</v>
      </c>
      <c r="I538" s="23" t="s">
        <v>4465</v>
      </c>
    </row>
    <row r="539" spans="1:9">
      <c r="A539" s="25" t="s">
        <v>4466</v>
      </c>
      <c r="B539" s="25" t="s">
        <v>3520</v>
      </c>
      <c r="C539" s="26">
        <v>17112</v>
      </c>
      <c r="D539" s="26">
        <v>354790805000001</v>
      </c>
      <c r="E539" s="26">
        <v>3547908</v>
      </c>
      <c r="F539" s="26">
        <v>-47.155931000000002</v>
      </c>
      <c r="G539" s="26">
        <v>-21.089963999999998</v>
      </c>
      <c r="H539" s="26">
        <v>793.88254500000005</v>
      </c>
      <c r="I539" s="25" t="s">
        <v>4467</v>
      </c>
    </row>
    <row r="540" spans="1:9">
      <c r="A540" s="23" t="s">
        <v>4468</v>
      </c>
      <c r="B540" s="23" t="s">
        <v>3501</v>
      </c>
      <c r="C540" s="24">
        <v>17113</v>
      </c>
      <c r="D540" s="24">
        <v>354800505000001</v>
      </c>
      <c r="E540" s="24">
        <v>3548005</v>
      </c>
      <c r="F540" s="24">
        <v>-46.915909900000003</v>
      </c>
      <c r="G540" s="24">
        <v>-22.6047969</v>
      </c>
      <c r="H540" s="24">
        <v>659.86581000000001</v>
      </c>
      <c r="I540" s="23" t="s">
        <v>4469</v>
      </c>
    </row>
    <row r="541" spans="1:9">
      <c r="A541" s="25" t="s">
        <v>4470</v>
      </c>
      <c r="B541" s="25" t="s">
        <v>3523</v>
      </c>
      <c r="C541" s="26">
        <v>17117</v>
      </c>
      <c r="D541" s="26">
        <v>354805405000001</v>
      </c>
      <c r="E541" s="26">
        <v>3548054</v>
      </c>
      <c r="F541" s="26">
        <v>-50.496735100000002</v>
      </c>
      <c r="G541" s="26">
        <v>-20.932496799999999</v>
      </c>
      <c r="H541" s="26">
        <v>382.57087799999999</v>
      </c>
      <c r="I541" s="25" t="s">
        <v>4471</v>
      </c>
    </row>
    <row r="542" spans="1:9">
      <c r="A542" s="23" t="s">
        <v>4472</v>
      </c>
      <c r="B542" s="23" t="s">
        <v>3501</v>
      </c>
      <c r="C542" s="24">
        <v>17132</v>
      </c>
      <c r="D542" s="24">
        <v>354810405000001</v>
      </c>
      <c r="E542" s="24">
        <v>3548104</v>
      </c>
      <c r="F542" s="24">
        <v>-46.682306599999997</v>
      </c>
      <c r="G542" s="24">
        <v>-22.118523499999998</v>
      </c>
      <c r="H542" s="24">
        <v>834.39146300000004</v>
      </c>
      <c r="I542" s="23" t="s">
        <v>4473</v>
      </c>
    </row>
    <row r="543" spans="1:9">
      <c r="A543" s="25" t="s">
        <v>4474</v>
      </c>
      <c r="B543" s="25" t="s">
        <v>3555</v>
      </c>
      <c r="C543" s="26">
        <v>17133</v>
      </c>
      <c r="D543" s="26">
        <v>354820305000001</v>
      </c>
      <c r="E543" s="26">
        <v>3548203</v>
      </c>
      <c r="F543" s="26">
        <v>-45.6792789</v>
      </c>
      <c r="G543" s="26">
        <v>-22.8311934</v>
      </c>
      <c r="H543" s="26">
        <v>1196.6080099999999</v>
      </c>
      <c r="I543" s="25" t="s">
        <v>4475</v>
      </c>
    </row>
    <row r="544" spans="1:9">
      <c r="A544" s="23" t="s">
        <v>4476</v>
      </c>
      <c r="B544" s="23" t="s">
        <v>3495</v>
      </c>
      <c r="C544" s="24">
        <v>17135</v>
      </c>
      <c r="D544" s="24">
        <v>354830205000001</v>
      </c>
      <c r="E544" s="24">
        <v>3548302</v>
      </c>
      <c r="F544" s="24">
        <v>-51.390920999999999</v>
      </c>
      <c r="G544" s="24">
        <v>-21.846805100000001</v>
      </c>
      <c r="H544" s="24">
        <v>405.035707</v>
      </c>
      <c r="I544" s="23" t="s">
        <v>4477</v>
      </c>
    </row>
    <row r="545" spans="1:9">
      <c r="A545" s="25" t="s">
        <v>4478</v>
      </c>
      <c r="B545" s="25" t="s">
        <v>3523</v>
      </c>
      <c r="C545" s="26">
        <v>17136</v>
      </c>
      <c r="D545" s="26">
        <v>354840105000001</v>
      </c>
      <c r="E545" s="26">
        <v>3548401</v>
      </c>
      <c r="F545" s="26">
        <v>-50.504692499999997</v>
      </c>
      <c r="G545" s="26">
        <v>-21.6393117</v>
      </c>
      <c r="H545" s="26">
        <v>421.97500400000001</v>
      </c>
      <c r="I545" s="25" t="s">
        <v>4479</v>
      </c>
    </row>
    <row r="546" spans="1:9">
      <c r="A546" s="23" t="s">
        <v>4480</v>
      </c>
      <c r="B546" s="23" t="s">
        <v>3637</v>
      </c>
      <c r="C546" s="24">
        <v>17137</v>
      </c>
      <c r="D546" s="24">
        <v>354850005000001</v>
      </c>
      <c r="E546" s="24">
        <v>3548500</v>
      </c>
      <c r="F546" s="24">
        <v>-46.331370800000002</v>
      </c>
      <c r="G546" s="24">
        <v>-23.933737499999999</v>
      </c>
      <c r="H546" s="24">
        <v>16.189961</v>
      </c>
      <c r="I546" s="23" t="s">
        <v>4481</v>
      </c>
    </row>
    <row r="547" spans="1:9">
      <c r="A547" s="25" t="s">
        <v>1209</v>
      </c>
      <c r="B547" s="25" t="s">
        <v>3555</v>
      </c>
      <c r="C547" s="26">
        <v>17148</v>
      </c>
      <c r="D547" s="26">
        <v>354860905000001</v>
      </c>
      <c r="E547" s="26">
        <v>3548609</v>
      </c>
      <c r="F547" s="26">
        <v>-45.737138999999999</v>
      </c>
      <c r="G547" s="26">
        <v>-22.685286999999999</v>
      </c>
      <c r="H547" s="26">
        <v>901.06317000000001</v>
      </c>
      <c r="I547" s="25" t="s">
        <v>4482</v>
      </c>
    </row>
    <row r="548" spans="1:9">
      <c r="A548" s="23" t="s">
        <v>4483</v>
      </c>
      <c r="B548" s="23" t="s">
        <v>3585</v>
      </c>
      <c r="C548" s="24">
        <v>17150</v>
      </c>
      <c r="D548" s="24">
        <v>354870805000001</v>
      </c>
      <c r="E548" s="24">
        <v>3548708</v>
      </c>
      <c r="F548" s="24">
        <v>-46.550257199999997</v>
      </c>
      <c r="G548" s="24">
        <v>-23.710304499999999</v>
      </c>
      <c r="H548" s="24">
        <v>772.83696899999995</v>
      </c>
      <c r="I548" s="23" t="s">
        <v>4484</v>
      </c>
    </row>
    <row r="549" spans="1:9">
      <c r="A549" s="25" t="s">
        <v>3147</v>
      </c>
      <c r="B549" s="25" t="s">
        <v>3585</v>
      </c>
      <c r="C549" s="26">
        <v>17154</v>
      </c>
      <c r="D549" s="26">
        <v>354880705000001</v>
      </c>
      <c r="E549" s="26">
        <v>3548807</v>
      </c>
      <c r="F549" s="26">
        <v>-46.5715146</v>
      </c>
      <c r="G549" s="26">
        <v>-23.614705000000001</v>
      </c>
      <c r="H549" s="26">
        <v>754.99158699999998</v>
      </c>
      <c r="I549" s="25" t="s">
        <v>4485</v>
      </c>
    </row>
    <row r="550" spans="1:9">
      <c r="A550" s="23" t="s">
        <v>2159</v>
      </c>
      <c r="B550" s="23" t="s">
        <v>3538</v>
      </c>
      <c r="C550" s="24">
        <v>17155</v>
      </c>
      <c r="D550" s="24">
        <v>354890605000001</v>
      </c>
      <c r="E550" s="24">
        <v>3548906</v>
      </c>
      <c r="F550" s="24">
        <v>-47.889237700000002</v>
      </c>
      <c r="G550" s="24">
        <v>-22.015998499999998</v>
      </c>
      <c r="H550" s="24">
        <v>849.65603699999997</v>
      </c>
      <c r="I550" s="23" t="s">
        <v>4486</v>
      </c>
    </row>
    <row r="551" spans="1:9">
      <c r="A551" s="25" t="s">
        <v>4487</v>
      </c>
      <c r="B551" s="25" t="s">
        <v>3498</v>
      </c>
      <c r="C551" s="26">
        <v>17160</v>
      </c>
      <c r="D551" s="26">
        <v>354900305000001</v>
      </c>
      <c r="E551" s="26">
        <v>3549003</v>
      </c>
      <c r="F551" s="26">
        <v>-50.700097200000002</v>
      </c>
      <c r="G551" s="26">
        <v>-20.358413800000001</v>
      </c>
      <c r="H551" s="26">
        <v>401.30137999999999</v>
      </c>
      <c r="I551" s="25" t="s">
        <v>4488</v>
      </c>
    </row>
    <row r="552" spans="1:9">
      <c r="A552" s="23" t="s">
        <v>799</v>
      </c>
      <c r="B552" s="23" t="s">
        <v>3501</v>
      </c>
      <c r="C552" s="24">
        <v>17161</v>
      </c>
      <c r="D552" s="24">
        <v>354910205000001</v>
      </c>
      <c r="E552" s="24">
        <v>3549102</v>
      </c>
      <c r="F552" s="24">
        <v>-46.796350799999999</v>
      </c>
      <c r="G552" s="24">
        <v>-21.972010999999998</v>
      </c>
      <c r="H552" s="24">
        <v>766.78897300000006</v>
      </c>
      <c r="I552" s="23" t="s">
        <v>4489</v>
      </c>
    </row>
    <row r="553" spans="1:9">
      <c r="A553" s="25" t="s">
        <v>4490</v>
      </c>
      <c r="B553" s="25" t="s">
        <v>3498</v>
      </c>
      <c r="C553" s="26">
        <v>17163</v>
      </c>
      <c r="D553" s="26">
        <v>354920105000001</v>
      </c>
      <c r="E553" s="26">
        <v>3549201</v>
      </c>
      <c r="F553" s="26">
        <v>-50.380721899999998</v>
      </c>
      <c r="G553" s="26">
        <v>-20.388771699999999</v>
      </c>
      <c r="H553" s="26">
        <v>438.17087299999997</v>
      </c>
      <c r="I553" s="25" t="s">
        <v>4491</v>
      </c>
    </row>
    <row r="554" spans="1:9">
      <c r="A554" s="23" t="s">
        <v>4492</v>
      </c>
      <c r="B554" s="23" t="s">
        <v>3523</v>
      </c>
      <c r="C554" s="24">
        <v>17164</v>
      </c>
      <c r="D554" s="24">
        <v>354925005000001</v>
      </c>
      <c r="E554" s="24">
        <v>3549250</v>
      </c>
      <c r="F554" s="24">
        <v>-50.351597499999997</v>
      </c>
      <c r="G554" s="24">
        <v>-20.512615499999999</v>
      </c>
      <c r="H554" s="24">
        <v>409.68960700000002</v>
      </c>
      <c r="I554" s="23" t="s">
        <v>4493</v>
      </c>
    </row>
    <row r="555" spans="1:9">
      <c r="A555" s="25" t="s">
        <v>4494</v>
      </c>
      <c r="B555" s="25" t="s">
        <v>3495</v>
      </c>
      <c r="C555" s="26">
        <v>17165</v>
      </c>
      <c r="D555" s="26">
        <v>354930005000001</v>
      </c>
      <c r="E555" s="26">
        <v>3549300</v>
      </c>
      <c r="F555" s="26">
        <v>-51.666665199999997</v>
      </c>
      <c r="G555" s="26">
        <v>-21.268363999999998</v>
      </c>
      <c r="H555" s="26">
        <v>367.88439199999999</v>
      </c>
      <c r="I555" s="25" t="s">
        <v>4495</v>
      </c>
    </row>
    <row r="556" spans="1:9">
      <c r="A556" s="23" t="s">
        <v>4496</v>
      </c>
      <c r="B556" s="23" t="s">
        <v>3566</v>
      </c>
      <c r="C556" s="24">
        <v>17166</v>
      </c>
      <c r="D556" s="24">
        <v>354940905000001</v>
      </c>
      <c r="E556" s="24">
        <v>3549409</v>
      </c>
      <c r="F556" s="24">
        <v>-47.863268099999999</v>
      </c>
      <c r="G556" s="24">
        <v>-20.583165600000001</v>
      </c>
      <c r="H556" s="24">
        <v>630.79878199999996</v>
      </c>
      <c r="I556" s="23" t="s">
        <v>4497</v>
      </c>
    </row>
    <row r="557" spans="1:9">
      <c r="A557" s="25" t="s">
        <v>4498</v>
      </c>
      <c r="B557" s="25" t="s">
        <v>3566</v>
      </c>
      <c r="C557" s="26">
        <v>17167</v>
      </c>
      <c r="D557" s="26">
        <v>354950805000001</v>
      </c>
      <c r="E557" s="26">
        <v>3549508</v>
      </c>
      <c r="F557" s="26">
        <v>-47.640989500000003</v>
      </c>
      <c r="G557" s="26">
        <v>-20.594419500000001</v>
      </c>
      <c r="H557" s="26">
        <v>719.07448299999999</v>
      </c>
      <c r="I557" s="25" t="s">
        <v>4499</v>
      </c>
    </row>
    <row r="558" spans="1:9">
      <c r="A558" s="23" t="s">
        <v>4500</v>
      </c>
      <c r="B558" s="23" t="s">
        <v>3555</v>
      </c>
      <c r="C558" s="24">
        <v>17168</v>
      </c>
      <c r="D558" s="24">
        <v>354960705000001</v>
      </c>
      <c r="E558" s="24">
        <v>3549607</v>
      </c>
      <c r="F558" s="24">
        <v>-44.578341000000002</v>
      </c>
      <c r="G558" s="24">
        <v>-22.646489899999999</v>
      </c>
      <c r="H558" s="24">
        <v>517.39019800000005</v>
      </c>
      <c r="I558" s="23" t="s">
        <v>4501</v>
      </c>
    </row>
    <row r="559" spans="1:9">
      <c r="A559" s="25" t="s">
        <v>84</v>
      </c>
      <c r="B559" s="25" t="s">
        <v>3501</v>
      </c>
      <c r="C559" s="26">
        <v>17171</v>
      </c>
      <c r="D559" s="26">
        <v>354970605000001</v>
      </c>
      <c r="E559" s="26">
        <v>3549706</v>
      </c>
      <c r="F559" s="26">
        <v>-46.8882659</v>
      </c>
      <c r="G559" s="26">
        <v>-21.596102500000001</v>
      </c>
      <c r="H559" s="26">
        <v>718.57108200000005</v>
      </c>
      <c r="I559" s="25" t="s">
        <v>4502</v>
      </c>
    </row>
    <row r="560" spans="1:9">
      <c r="A560" s="23" t="s">
        <v>2895</v>
      </c>
      <c r="B560" s="23" t="s">
        <v>3498</v>
      </c>
      <c r="C560" s="24">
        <v>17173</v>
      </c>
      <c r="D560" s="24">
        <v>354980505000001</v>
      </c>
      <c r="E560" s="24">
        <v>3549805</v>
      </c>
      <c r="F560" s="24">
        <v>-49.381347699999999</v>
      </c>
      <c r="G560" s="24">
        <v>-20.8126365</v>
      </c>
      <c r="H560" s="24">
        <v>504.243066</v>
      </c>
      <c r="I560" s="23" t="s">
        <v>4503</v>
      </c>
    </row>
    <row r="561" spans="1:9">
      <c r="A561" s="25" t="s">
        <v>4504</v>
      </c>
      <c r="B561" s="25" t="s">
        <v>3555</v>
      </c>
      <c r="C561" s="26">
        <v>17182</v>
      </c>
      <c r="D561" s="26">
        <v>354990405000001</v>
      </c>
      <c r="E561" s="26">
        <v>3549904</v>
      </c>
      <c r="F561" s="26">
        <v>-45.884175399999997</v>
      </c>
      <c r="G561" s="26">
        <v>-23.184061499999999</v>
      </c>
      <c r="H561" s="26">
        <v>604.88468899999998</v>
      </c>
      <c r="I561" s="25" t="s">
        <v>4505</v>
      </c>
    </row>
    <row r="562" spans="1:9">
      <c r="A562" s="23" t="s">
        <v>4506</v>
      </c>
      <c r="B562" s="23" t="s">
        <v>3585</v>
      </c>
      <c r="C562" s="24">
        <v>17185</v>
      </c>
      <c r="D562" s="24">
        <v>354995305000001</v>
      </c>
      <c r="E562" s="24">
        <v>3549953</v>
      </c>
      <c r="F562" s="24">
        <v>-46.941749700000003</v>
      </c>
      <c r="G562" s="24">
        <v>-23.8490857</v>
      </c>
      <c r="H562" s="24">
        <v>717.411337</v>
      </c>
      <c r="I562" s="23" t="s">
        <v>4507</v>
      </c>
    </row>
    <row r="563" spans="1:9">
      <c r="A563" s="25" t="s">
        <v>1131</v>
      </c>
      <c r="B563" s="25" t="s">
        <v>3555</v>
      </c>
      <c r="C563" s="26">
        <v>17186</v>
      </c>
      <c r="D563" s="26">
        <v>355000105000001</v>
      </c>
      <c r="E563" s="26">
        <v>3550001</v>
      </c>
      <c r="F563" s="26">
        <v>-45.309544500000001</v>
      </c>
      <c r="G563" s="26">
        <v>-23.221871499999999</v>
      </c>
      <c r="H563" s="26">
        <v>761.15639399999998</v>
      </c>
      <c r="I563" s="25" t="s">
        <v>4508</v>
      </c>
    </row>
    <row r="564" spans="1:9">
      <c r="A564" s="23" t="s">
        <v>403</v>
      </c>
      <c r="B564" s="23" t="s">
        <v>3508</v>
      </c>
      <c r="C564" s="24">
        <v>17188</v>
      </c>
      <c r="D564" s="24">
        <v>355010005000001</v>
      </c>
      <c r="E564" s="24">
        <v>3550100</v>
      </c>
      <c r="F564" s="24">
        <v>-48.568763300000001</v>
      </c>
      <c r="G564" s="24">
        <v>-22.736460000000001</v>
      </c>
      <c r="H564" s="24">
        <v>733.95771000000002</v>
      </c>
      <c r="I564" s="23" t="s">
        <v>4509</v>
      </c>
    </row>
    <row r="565" spans="1:9">
      <c r="A565" s="25" t="s">
        <v>1940</v>
      </c>
      <c r="B565" s="25" t="s">
        <v>3508</v>
      </c>
      <c r="C565" s="26">
        <v>17195</v>
      </c>
      <c r="D565" s="26">
        <v>355020905000001</v>
      </c>
      <c r="E565" s="26">
        <v>3550209</v>
      </c>
      <c r="F565" s="26">
        <v>-47.995589099999997</v>
      </c>
      <c r="G565" s="26">
        <v>-23.879490000000001</v>
      </c>
      <c r="H565" s="26">
        <v>665.75800000000004</v>
      </c>
      <c r="I565" s="25" t="s">
        <v>4510</v>
      </c>
    </row>
    <row r="566" spans="1:9">
      <c r="A566" s="23" t="s">
        <v>1303</v>
      </c>
      <c r="B566" s="23" t="s">
        <v>3585</v>
      </c>
      <c r="C566" s="24">
        <v>17200</v>
      </c>
      <c r="D566" s="24">
        <v>355030801000001</v>
      </c>
      <c r="E566" s="24">
        <v>3550308</v>
      </c>
      <c r="F566" s="24">
        <v>-46.570383200000002</v>
      </c>
      <c r="G566" s="24">
        <v>-23.567386500000001</v>
      </c>
      <c r="H566" s="24">
        <v>783.61512700000003</v>
      </c>
      <c r="I566" s="23" t="s">
        <v>4511</v>
      </c>
    </row>
    <row r="567" spans="1:9">
      <c r="A567" s="25" t="s">
        <v>1892</v>
      </c>
      <c r="B567" s="25" t="s">
        <v>3501</v>
      </c>
      <c r="C567" s="26">
        <v>17270</v>
      </c>
      <c r="D567" s="26">
        <v>355040705000001</v>
      </c>
      <c r="E567" s="26">
        <v>3550407</v>
      </c>
      <c r="F567" s="26">
        <v>-47.914033000000003</v>
      </c>
      <c r="G567" s="26">
        <v>-22.548888000000002</v>
      </c>
      <c r="H567" s="26">
        <v>565.011977</v>
      </c>
      <c r="I567" s="25" t="s">
        <v>4512</v>
      </c>
    </row>
    <row r="568" spans="1:9">
      <c r="A568" s="23" t="s">
        <v>4513</v>
      </c>
      <c r="B568" s="23" t="s">
        <v>3532</v>
      </c>
      <c r="C568" s="24">
        <v>17274</v>
      </c>
      <c r="D568" s="24">
        <v>355050605000001</v>
      </c>
      <c r="E568" s="24">
        <v>3550506</v>
      </c>
      <c r="F568" s="24">
        <v>-49.741476200000001</v>
      </c>
      <c r="G568" s="24">
        <v>-22.751256399999999</v>
      </c>
      <c r="H568" s="24">
        <v>463.13224700000001</v>
      </c>
      <c r="I568" s="23" t="s">
        <v>4514</v>
      </c>
    </row>
    <row r="569" spans="1:9">
      <c r="A569" s="25" t="s">
        <v>4515</v>
      </c>
      <c r="B569" s="25" t="s">
        <v>3508</v>
      </c>
      <c r="C569" s="26">
        <v>17276</v>
      </c>
      <c r="D569" s="26">
        <v>355060505000001</v>
      </c>
      <c r="E569" s="26">
        <v>3550605</v>
      </c>
      <c r="F569" s="26">
        <v>-47.135423000000003</v>
      </c>
      <c r="G569" s="26">
        <v>-23.530359000000001</v>
      </c>
      <c r="H569" s="26">
        <v>778.64078300000006</v>
      </c>
      <c r="I569" s="25" t="s">
        <v>4516</v>
      </c>
    </row>
    <row r="570" spans="1:9">
      <c r="A570" s="23" t="s">
        <v>4517</v>
      </c>
      <c r="B570" s="23" t="s">
        <v>3555</v>
      </c>
      <c r="C570" s="24">
        <v>17286</v>
      </c>
      <c r="D570" s="24">
        <v>355070405000001</v>
      </c>
      <c r="E570" s="24">
        <v>3550704</v>
      </c>
      <c r="F570" s="24">
        <v>-45.402680099999998</v>
      </c>
      <c r="G570" s="24">
        <v>-23.806687700000001</v>
      </c>
      <c r="H570" s="24">
        <v>1.362498</v>
      </c>
      <c r="I570" s="23" t="s">
        <v>4518</v>
      </c>
    </row>
    <row r="571" spans="1:9">
      <c r="A571" s="25" t="s">
        <v>931</v>
      </c>
      <c r="B571" s="25" t="s">
        <v>3501</v>
      </c>
      <c r="C571" s="26">
        <v>17290</v>
      </c>
      <c r="D571" s="26">
        <v>355080305000001</v>
      </c>
      <c r="E571" s="26">
        <v>3550803</v>
      </c>
      <c r="F571" s="26">
        <v>-46.824127599999997</v>
      </c>
      <c r="G571" s="26">
        <v>-21.708420799999999</v>
      </c>
      <c r="H571" s="26">
        <v>929.72258999999997</v>
      </c>
      <c r="I571" s="25" t="s">
        <v>4519</v>
      </c>
    </row>
    <row r="572" spans="1:9">
      <c r="A572" s="23" t="s">
        <v>607</v>
      </c>
      <c r="B572" s="23" t="s">
        <v>3520</v>
      </c>
      <c r="C572" s="24">
        <v>17291</v>
      </c>
      <c r="D572" s="24">
        <v>355090205000001</v>
      </c>
      <c r="E572" s="24">
        <v>3550902</v>
      </c>
      <c r="F572" s="24">
        <v>-47.553352500000003</v>
      </c>
      <c r="G572" s="24">
        <v>-21.479723400000001</v>
      </c>
      <c r="H572" s="24">
        <v>629.97666100000004</v>
      </c>
      <c r="I572" s="23" t="s">
        <v>4520</v>
      </c>
    </row>
    <row r="573" spans="1:9">
      <c r="A573" s="25" t="s">
        <v>4521</v>
      </c>
      <c r="B573" s="25" t="s">
        <v>3637</v>
      </c>
      <c r="C573" s="26">
        <v>17292</v>
      </c>
      <c r="D573" s="26">
        <v>355100905000001</v>
      </c>
      <c r="E573" s="26">
        <v>3551009</v>
      </c>
      <c r="F573" s="26">
        <v>-46.384490800000002</v>
      </c>
      <c r="G573" s="26">
        <v>-23.967372999999998</v>
      </c>
      <c r="H573" s="26">
        <v>13.940852</v>
      </c>
      <c r="I573" s="25" t="s">
        <v>4522</v>
      </c>
    </row>
    <row r="574" spans="1:9">
      <c r="A574" s="23" t="s">
        <v>4523</v>
      </c>
      <c r="B574" s="23" t="s">
        <v>3508</v>
      </c>
      <c r="C574" s="24">
        <v>17293</v>
      </c>
      <c r="D574" s="24">
        <v>355110805000001</v>
      </c>
      <c r="E574" s="24">
        <v>3551108</v>
      </c>
      <c r="F574" s="24">
        <v>-47.827196000000001</v>
      </c>
      <c r="G574" s="24">
        <v>-23.6415066</v>
      </c>
      <c r="H574" s="24">
        <v>599.76188000000002</v>
      </c>
      <c r="I574" s="23" t="s">
        <v>4524</v>
      </c>
    </row>
    <row r="575" spans="1:9">
      <c r="A575" s="25" t="s">
        <v>4525</v>
      </c>
      <c r="B575" s="25" t="s">
        <v>3549</v>
      </c>
      <c r="C575" s="26">
        <v>17295</v>
      </c>
      <c r="D575" s="26">
        <v>355120705000001</v>
      </c>
      <c r="E575" s="26">
        <v>3551207</v>
      </c>
      <c r="F575" s="26">
        <v>-49.483128600000001</v>
      </c>
      <c r="G575" s="26">
        <v>-23.274495900000002</v>
      </c>
      <c r="H575" s="26">
        <v>735.03280500000005</v>
      </c>
      <c r="I575" s="25" t="s">
        <v>4526</v>
      </c>
    </row>
    <row r="576" spans="1:9">
      <c r="A576" s="23" t="s">
        <v>4527</v>
      </c>
      <c r="B576" s="23" t="s">
        <v>3498</v>
      </c>
      <c r="C576" s="24">
        <v>17296</v>
      </c>
      <c r="D576" s="24">
        <v>355130605000001</v>
      </c>
      <c r="E576" s="24">
        <v>3551306</v>
      </c>
      <c r="F576" s="24">
        <v>-49.920922500000003</v>
      </c>
      <c r="G576" s="24">
        <v>-20.6568805</v>
      </c>
      <c r="H576" s="24">
        <v>455.91503699999998</v>
      </c>
      <c r="I576" s="23" t="s">
        <v>4528</v>
      </c>
    </row>
    <row r="577" spans="1:9">
      <c r="A577" s="25" t="s">
        <v>4529</v>
      </c>
      <c r="B577" s="25" t="s">
        <v>3520</v>
      </c>
      <c r="C577" s="26">
        <v>17297</v>
      </c>
      <c r="D577" s="26">
        <v>355140505000001</v>
      </c>
      <c r="E577" s="26">
        <v>3551405</v>
      </c>
      <c r="F577" s="26">
        <v>-47.563249900000002</v>
      </c>
      <c r="G577" s="26">
        <v>-21.3102877</v>
      </c>
      <c r="H577" s="26">
        <v>596.70206499999995</v>
      </c>
      <c r="I577" s="25" t="s">
        <v>4530</v>
      </c>
    </row>
    <row r="578" spans="1:9">
      <c r="A578" s="23" t="s">
        <v>2165</v>
      </c>
      <c r="B578" s="23" t="s">
        <v>3501</v>
      </c>
      <c r="C578" s="24">
        <v>17300</v>
      </c>
      <c r="D578" s="24">
        <v>355160305000001</v>
      </c>
      <c r="E578" s="24">
        <v>3551603</v>
      </c>
      <c r="F578" s="24">
        <v>-46.701791399999998</v>
      </c>
      <c r="G578" s="24">
        <v>-22.612693499999999</v>
      </c>
      <c r="H578" s="24">
        <v>941.40979900000002</v>
      </c>
      <c r="I578" s="23" t="s">
        <v>4531</v>
      </c>
    </row>
    <row r="579" spans="1:9">
      <c r="A579" s="25" t="s">
        <v>4532</v>
      </c>
      <c r="B579" s="25" t="s">
        <v>3520</v>
      </c>
      <c r="C579" s="26">
        <v>17299</v>
      </c>
      <c r="D579" s="26">
        <v>355150405000001</v>
      </c>
      <c r="E579" s="26">
        <v>3551504</v>
      </c>
      <c r="F579" s="26">
        <v>-47.597762099999997</v>
      </c>
      <c r="G579" s="26">
        <v>-21.209478000000001</v>
      </c>
      <c r="H579" s="26">
        <v>560.75766899999996</v>
      </c>
      <c r="I579" s="25" t="s">
        <v>4533</v>
      </c>
    </row>
    <row r="580" spans="1:9">
      <c r="A580" s="23" t="s">
        <v>2224</v>
      </c>
      <c r="B580" s="23" t="s">
        <v>3520</v>
      </c>
      <c r="C580" s="24">
        <v>17303</v>
      </c>
      <c r="D580" s="24">
        <v>355170205000001</v>
      </c>
      <c r="E580" s="24">
        <v>3551702</v>
      </c>
      <c r="F580" s="24">
        <v>-47.9911484</v>
      </c>
      <c r="G580" s="24">
        <v>-21.137021499999999</v>
      </c>
      <c r="H580" s="24">
        <v>545.97698800000001</v>
      </c>
      <c r="I580" s="23" t="s">
        <v>4534</v>
      </c>
    </row>
    <row r="581" spans="1:9">
      <c r="A581" s="25" t="s">
        <v>4535</v>
      </c>
      <c r="B581" s="25" t="s">
        <v>3618</v>
      </c>
      <c r="C581" s="26">
        <v>17309</v>
      </c>
      <c r="D581" s="26">
        <v>355180105000001</v>
      </c>
      <c r="E581" s="26">
        <v>3551801</v>
      </c>
      <c r="F581" s="26">
        <v>-47.927216999999999</v>
      </c>
      <c r="G581" s="26">
        <v>-24.388603799999999</v>
      </c>
      <c r="H581" s="26">
        <v>30.719439999999999</v>
      </c>
      <c r="I581" s="25" t="s">
        <v>4536</v>
      </c>
    </row>
    <row r="582" spans="1:9">
      <c r="A582" s="23" t="s">
        <v>4537</v>
      </c>
      <c r="B582" s="23" t="s">
        <v>3518</v>
      </c>
      <c r="C582" s="24">
        <v>17311</v>
      </c>
      <c r="D582" s="24">
        <v>355190005000001</v>
      </c>
      <c r="E582" s="24">
        <v>3551900</v>
      </c>
      <c r="F582" s="24">
        <v>-48.801533999999997</v>
      </c>
      <c r="G582" s="24">
        <v>-20.809385800000001</v>
      </c>
      <c r="H582" s="24">
        <v>591.39318300000002</v>
      </c>
      <c r="I582" s="23" t="s">
        <v>4538</v>
      </c>
    </row>
    <row r="583" spans="1:9">
      <c r="A583" s="25" t="s">
        <v>4539</v>
      </c>
      <c r="B583" s="25" t="s">
        <v>3555</v>
      </c>
      <c r="C583" s="26">
        <v>17312</v>
      </c>
      <c r="D583" s="26">
        <v>355200705000001</v>
      </c>
      <c r="E583" s="26">
        <v>3552007</v>
      </c>
      <c r="F583" s="26">
        <v>-44.848996100000001</v>
      </c>
      <c r="G583" s="26">
        <v>-22.6614243</v>
      </c>
      <c r="H583" s="26">
        <v>641.52023899999995</v>
      </c>
      <c r="I583" s="25" t="s">
        <v>4540</v>
      </c>
    </row>
    <row r="584" spans="1:9">
      <c r="A584" s="23" t="s">
        <v>4541</v>
      </c>
      <c r="B584" s="23" t="s">
        <v>3501</v>
      </c>
      <c r="C584" s="24">
        <v>17315</v>
      </c>
      <c r="D584" s="24">
        <v>355210605000001</v>
      </c>
      <c r="E584" s="24">
        <v>3552106</v>
      </c>
      <c r="F584" s="24">
        <v>-46.529211599999996</v>
      </c>
      <c r="G584" s="24">
        <v>-22.592030000000001</v>
      </c>
      <c r="H584" s="24">
        <v>764.529222</v>
      </c>
      <c r="I584" s="23" t="s">
        <v>4542</v>
      </c>
    </row>
    <row r="585" spans="1:9">
      <c r="A585" s="25" t="s">
        <v>2066</v>
      </c>
      <c r="B585" s="25" t="s">
        <v>3508</v>
      </c>
      <c r="C585" s="26">
        <v>17316</v>
      </c>
      <c r="D585" s="26">
        <v>355220505000001</v>
      </c>
      <c r="E585" s="26">
        <v>3552205</v>
      </c>
      <c r="F585" s="26">
        <v>-47.457853299999996</v>
      </c>
      <c r="G585" s="26">
        <v>-23.499323</v>
      </c>
      <c r="H585" s="26">
        <v>591.22937400000001</v>
      </c>
      <c r="I585" s="25" t="s">
        <v>4543</v>
      </c>
    </row>
    <row r="586" spans="1:9">
      <c r="A586" s="23" t="s">
        <v>425</v>
      </c>
      <c r="B586" s="23" t="s">
        <v>3523</v>
      </c>
      <c r="C586" s="24">
        <v>17317</v>
      </c>
      <c r="D586" s="24">
        <v>355230405000001</v>
      </c>
      <c r="E586" s="24">
        <v>3552304</v>
      </c>
      <c r="F586" s="24">
        <v>-50.920526600000002</v>
      </c>
      <c r="G586" s="24">
        <v>-20.692943499999998</v>
      </c>
      <c r="H586" s="24">
        <v>376.22165699999999</v>
      </c>
      <c r="I586" s="23" t="s">
        <v>4544</v>
      </c>
    </row>
    <row r="587" spans="1:9">
      <c r="A587" s="25" t="s">
        <v>4545</v>
      </c>
      <c r="B587" s="25" t="s">
        <v>3501</v>
      </c>
      <c r="C587" s="26">
        <v>17319</v>
      </c>
      <c r="D587" s="26">
        <v>355240305000001</v>
      </c>
      <c r="E587" s="26">
        <v>3552403</v>
      </c>
      <c r="F587" s="26">
        <v>-47.265802700000002</v>
      </c>
      <c r="G587" s="26">
        <v>-22.822144999999999</v>
      </c>
      <c r="H587" s="26">
        <v>570.00790900000004</v>
      </c>
      <c r="I587" s="25" t="s">
        <v>4546</v>
      </c>
    </row>
    <row r="588" spans="1:9">
      <c r="A588" s="23" t="s">
        <v>312</v>
      </c>
      <c r="B588" s="23" t="s">
        <v>3523</v>
      </c>
      <c r="C588" s="24">
        <v>17328</v>
      </c>
      <c r="D588" s="24">
        <v>355255105000001</v>
      </c>
      <c r="E588" s="24">
        <v>3552551</v>
      </c>
      <c r="F588" s="24">
        <v>-51.028222599999999</v>
      </c>
      <c r="G588" s="24">
        <v>-20.503344299999998</v>
      </c>
      <c r="H588" s="24">
        <v>353.76624299999997</v>
      </c>
      <c r="I588" s="23" t="s">
        <v>4547</v>
      </c>
    </row>
    <row r="589" spans="1:9">
      <c r="A589" s="25" t="s">
        <v>4548</v>
      </c>
      <c r="B589" s="25" t="s">
        <v>3585</v>
      </c>
      <c r="C589" s="26">
        <v>17325</v>
      </c>
      <c r="D589" s="26">
        <v>355250205000001</v>
      </c>
      <c r="E589" s="26">
        <v>3552502</v>
      </c>
      <c r="F589" s="26">
        <v>-46.307810500000002</v>
      </c>
      <c r="G589" s="26">
        <v>-23.536827500000001</v>
      </c>
      <c r="H589" s="26">
        <v>745.79481199999998</v>
      </c>
      <c r="I589" s="25" t="s">
        <v>4549</v>
      </c>
    </row>
    <row r="590" spans="1:9">
      <c r="A590" s="23" t="s">
        <v>4550</v>
      </c>
      <c r="B590" s="23" t="s">
        <v>3498</v>
      </c>
      <c r="C590" s="24">
        <v>17329</v>
      </c>
      <c r="D590" s="24">
        <v>355260105000001</v>
      </c>
      <c r="E590" s="24">
        <v>3552601</v>
      </c>
      <c r="F590" s="24">
        <v>-49.032621399999996</v>
      </c>
      <c r="G590" s="24">
        <v>-20.9576007</v>
      </c>
      <c r="H590" s="24">
        <v>518.24198000000001</v>
      </c>
      <c r="I590" s="23" t="s">
        <v>4551</v>
      </c>
    </row>
    <row r="591" spans="1:9">
      <c r="A591" s="25" t="s">
        <v>4552</v>
      </c>
      <c r="B591" s="25" t="s">
        <v>3538</v>
      </c>
      <c r="C591" s="26">
        <v>17332</v>
      </c>
      <c r="D591" s="26">
        <v>355270005000001</v>
      </c>
      <c r="E591" s="26">
        <v>3552700</v>
      </c>
      <c r="F591" s="26">
        <v>-48.686787600000002</v>
      </c>
      <c r="G591" s="26">
        <v>-21.732514500000001</v>
      </c>
      <c r="H591" s="26">
        <v>487.04240199999998</v>
      </c>
      <c r="I591" s="25" t="s">
        <v>4553</v>
      </c>
    </row>
    <row r="592" spans="1:9">
      <c r="A592" s="23" t="s">
        <v>4554</v>
      </c>
      <c r="B592" s="23" t="s">
        <v>3585</v>
      </c>
      <c r="C592" s="24">
        <v>17334</v>
      </c>
      <c r="D592" s="24">
        <v>355280905000001</v>
      </c>
      <c r="E592" s="24">
        <v>3552809</v>
      </c>
      <c r="F592" s="24">
        <v>-46.785780000000003</v>
      </c>
      <c r="G592" s="24">
        <v>-23.6233285</v>
      </c>
      <c r="H592" s="24">
        <v>803.23913100000004</v>
      </c>
      <c r="I592" s="23" t="s">
        <v>4555</v>
      </c>
    </row>
    <row r="593" spans="1:9">
      <c r="A593" s="25" t="s">
        <v>4556</v>
      </c>
      <c r="B593" s="25" t="s">
        <v>3495</v>
      </c>
      <c r="C593" s="26">
        <v>17335</v>
      </c>
      <c r="D593" s="26">
        <v>355290805000001</v>
      </c>
      <c r="E593" s="26">
        <v>3552908</v>
      </c>
      <c r="F593" s="26">
        <v>-51.284773399999999</v>
      </c>
      <c r="G593" s="26">
        <v>-22.388266300000002</v>
      </c>
      <c r="H593" s="26">
        <v>403.682391</v>
      </c>
      <c r="I593" s="25" t="s">
        <v>4557</v>
      </c>
    </row>
    <row r="594" spans="1:9">
      <c r="A594" s="23" t="s">
        <v>4558</v>
      </c>
      <c r="B594" s="23" t="s">
        <v>3549</v>
      </c>
      <c r="C594" s="24">
        <v>17336</v>
      </c>
      <c r="D594" s="24">
        <v>355300505000001</v>
      </c>
      <c r="E594" s="24">
        <v>3553005</v>
      </c>
      <c r="F594" s="24">
        <v>-49.405771100000003</v>
      </c>
      <c r="G594" s="24">
        <v>-23.449814100000001</v>
      </c>
      <c r="H594" s="24">
        <v>540.89401399999997</v>
      </c>
      <c r="I594" s="23" t="s">
        <v>4559</v>
      </c>
    </row>
    <row r="595" spans="1:9">
      <c r="A595" s="25" t="s">
        <v>1187</v>
      </c>
      <c r="B595" s="25" t="s">
        <v>3518</v>
      </c>
      <c r="C595" s="26">
        <v>17337</v>
      </c>
      <c r="D595" s="26">
        <v>355310405000001</v>
      </c>
      <c r="E595" s="26">
        <v>3553104</v>
      </c>
      <c r="F595" s="26">
        <v>-48.511955200000003</v>
      </c>
      <c r="G595" s="26">
        <v>-21.146736300000001</v>
      </c>
      <c r="H595" s="26">
        <v>579.33126000000004</v>
      </c>
      <c r="I595" s="25" t="s">
        <v>4560</v>
      </c>
    </row>
    <row r="596" spans="1:9">
      <c r="A596" s="23" t="s">
        <v>4561</v>
      </c>
      <c r="B596" s="23" t="s">
        <v>3518</v>
      </c>
      <c r="C596" s="24">
        <v>17338</v>
      </c>
      <c r="D596" s="24">
        <v>355320305000001</v>
      </c>
      <c r="E596" s="24">
        <v>3553203</v>
      </c>
      <c r="F596" s="24">
        <v>-48.453935299999998</v>
      </c>
      <c r="G596" s="24">
        <v>-21.129556300000001</v>
      </c>
      <c r="H596" s="24">
        <v>625.14617499999997</v>
      </c>
      <c r="I596" s="23" t="s">
        <v>4562</v>
      </c>
    </row>
    <row r="597" spans="1:9">
      <c r="A597" s="25" t="s">
        <v>752</v>
      </c>
      <c r="B597" s="25" t="s">
        <v>3501</v>
      </c>
      <c r="C597" s="26">
        <v>17339</v>
      </c>
      <c r="D597" s="26">
        <v>355330205000001</v>
      </c>
      <c r="E597" s="26">
        <v>3553302</v>
      </c>
      <c r="F597" s="26">
        <v>-47.271615500000003</v>
      </c>
      <c r="G597" s="26">
        <v>-21.703033000000001</v>
      </c>
      <c r="H597" s="26">
        <v>693.87781199999995</v>
      </c>
      <c r="I597" s="25" t="s">
        <v>4563</v>
      </c>
    </row>
    <row r="598" spans="1:9">
      <c r="A598" s="23" t="s">
        <v>4564</v>
      </c>
      <c r="B598" s="23" t="s">
        <v>3498</v>
      </c>
      <c r="C598" s="24">
        <v>17341</v>
      </c>
      <c r="D598" s="24">
        <v>355340105000001</v>
      </c>
      <c r="E598" s="24">
        <v>3553401</v>
      </c>
      <c r="F598" s="24">
        <v>-49.648820200000003</v>
      </c>
      <c r="G598" s="24">
        <v>-20.625112099999999</v>
      </c>
      <c r="H598" s="24">
        <v>514.70759799999996</v>
      </c>
      <c r="I598" s="23" t="s">
        <v>4565</v>
      </c>
    </row>
    <row r="599" spans="1:9">
      <c r="A599" s="25" t="s">
        <v>3202</v>
      </c>
      <c r="B599" s="25" t="s">
        <v>3508</v>
      </c>
      <c r="C599" s="26">
        <v>17345</v>
      </c>
      <c r="D599" s="26">
        <v>355350005000001</v>
      </c>
      <c r="E599" s="26">
        <v>3553500</v>
      </c>
      <c r="F599" s="26">
        <v>-47.505288200000003</v>
      </c>
      <c r="G599" s="26">
        <v>-23.973148299999998</v>
      </c>
      <c r="H599" s="26">
        <v>889.77241100000003</v>
      </c>
      <c r="I599" s="25" t="s">
        <v>4566</v>
      </c>
    </row>
    <row r="600" spans="1:9">
      <c r="A600" s="23" t="s">
        <v>4567</v>
      </c>
      <c r="B600" s="23" t="s">
        <v>3501</v>
      </c>
      <c r="C600" s="24">
        <v>17346</v>
      </c>
      <c r="D600" s="24">
        <v>355360905000001</v>
      </c>
      <c r="E600" s="24">
        <v>3553609</v>
      </c>
      <c r="F600" s="24">
        <v>-46.7455152</v>
      </c>
      <c r="G600" s="24">
        <v>-21.471885400000001</v>
      </c>
      <c r="H600" s="24">
        <v>806.79211399999997</v>
      </c>
      <c r="I600" s="23" t="s">
        <v>4568</v>
      </c>
    </row>
    <row r="601" spans="1:9">
      <c r="A601" s="25" t="s">
        <v>4569</v>
      </c>
      <c r="B601" s="25" t="s">
        <v>3520</v>
      </c>
      <c r="C601" s="26">
        <v>17348</v>
      </c>
      <c r="D601" s="26">
        <v>355365805000001</v>
      </c>
      <c r="E601" s="26">
        <v>3553658</v>
      </c>
      <c r="F601" s="26">
        <v>-48.408654900000002</v>
      </c>
      <c r="G601" s="26">
        <v>-21.072608500000001</v>
      </c>
      <c r="H601" s="26">
        <v>646.42840799999999</v>
      </c>
      <c r="I601" s="25" t="s">
        <v>4570</v>
      </c>
    </row>
    <row r="602" spans="1:9">
      <c r="A602" s="23" t="s">
        <v>4571</v>
      </c>
      <c r="B602" s="23" t="s">
        <v>3538</v>
      </c>
      <c r="C602" s="24">
        <v>17349</v>
      </c>
      <c r="D602" s="24">
        <v>355370805000001</v>
      </c>
      <c r="E602" s="24">
        <v>3553708</v>
      </c>
      <c r="F602" s="24">
        <v>-48.506742199999998</v>
      </c>
      <c r="G602" s="24">
        <v>-21.410008000000001</v>
      </c>
      <c r="H602" s="24">
        <v>566.25329799999997</v>
      </c>
      <c r="I602" s="23" t="s">
        <v>4572</v>
      </c>
    </row>
    <row r="603" spans="1:9">
      <c r="A603" s="25" t="s">
        <v>4573</v>
      </c>
      <c r="B603" s="25" t="s">
        <v>3549</v>
      </c>
      <c r="C603" s="26">
        <v>17353</v>
      </c>
      <c r="D603" s="26">
        <v>355380705000001</v>
      </c>
      <c r="E603" s="26">
        <v>3553807</v>
      </c>
      <c r="F603" s="26">
        <v>-49.244088499999997</v>
      </c>
      <c r="G603" s="26">
        <v>-23.5320605</v>
      </c>
      <c r="H603" s="26">
        <v>623.50954400000001</v>
      </c>
      <c r="I603" s="25" t="s">
        <v>4574</v>
      </c>
    </row>
    <row r="604" spans="1:9">
      <c r="A604" s="23" t="s">
        <v>4575</v>
      </c>
      <c r="B604" s="23" t="s">
        <v>3549</v>
      </c>
      <c r="C604" s="24">
        <v>17358</v>
      </c>
      <c r="D604" s="24">
        <v>355385605000001</v>
      </c>
      <c r="E604" s="24">
        <v>3553856</v>
      </c>
      <c r="F604" s="24">
        <v>-48.697328599999999</v>
      </c>
      <c r="G604" s="24">
        <v>-23.919257099999999</v>
      </c>
      <c r="H604" s="24">
        <v>684.66981699999997</v>
      </c>
      <c r="I604" s="23" t="s">
        <v>4576</v>
      </c>
    </row>
    <row r="605" spans="1:9">
      <c r="A605" s="25" t="s">
        <v>4577</v>
      </c>
      <c r="B605" s="25" t="s">
        <v>3495</v>
      </c>
      <c r="C605" s="26">
        <v>17359</v>
      </c>
      <c r="D605" s="26">
        <v>355390605000001</v>
      </c>
      <c r="E605" s="26">
        <v>3553906</v>
      </c>
      <c r="F605" s="26">
        <v>-51.559572600000003</v>
      </c>
      <c r="G605" s="26">
        <v>-22.301668299999999</v>
      </c>
      <c r="H605" s="26">
        <v>444.57417400000003</v>
      </c>
      <c r="I605" s="25" t="s">
        <v>4578</v>
      </c>
    </row>
    <row r="606" spans="1:9">
      <c r="A606" s="23" t="s">
        <v>4579</v>
      </c>
      <c r="B606" s="23" t="s">
        <v>3532</v>
      </c>
      <c r="C606" s="24">
        <v>17360</v>
      </c>
      <c r="D606" s="24">
        <v>355395505000001</v>
      </c>
      <c r="E606" s="24">
        <v>3553955</v>
      </c>
      <c r="F606" s="24">
        <v>-50.576565100000003</v>
      </c>
      <c r="G606" s="24">
        <v>-22.744771199999999</v>
      </c>
      <c r="H606" s="24">
        <v>450.76618300000001</v>
      </c>
      <c r="I606" s="23" t="s">
        <v>4580</v>
      </c>
    </row>
    <row r="607" spans="1:9">
      <c r="A607" s="25" t="s">
        <v>4581</v>
      </c>
      <c r="B607" s="25" t="s">
        <v>3508</v>
      </c>
      <c r="C607" s="26">
        <v>17361</v>
      </c>
      <c r="D607" s="26">
        <v>355400305000001</v>
      </c>
      <c r="E607" s="26">
        <v>3554003</v>
      </c>
      <c r="F607" s="26">
        <v>-47.849463999999998</v>
      </c>
      <c r="G607" s="26">
        <v>-23.3485765</v>
      </c>
      <c r="H607" s="26">
        <v>622.41667199999995</v>
      </c>
      <c r="I607" s="25" t="s">
        <v>4582</v>
      </c>
    </row>
    <row r="608" spans="1:9">
      <c r="A608" s="23" t="s">
        <v>4583</v>
      </c>
      <c r="B608" s="23" t="s">
        <v>3555</v>
      </c>
      <c r="C608" s="24">
        <v>17362</v>
      </c>
      <c r="D608" s="24">
        <v>355410205000001</v>
      </c>
      <c r="E608" s="24">
        <v>3554102</v>
      </c>
      <c r="F608" s="24">
        <v>-45.556608699999998</v>
      </c>
      <c r="G608" s="24">
        <v>-23.026555500000001</v>
      </c>
      <c r="H608" s="24">
        <v>586.07850599999995</v>
      </c>
      <c r="I608" s="23" t="s">
        <v>4584</v>
      </c>
    </row>
    <row r="609" spans="1:9">
      <c r="A609" s="25" t="s">
        <v>4585</v>
      </c>
      <c r="B609" s="25" t="s">
        <v>3549</v>
      </c>
      <c r="C609" s="26">
        <v>17365</v>
      </c>
      <c r="D609" s="26">
        <v>355420105000001</v>
      </c>
      <c r="E609" s="26">
        <v>3554201</v>
      </c>
      <c r="F609" s="26">
        <v>-49.377442000000002</v>
      </c>
      <c r="G609" s="26">
        <v>-23.340591700000001</v>
      </c>
      <c r="H609" s="26">
        <v>709.35716600000001</v>
      </c>
      <c r="I609" s="25" t="s">
        <v>4586</v>
      </c>
    </row>
    <row r="610" spans="1:9">
      <c r="A610" s="23" t="s">
        <v>236</v>
      </c>
      <c r="B610" s="23" t="s">
        <v>3495</v>
      </c>
      <c r="C610" s="24">
        <v>17369</v>
      </c>
      <c r="D610" s="24">
        <v>355430005000001</v>
      </c>
      <c r="E610" s="24">
        <v>3554300</v>
      </c>
      <c r="F610" s="24">
        <v>-52.171194800000002</v>
      </c>
      <c r="G610" s="24">
        <v>-22.531006999999999</v>
      </c>
      <c r="H610" s="24">
        <v>352.74982899999998</v>
      </c>
      <c r="I610" s="23" t="s">
        <v>4587</v>
      </c>
    </row>
    <row r="611" spans="1:9">
      <c r="A611" s="25" t="s">
        <v>4588</v>
      </c>
      <c r="B611" s="25" t="s">
        <v>3518</v>
      </c>
      <c r="C611" s="26">
        <v>17371</v>
      </c>
      <c r="D611" s="26">
        <v>355440905000001</v>
      </c>
      <c r="E611" s="26">
        <v>3554409</v>
      </c>
      <c r="F611" s="26">
        <v>-48.341536099999999</v>
      </c>
      <c r="G611" s="26">
        <v>-20.787841700000001</v>
      </c>
      <c r="H611" s="26">
        <v>515.71438499999999</v>
      </c>
      <c r="I611" s="25" t="s">
        <v>4589</v>
      </c>
    </row>
    <row r="612" spans="1:9">
      <c r="A612" s="23" t="s">
        <v>4590</v>
      </c>
      <c r="B612" s="23" t="s">
        <v>3508</v>
      </c>
      <c r="C612" s="24">
        <v>17372</v>
      </c>
      <c r="D612" s="24">
        <v>355450805000001</v>
      </c>
      <c r="E612" s="24">
        <v>3554508</v>
      </c>
      <c r="F612" s="24">
        <v>-47.711472499999999</v>
      </c>
      <c r="G612" s="24">
        <v>-23.097889500000001</v>
      </c>
      <c r="H612" s="24">
        <v>483.84113400000001</v>
      </c>
      <c r="I612" s="23" t="s">
        <v>4591</v>
      </c>
    </row>
    <row r="613" spans="1:9">
      <c r="A613" s="25" t="s">
        <v>4592</v>
      </c>
      <c r="B613" s="25" t="s">
        <v>3532</v>
      </c>
      <c r="C613" s="26">
        <v>17375</v>
      </c>
      <c r="D613" s="26">
        <v>355460705000001</v>
      </c>
      <c r="E613" s="26">
        <v>3554607</v>
      </c>
      <c r="F613" s="26">
        <v>-49.603542900000001</v>
      </c>
      <c r="G613" s="26">
        <v>-23.202363399999999</v>
      </c>
      <c r="H613" s="26">
        <v>810.95214899999996</v>
      </c>
      <c r="I613" s="25" t="s">
        <v>4593</v>
      </c>
    </row>
    <row r="614" spans="1:9">
      <c r="A614" s="23" t="s">
        <v>4594</v>
      </c>
      <c r="B614" s="23" t="s">
        <v>3508</v>
      </c>
      <c r="C614" s="24">
        <v>17376</v>
      </c>
      <c r="D614" s="24">
        <v>355465605000001</v>
      </c>
      <c r="E614" s="24">
        <v>3554656</v>
      </c>
      <c r="F614" s="24">
        <v>-48.198238799999999</v>
      </c>
      <c r="G614" s="24">
        <v>-23.243769499999999</v>
      </c>
      <c r="H614" s="24">
        <v>582.709068</v>
      </c>
      <c r="I614" s="23" t="s">
        <v>4595</v>
      </c>
    </row>
    <row r="615" spans="1:9">
      <c r="A615" s="25" t="s">
        <v>2231</v>
      </c>
      <c r="B615" s="25" t="s">
        <v>3501</v>
      </c>
      <c r="C615" s="26">
        <v>17377</v>
      </c>
      <c r="D615" s="26">
        <v>355470605000001</v>
      </c>
      <c r="E615" s="26">
        <v>3554706</v>
      </c>
      <c r="F615" s="26">
        <v>-48.172157599999998</v>
      </c>
      <c r="G615" s="26">
        <v>-22.427493599999998</v>
      </c>
      <c r="H615" s="26">
        <v>794.43520799999999</v>
      </c>
      <c r="I615" s="25" t="s">
        <v>4596</v>
      </c>
    </row>
    <row r="616" spans="1:9">
      <c r="A616" s="23" t="s">
        <v>4597</v>
      </c>
      <c r="B616" s="23" t="s">
        <v>3538</v>
      </c>
      <c r="C616" s="24">
        <v>17378</v>
      </c>
      <c r="D616" s="24">
        <v>355475505000001</v>
      </c>
      <c r="E616" s="24">
        <v>3554755</v>
      </c>
      <c r="F616" s="24">
        <v>-48.340183400000001</v>
      </c>
      <c r="G616" s="24">
        <v>-22.038073600000001</v>
      </c>
      <c r="H616" s="24">
        <v>528.44563000000005</v>
      </c>
      <c r="I616" s="23" t="s">
        <v>4598</v>
      </c>
    </row>
    <row r="617" spans="1:9">
      <c r="A617" s="25" t="s">
        <v>4599</v>
      </c>
      <c r="B617" s="25" t="s">
        <v>3555</v>
      </c>
      <c r="C617" s="26">
        <v>17379</v>
      </c>
      <c r="D617" s="26">
        <v>355480505000001</v>
      </c>
      <c r="E617" s="26">
        <v>3554805</v>
      </c>
      <c r="F617" s="26">
        <v>-45.5507469</v>
      </c>
      <c r="G617" s="26">
        <v>-22.9604152</v>
      </c>
      <c r="H617" s="26">
        <v>561.411205</v>
      </c>
      <c r="I617" s="25" t="s">
        <v>4600</v>
      </c>
    </row>
    <row r="618" spans="1:9">
      <c r="A618" s="23" t="s">
        <v>4601</v>
      </c>
      <c r="B618" s="23" t="s">
        <v>3498</v>
      </c>
      <c r="C618" s="24">
        <v>17393</v>
      </c>
      <c r="D618" s="24">
        <v>355490405000001</v>
      </c>
      <c r="E618" s="24">
        <v>3554904</v>
      </c>
      <c r="F618" s="24">
        <v>-50.8848828</v>
      </c>
      <c r="G618" s="24">
        <v>-20.228012799999998</v>
      </c>
      <c r="H618" s="24">
        <v>424.67347599999999</v>
      </c>
      <c r="I618" s="23" t="s">
        <v>4602</v>
      </c>
    </row>
    <row r="619" spans="1:9">
      <c r="A619" s="25" t="s">
        <v>4603</v>
      </c>
      <c r="B619" s="25" t="s">
        <v>3501</v>
      </c>
      <c r="C619" s="26">
        <v>17397</v>
      </c>
      <c r="D619" s="26">
        <v>355495305000001</v>
      </c>
      <c r="E619" s="26">
        <v>3554953</v>
      </c>
      <c r="F619" s="26">
        <v>-46.697023899999998</v>
      </c>
      <c r="G619" s="26">
        <v>-22.814756200000001</v>
      </c>
      <c r="H619" s="26">
        <v>785.91438500000004</v>
      </c>
      <c r="I619" s="25" t="s">
        <v>4604</v>
      </c>
    </row>
    <row r="620" spans="1:9">
      <c r="A620" s="23" t="s">
        <v>4605</v>
      </c>
      <c r="B620" s="23" t="s">
        <v>3532</v>
      </c>
      <c r="C620" s="24">
        <v>17400</v>
      </c>
      <c r="D620" s="24">
        <v>355500005000001</v>
      </c>
      <c r="E620" s="24">
        <v>3555000</v>
      </c>
      <c r="F620" s="24">
        <v>-50.5140064</v>
      </c>
      <c r="G620" s="24">
        <v>-21.934821500000002</v>
      </c>
      <c r="H620" s="24">
        <v>528.06524300000001</v>
      </c>
      <c r="I620" s="23" t="s">
        <v>4606</v>
      </c>
    </row>
    <row r="621" spans="1:9">
      <c r="A621" s="25" t="s">
        <v>1162</v>
      </c>
      <c r="B621" s="25" t="s">
        <v>3495</v>
      </c>
      <c r="C621" s="26">
        <v>17404</v>
      </c>
      <c r="D621" s="26">
        <v>355510905000001</v>
      </c>
      <c r="E621" s="26">
        <v>3555109</v>
      </c>
      <c r="F621" s="26">
        <v>-51.576720600000002</v>
      </c>
      <c r="G621" s="26">
        <v>-21.3863953</v>
      </c>
      <c r="H621" s="26">
        <v>400.12967300000003</v>
      </c>
      <c r="I621" s="25" t="s">
        <v>4607</v>
      </c>
    </row>
    <row r="622" spans="1:9">
      <c r="A622" s="23" t="s">
        <v>4608</v>
      </c>
      <c r="B622" s="23" t="s">
        <v>3523</v>
      </c>
      <c r="C622" s="24">
        <v>17406</v>
      </c>
      <c r="D622" s="24">
        <v>355520805000001</v>
      </c>
      <c r="E622" s="24">
        <v>3555208</v>
      </c>
      <c r="F622" s="24">
        <v>-50.109441799999999</v>
      </c>
      <c r="G622" s="24">
        <v>-20.9502351</v>
      </c>
      <c r="H622" s="24">
        <v>446.72039100000001</v>
      </c>
      <c r="I622" s="23" t="s">
        <v>4609</v>
      </c>
    </row>
    <row r="623" spans="1:9">
      <c r="A623" s="25" t="s">
        <v>4610</v>
      </c>
      <c r="B623" s="25" t="s">
        <v>3498</v>
      </c>
      <c r="C623" s="26">
        <v>17407</v>
      </c>
      <c r="D623" s="26">
        <v>355530705000001</v>
      </c>
      <c r="E623" s="26">
        <v>3555307</v>
      </c>
      <c r="F623" s="26">
        <v>-50.477729400000001</v>
      </c>
      <c r="G623" s="26">
        <v>-20.0512686</v>
      </c>
      <c r="H623" s="26">
        <v>464.959159</v>
      </c>
      <c r="I623" s="25" t="s">
        <v>4611</v>
      </c>
    </row>
    <row r="624" spans="1:9">
      <c r="A624" s="23" t="s">
        <v>4612</v>
      </c>
      <c r="B624" s="23" t="s">
        <v>3498</v>
      </c>
      <c r="C624" s="24">
        <v>17409</v>
      </c>
      <c r="D624" s="24">
        <v>355535605000001</v>
      </c>
      <c r="E624" s="24">
        <v>3555356</v>
      </c>
      <c r="F624" s="24">
        <v>-49.7196724</v>
      </c>
      <c r="G624" s="24">
        <v>-21.162471</v>
      </c>
      <c r="H624" s="24">
        <v>419.90224799999999</v>
      </c>
      <c r="I624" s="23" t="s">
        <v>4613</v>
      </c>
    </row>
    <row r="625" spans="1:9">
      <c r="A625" s="25" t="s">
        <v>4614</v>
      </c>
      <c r="B625" s="25" t="s">
        <v>3555</v>
      </c>
      <c r="C625" s="26">
        <v>17410</v>
      </c>
      <c r="D625" s="26">
        <v>355540605000001</v>
      </c>
      <c r="E625" s="26">
        <v>3555406</v>
      </c>
      <c r="F625" s="26">
        <v>-45.072091499999999</v>
      </c>
      <c r="G625" s="26">
        <v>-23.435964999999999</v>
      </c>
      <c r="H625" s="26">
        <v>5.0201219999999998</v>
      </c>
      <c r="I625" s="25" t="s">
        <v>4615</v>
      </c>
    </row>
    <row r="626" spans="1:9">
      <c r="A626" s="23" t="s">
        <v>4616</v>
      </c>
      <c r="B626" s="23" t="s">
        <v>3511</v>
      </c>
      <c r="C626" s="24">
        <v>17412</v>
      </c>
      <c r="D626" s="24">
        <v>355550505000001</v>
      </c>
      <c r="E626" s="24">
        <v>3555505</v>
      </c>
      <c r="F626" s="24">
        <v>-49.663271700000003</v>
      </c>
      <c r="G626" s="24">
        <v>-22.523835500000001</v>
      </c>
      <c r="H626" s="24">
        <v>480.64356299999997</v>
      </c>
      <c r="I626" s="23" t="s">
        <v>4617</v>
      </c>
    </row>
    <row r="627" spans="1:9">
      <c r="A627" s="25" t="s">
        <v>520</v>
      </c>
      <c r="B627" s="25" t="s">
        <v>3498</v>
      </c>
      <c r="C627" s="26">
        <v>17413</v>
      </c>
      <c r="D627" s="26">
        <v>355560405000001</v>
      </c>
      <c r="E627" s="26">
        <v>3555604</v>
      </c>
      <c r="F627" s="26">
        <v>-49.1776695</v>
      </c>
      <c r="G627" s="26">
        <v>-20.953346400000001</v>
      </c>
      <c r="H627" s="26">
        <v>504.43618800000002</v>
      </c>
      <c r="I627" s="25" t="s">
        <v>4618</v>
      </c>
    </row>
    <row r="628" spans="1:9">
      <c r="A628" s="23" t="s">
        <v>4619</v>
      </c>
      <c r="B628" s="23" t="s">
        <v>3498</v>
      </c>
      <c r="C628" s="24">
        <v>17415</v>
      </c>
      <c r="D628" s="24">
        <v>355570305000001</v>
      </c>
      <c r="E628" s="24">
        <v>3555703</v>
      </c>
      <c r="F628" s="24">
        <v>-49.897393600000001</v>
      </c>
      <c r="G628" s="24">
        <v>-20.887768999999999</v>
      </c>
      <c r="H628" s="24">
        <v>472.19981200000001</v>
      </c>
      <c r="I628" s="23" t="s">
        <v>4620</v>
      </c>
    </row>
    <row r="629" spans="1:9">
      <c r="A629" s="25" t="s">
        <v>4621</v>
      </c>
      <c r="B629" s="25" t="s">
        <v>3498</v>
      </c>
      <c r="C629" s="26">
        <v>17416</v>
      </c>
      <c r="D629" s="26">
        <v>355580205000001</v>
      </c>
      <c r="E629" s="26">
        <v>3555802</v>
      </c>
      <c r="F629" s="26">
        <v>-50.641800199999999</v>
      </c>
      <c r="G629" s="26">
        <v>-20.246264100000001</v>
      </c>
      <c r="H629" s="26">
        <v>448.394251</v>
      </c>
      <c r="I629" s="25" t="s">
        <v>4622</v>
      </c>
    </row>
    <row r="630" spans="1:9">
      <c r="A630" s="23" t="s">
        <v>4623</v>
      </c>
      <c r="B630" s="23" t="s">
        <v>3511</v>
      </c>
      <c r="C630" s="24">
        <v>17417</v>
      </c>
      <c r="D630" s="24">
        <v>355590105000001</v>
      </c>
      <c r="E630" s="24">
        <v>3555901</v>
      </c>
      <c r="F630" s="24">
        <v>-49.283201599999998</v>
      </c>
      <c r="G630" s="24">
        <v>-21.786313700000001</v>
      </c>
      <c r="H630" s="24">
        <v>453.96709800000002</v>
      </c>
      <c r="I630" s="23" t="s">
        <v>4624</v>
      </c>
    </row>
    <row r="631" spans="1:9">
      <c r="A631" s="25" t="s">
        <v>4625</v>
      </c>
      <c r="B631" s="25" t="s">
        <v>3498</v>
      </c>
      <c r="C631" s="26">
        <v>17419</v>
      </c>
      <c r="D631" s="26">
        <v>355600805000001</v>
      </c>
      <c r="E631" s="26">
        <v>3556008</v>
      </c>
      <c r="F631" s="26">
        <v>-49.290729800000001</v>
      </c>
      <c r="G631" s="26">
        <v>-21.200418800000001</v>
      </c>
      <c r="H631" s="26">
        <v>439.384184</v>
      </c>
      <c r="I631" s="25" t="s">
        <v>4626</v>
      </c>
    </row>
    <row r="632" spans="1:9">
      <c r="A632" s="23" t="s">
        <v>4627</v>
      </c>
      <c r="B632" s="23" t="s">
        <v>3498</v>
      </c>
      <c r="C632" s="24">
        <v>17421</v>
      </c>
      <c r="D632" s="24">
        <v>355610705000001</v>
      </c>
      <c r="E632" s="24">
        <v>3556107</v>
      </c>
      <c r="F632" s="24">
        <v>-50.085868300000001</v>
      </c>
      <c r="G632" s="24">
        <v>-20.423370299999998</v>
      </c>
      <c r="H632" s="24">
        <v>508.17497100000003</v>
      </c>
      <c r="I632" s="23" t="s">
        <v>4628</v>
      </c>
    </row>
    <row r="633" spans="1:9">
      <c r="A633" s="25" t="s">
        <v>4629</v>
      </c>
      <c r="B633" s="25" t="s">
        <v>3501</v>
      </c>
      <c r="C633" s="26">
        <v>17422</v>
      </c>
      <c r="D633" s="26">
        <v>355620605000001</v>
      </c>
      <c r="E633" s="26">
        <v>3556206</v>
      </c>
      <c r="F633" s="26">
        <v>-46.996630000000003</v>
      </c>
      <c r="G633" s="26">
        <v>-22.971243999999999</v>
      </c>
      <c r="H633" s="26">
        <v>690.12080300000002</v>
      </c>
      <c r="I633" s="25" t="s">
        <v>4630</v>
      </c>
    </row>
    <row r="634" spans="1:9">
      <c r="A634" s="23" t="s">
        <v>4631</v>
      </c>
      <c r="B634" s="23" t="s">
        <v>3523</v>
      </c>
      <c r="C634" s="24">
        <v>17432</v>
      </c>
      <c r="D634" s="24">
        <v>355630505000001</v>
      </c>
      <c r="E634" s="24">
        <v>3556305</v>
      </c>
      <c r="F634" s="24">
        <v>-50.869308099999998</v>
      </c>
      <c r="G634" s="24">
        <v>-21.225575299999999</v>
      </c>
      <c r="H634" s="24">
        <v>451.787756</v>
      </c>
      <c r="I634" s="23" t="s">
        <v>4632</v>
      </c>
    </row>
    <row r="635" spans="1:9">
      <c r="A635" s="25" t="s">
        <v>4633</v>
      </c>
      <c r="B635" s="25" t="s">
        <v>3501</v>
      </c>
      <c r="C635" s="26">
        <v>17433</v>
      </c>
      <c r="D635" s="26">
        <v>355635405000001</v>
      </c>
      <c r="E635" s="26">
        <v>3556354</v>
      </c>
      <c r="F635" s="26">
        <v>-46.411600200000002</v>
      </c>
      <c r="G635" s="26">
        <v>-22.8848804</v>
      </c>
      <c r="H635" s="26">
        <v>832.89650300000005</v>
      </c>
      <c r="I635" s="25" t="s">
        <v>4634</v>
      </c>
    </row>
    <row r="636" spans="1:9">
      <c r="A636" s="23" t="s">
        <v>4635</v>
      </c>
      <c r="B636" s="23" t="s">
        <v>3501</v>
      </c>
      <c r="C636" s="24">
        <v>17434</v>
      </c>
      <c r="D636" s="24">
        <v>355640405000001</v>
      </c>
      <c r="E636" s="24">
        <v>3556404</v>
      </c>
      <c r="F636" s="24">
        <v>-46.895608899999999</v>
      </c>
      <c r="G636" s="24">
        <v>-21.835865999999999</v>
      </c>
      <c r="H636" s="24">
        <v>702.02575000000002</v>
      </c>
      <c r="I636" s="23" t="s">
        <v>4636</v>
      </c>
    </row>
    <row r="637" spans="1:9">
      <c r="A637" s="25" t="s">
        <v>4637</v>
      </c>
      <c r="B637" s="25" t="s">
        <v>3585</v>
      </c>
      <c r="C637" s="26">
        <v>17436</v>
      </c>
      <c r="D637" s="26">
        <v>355645305000001</v>
      </c>
      <c r="E637" s="26">
        <v>3556453</v>
      </c>
      <c r="F637" s="26">
        <v>-47.019647800000001</v>
      </c>
      <c r="G637" s="26">
        <v>-23.615302499999999</v>
      </c>
      <c r="H637" s="26">
        <v>926.92935699999998</v>
      </c>
      <c r="I637" s="25" t="s">
        <v>4638</v>
      </c>
    </row>
    <row r="638" spans="1:9">
      <c r="A638" s="23" t="s">
        <v>4639</v>
      </c>
      <c r="B638" s="23" t="s">
        <v>3501</v>
      </c>
      <c r="C638" s="24">
        <v>17437</v>
      </c>
      <c r="D638" s="24">
        <v>355650305000001</v>
      </c>
      <c r="E638" s="24">
        <v>3556503</v>
      </c>
      <c r="F638" s="24">
        <v>-46.829890200000001</v>
      </c>
      <c r="G638" s="24">
        <v>-23.2144665</v>
      </c>
      <c r="H638" s="24">
        <v>729.73711900000001</v>
      </c>
      <c r="I638" s="23" t="s">
        <v>4640</v>
      </c>
    </row>
    <row r="639" spans="1:9">
      <c r="A639" s="25" t="s">
        <v>1604</v>
      </c>
      <c r="B639" s="25" t="s">
        <v>3532</v>
      </c>
      <c r="C639" s="26">
        <v>17438</v>
      </c>
      <c r="D639" s="26">
        <v>355660205000001</v>
      </c>
      <c r="E639" s="26">
        <v>3556602</v>
      </c>
      <c r="F639" s="26">
        <v>-49.821781700000003</v>
      </c>
      <c r="G639" s="26">
        <v>-22.224748300000002</v>
      </c>
      <c r="H639" s="26">
        <v>650.27430400000003</v>
      </c>
      <c r="I639" s="25" t="s">
        <v>4641</v>
      </c>
    </row>
    <row r="640" spans="1:9">
      <c r="A640" s="23" t="s">
        <v>4642</v>
      </c>
      <c r="B640" s="23" t="s">
        <v>3501</v>
      </c>
      <c r="C640" s="24">
        <v>17441</v>
      </c>
      <c r="D640" s="24">
        <v>355670105000001</v>
      </c>
      <c r="E640" s="24">
        <v>3556701</v>
      </c>
      <c r="F640" s="24">
        <v>-46.976476300000002</v>
      </c>
      <c r="G640" s="24">
        <v>-23.0305383</v>
      </c>
      <c r="H640" s="24">
        <v>719.20842600000003</v>
      </c>
      <c r="I640" s="23" t="s">
        <v>4643</v>
      </c>
    </row>
    <row r="641" spans="1:9">
      <c r="A641" s="25" t="s">
        <v>4644</v>
      </c>
      <c r="B641" s="25" t="s">
        <v>3518</v>
      </c>
      <c r="C641" s="26">
        <v>17442</v>
      </c>
      <c r="D641" s="26">
        <v>355680005000001</v>
      </c>
      <c r="E641" s="26">
        <v>3556800</v>
      </c>
      <c r="F641" s="26">
        <v>-48.296662900000001</v>
      </c>
      <c r="G641" s="26">
        <v>-20.872313999999999</v>
      </c>
      <c r="H641" s="26">
        <v>538.54532500000005</v>
      </c>
      <c r="I641" s="25" t="s">
        <v>4645</v>
      </c>
    </row>
    <row r="642" spans="1:9">
      <c r="A642" s="23" t="s">
        <v>4646</v>
      </c>
      <c r="B642" s="23" t="s">
        <v>3518</v>
      </c>
      <c r="C642" s="24">
        <v>17444</v>
      </c>
      <c r="D642" s="24">
        <v>355690905000001</v>
      </c>
      <c r="E642" s="24">
        <v>3556909</v>
      </c>
      <c r="F642" s="24">
        <v>-48.630171400000002</v>
      </c>
      <c r="G642" s="24">
        <v>-21.167154100000001</v>
      </c>
      <c r="H642" s="24">
        <v>608.47872199999995</v>
      </c>
      <c r="I642" s="23" t="s">
        <v>4647</v>
      </c>
    </row>
    <row r="643" spans="1:9">
      <c r="A643" s="25" t="s">
        <v>4648</v>
      </c>
      <c r="B643" s="25" t="s">
        <v>3498</v>
      </c>
      <c r="C643" s="26">
        <v>17445</v>
      </c>
      <c r="D643" s="26">
        <v>355695805000001</v>
      </c>
      <c r="E643" s="26">
        <v>3556958</v>
      </c>
      <c r="F643" s="26">
        <v>-50.480806999999999</v>
      </c>
      <c r="G643" s="26">
        <v>-20.198738599999999</v>
      </c>
      <c r="H643" s="26">
        <v>490.50688000000002</v>
      </c>
      <c r="I643" s="25" t="s">
        <v>4649</v>
      </c>
    </row>
    <row r="644" spans="1:9">
      <c r="A644" s="23" t="s">
        <v>4650</v>
      </c>
      <c r="B644" s="23" t="s">
        <v>3508</v>
      </c>
      <c r="C644" s="24">
        <v>17446</v>
      </c>
      <c r="D644" s="24">
        <v>355700605000001</v>
      </c>
      <c r="E644" s="24">
        <v>3557006</v>
      </c>
      <c r="F644" s="24">
        <v>-47.449738099999998</v>
      </c>
      <c r="G644" s="24">
        <v>-23.541871199999999</v>
      </c>
      <c r="H644" s="24">
        <v>571.63123099999996</v>
      </c>
      <c r="I644" s="23" t="s">
        <v>4651</v>
      </c>
    </row>
    <row r="645" spans="1:9">
      <c r="A645" s="25" t="s">
        <v>554</v>
      </c>
      <c r="B645" s="25" t="s">
        <v>3498</v>
      </c>
      <c r="C645" s="26">
        <v>17450</v>
      </c>
      <c r="D645" s="26">
        <v>355710505000001</v>
      </c>
      <c r="E645" s="26">
        <v>3557105</v>
      </c>
      <c r="F645" s="26">
        <v>-49.974671999999998</v>
      </c>
      <c r="G645" s="26">
        <v>-20.41947</v>
      </c>
      <c r="H645" s="26">
        <v>518.33459100000005</v>
      </c>
      <c r="I645" s="25" t="s">
        <v>4652</v>
      </c>
    </row>
    <row r="646" spans="1:9">
      <c r="A646" s="23" t="s">
        <v>4653</v>
      </c>
      <c r="B646" s="23" t="s">
        <v>3498</v>
      </c>
      <c r="C646" s="24">
        <v>17452</v>
      </c>
      <c r="D646" s="24">
        <v>355715405000001</v>
      </c>
      <c r="E646" s="24">
        <v>3557154</v>
      </c>
      <c r="F646" s="24">
        <v>-50.055739500000001</v>
      </c>
      <c r="G646" s="24">
        <v>-21.050110400000001</v>
      </c>
      <c r="H646" s="24">
        <v>415.85244899999998</v>
      </c>
      <c r="I646" s="23" t="s">
        <v>4654</v>
      </c>
    </row>
  </sheetData>
  <pageMargins left="0" right="0" top="0" bottom="0" header="0" footer="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U44"/>
  <sheetViews>
    <sheetView workbookViewId="0"/>
  </sheetViews>
  <sheetFormatPr defaultColWidth="12.5703125" defaultRowHeight="15.75" customHeight="1"/>
  <cols>
    <col min="1" max="1" width="31.5703125" customWidth="1"/>
    <col min="2" max="2" width="19.140625" customWidth="1"/>
    <col min="3" max="4" width="15.7109375" customWidth="1"/>
    <col min="5" max="5" width="16.42578125" customWidth="1"/>
    <col min="6" max="6" width="16.5703125" customWidth="1"/>
    <col min="7" max="7" width="10.42578125" customWidth="1"/>
  </cols>
  <sheetData>
    <row r="3" spans="1:7" ht="22.5" customHeight="1">
      <c r="A3" s="27" t="s">
        <v>4655</v>
      </c>
      <c r="B3" s="28" t="s">
        <v>230</v>
      </c>
      <c r="C3" s="28" t="s">
        <v>48</v>
      </c>
      <c r="D3" s="28" t="s">
        <v>74</v>
      </c>
      <c r="E3" s="28" t="s">
        <v>256</v>
      </c>
      <c r="F3" s="28" t="s">
        <v>4656</v>
      </c>
      <c r="G3" s="29" t="s">
        <v>4657</v>
      </c>
    </row>
    <row r="4" spans="1:7" ht="22.5" customHeight="1">
      <c r="A4" s="30" t="s">
        <v>45</v>
      </c>
      <c r="B4" s="31">
        <f>SUMIFS('Calendário 2026'!$S$2:S2379,'Calendário 2026'!$O$2:O2379,A4,'Calendário 2026'!$R$2:R2379,$B$3)</f>
        <v>2340500</v>
      </c>
      <c r="C4" s="31">
        <f>SUMIFS('Calendário 2026'!$S$2:T2379,'Calendário 2026'!$O$2:P2379,A4,'Calendário 2026'!$R$2:S2379,$C$3)</f>
        <v>8712000</v>
      </c>
      <c r="D4" s="31">
        <f>SUMIFS('Calendário 2026'!$S$2:U2379,'Calendário 2026'!$O$2:Q2379,A4,'Calendário 2026'!$R$2:T2379,$D$3)</f>
        <v>4321000</v>
      </c>
      <c r="E4" s="31">
        <f>SUMIFS('Calendário 2026'!$S$2:V2379,'Calendário 2026'!$O$2:R2379,A4,'Calendário 2026'!$R$2:U2379,$E$3)</f>
        <v>128900</v>
      </c>
      <c r="F4" s="32">
        <f t="shared" ref="F4:F14" si="0">SUM(B4:E4)</f>
        <v>15502400</v>
      </c>
      <c r="G4" s="33">
        <f t="shared" ref="G4:G15" si="1">F4/$F$15</f>
        <v>0.72408733813081361</v>
      </c>
    </row>
    <row r="5" spans="1:7" ht="22.5" customHeight="1">
      <c r="A5" s="34" t="s">
        <v>190</v>
      </c>
      <c r="B5" s="35">
        <f>SUMIFS('Calendário 2026'!$S$2:S2380,'Calendário 2026'!$O$2:O2380,A5,'Calendário 2026'!$R$2:R2380,$B$3)</f>
        <v>53800</v>
      </c>
      <c r="C5" s="35">
        <f>SUMIFS('Calendário 2026'!$S$2:T2380,'Calendário 2026'!$O$2:P2380,A5,'Calendário 2026'!$R$2:S2380,$C$3)</f>
        <v>434750</v>
      </c>
      <c r="D5" s="35">
        <f>SUMIFS('Calendário 2026'!$S$2:U2380,'Calendário 2026'!$O$2:Q2380,A5,'Calendário 2026'!$R$2:T2380,$D$3)</f>
        <v>864270</v>
      </c>
      <c r="E5" s="35">
        <f>SUMIFS('Calendário 2026'!$S$2:V2380,'Calendário 2026'!$O$2:R2380,A5,'Calendário 2026'!$R$2:U2380,$E$3)</f>
        <v>33300</v>
      </c>
      <c r="F5" s="36">
        <f t="shared" si="0"/>
        <v>1386120</v>
      </c>
      <c r="G5" s="37">
        <f t="shared" si="1"/>
        <v>6.4743003736833227E-2</v>
      </c>
    </row>
    <row r="6" spans="1:7" ht="22.5" customHeight="1">
      <c r="A6" s="30" t="s">
        <v>221</v>
      </c>
      <c r="B6" s="35">
        <f>SUMIFS('Calendário 2026'!$S$2:S2381,'Calendário 2026'!$O$2:O2381,A6,'Calendário 2026'!$R$2:R2381,$B$3)</f>
        <v>580000</v>
      </c>
      <c r="C6" s="35">
        <f>SUMIFS('Calendário 2026'!$S$2:T2381,'Calendário 2026'!$O$2:P2381,A6,'Calendário 2026'!$R$2:S2381,$C$3)</f>
        <v>991000</v>
      </c>
      <c r="D6" s="35">
        <f>SUMIFS('Calendário 2026'!$S$2:U2381,'Calendário 2026'!$O$2:Q2381,A6,'Calendário 2026'!$R$2:T2381,$D$3)</f>
        <v>1007952</v>
      </c>
      <c r="E6" s="35">
        <f>SUMIFS('Calendário 2026'!$S$2:V2381,'Calendário 2026'!$O$2:R2381,A6,'Calendário 2026'!$R$2:U2381,$E$3)</f>
        <v>51800</v>
      </c>
      <c r="F6" s="32">
        <f t="shared" si="0"/>
        <v>2630752</v>
      </c>
      <c r="G6" s="33">
        <f t="shared" si="1"/>
        <v>0.12287737466213711</v>
      </c>
    </row>
    <row r="7" spans="1:7" ht="22.5" customHeight="1">
      <c r="A7" s="34" t="s">
        <v>62</v>
      </c>
      <c r="B7" s="35">
        <f>SUMIFS('Calendário 2026'!$S$2:S2382,'Calendário 2026'!$O$2:O2382,A7,'Calendário 2026'!$R$2:R2382,$B$3)</f>
        <v>146600</v>
      </c>
      <c r="C7" s="35">
        <f>SUMIFS('Calendário 2026'!$S$2:T2382,'Calendário 2026'!$O$2:P2382,A7,'Calendário 2026'!$R$2:S2382,$C$3)</f>
        <v>138600</v>
      </c>
      <c r="D7" s="35">
        <f>SUMIFS('Calendário 2026'!$S$2:U2382,'Calendário 2026'!$O$2:Q2382,A7,'Calendário 2026'!$R$2:T2382,$D$3)</f>
        <v>52050</v>
      </c>
      <c r="E7" s="35">
        <f>SUMIFS('Calendário 2026'!$S$2:V2382,'Calendário 2026'!$O$2:R2382,A7,'Calendário 2026'!$R$2:U2382,$E$3)</f>
        <v>10400</v>
      </c>
      <c r="F7" s="36">
        <f t="shared" si="0"/>
        <v>347650</v>
      </c>
      <c r="G7" s="37">
        <f t="shared" si="1"/>
        <v>1.6238063983717188E-2</v>
      </c>
    </row>
    <row r="8" spans="1:7" ht="22.5" customHeight="1">
      <c r="A8" s="30" t="s">
        <v>99</v>
      </c>
      <c r="B8" s="35">
        <f>SUMIFS('Calendário 2026'!$S$2:S2383,'Calendário 2026'!$O$2:O2383,A8,'Calendário 2026'!$R$2:R2383,$B$3)</f>
        <v>0</v>
      </c>
      <c r="C8" s="35">
        <f>SUMIFS('Calendário 2026'!$S$2:T2383,'Calendário 2026'!$O$2:P2383,A8,'Calendário 2026'!$R$2:S2383,$C$3)</f>
        <v>213000</v>
      </c>
      <c r="D8" s="35">
        <f>SUMIFS('Calendário 2026'!$S$2:U2383,'Calendário 2026'!$O$2:Q2383,A8,'Calendário 2026'!$R$2:T2383,$D$3)</f>
        <v>235000</v>
      </c>
      <c r="E8" s="35">
        <f>SUMIFS('Calendário 2026'!$S$2:V2383,'Calendário 2026'!$O$2:R2383,A8,'Calendário 2026'!$R$2:U2383,$E$3)</f>
        <v>145800</v>
      </c>
      <c r="F8" s="32">
        <f t="shared" si="0"/>
        <v>593800</v>
      </c>
      <c r="G8" s="33">
        <f t="shared" si="1"/>
        <v>2.7735257855691836E-2</v>
      </c>
    </row>
    <row r="9" spans="1:7" ht="22.5" customHeight="1">
      <c r="A9" s="34" t="s">
        <v>234</v>
      </c>
      <c r="B9" s="35">
        <f>SUMIFS('Calendário 2026'!$S$2:S2384,'Calendário 2026'!$O$2:O2384,A9,'Calendário 2026'!$R$2:R2384,$B$3)</f>
        <v>0</v>
      </c>
      <c r="C9" s="35">
        <f>SUMIFS('Calendário 2026'!$S$2:T2384,'Calendário 2026'!$O$2:P2384,A9,'Calendário 2026'!$R$2:S2384,$C$3)</f>
        <v>241000</v>
      </c>
      <c r="D9" s="35">
        <f>SUMIFS('Calendário 2026'!$S$2:U2384,'Calendário 2026'!$O$2:Q2384,A9,'Calendário 2026'!$R$2:T2384,$D$3)</f>
        <v>185400</v>
      </c>
      <c r="E9" s="35">
        <f>SUMIFS('Calendário 2026'!$S$2:V2384,'Calendário 2026'!$O$2:R2384,A9,'Calendário 2026'!$R$2:U2384,$E$3)</f>
        <v>0</v>
      </c>
      <c r="F9" s="36">
        <f t="shared" si="0"/>
        <v>426400</v>
      </c>
      <c r="G9" s="37">
        <f t="shared" si="1"/>
        <v>1.9916325277310541E-2</v>
      </c>
    </row>
    <row r="10" spans="1:7" ht="22.5" customHeight="1">
      <c r="A10" s="30" t="s">
        <v>142</v>
      </c>
      <c r="B10" s="35">
        <f>SUMIFS('Calendário 2026'!$S$2:S2385,'Calendário 2026'!$O$2:O2385,A10,'Calendário 2026'!$R$2:R2385,$B$3)</f>
        <v>175000</v>
      </c>
      <c r="C10" s="35">
        <f>SUMIFS('Calendário 2026'!$S$2:T2385,'Calendário 2026'!$O$2:P2385,A10,'Calendário 2026'!$R$2:S2385,$C$3)</f>
        <v>129800</v>
      </c>
      <c r="D10" s="35">
        <f>SUMIFS('Calendário 2026'!$S$2:U2385,'Calendário 2026'!$O$2:Q2385,A10,'Calendário 2026'!$R$2:T2385,$D$3)</f>
        <v>124550</v>
      </c>
      <c r="E10" s="35">
        <f>SUMIFS('Calendário 2026'!$S$2:V2385,'Calendário 2026'!$O$2:R2385,A10,'Calendário 2026'!$R$2:U2385,$E$3)</f>
        <v>10000</v>
      </c>
      <c r="F10" s="32">
        <f t="shared" si="0"/>
        <v>439350</v>
      </c>
      <c r="G10" s="33">
        <f t="shared" si="1"/>
        <v>2.0521194912257002E-2</v>
      </c>
    </row>
    <row r="11" spans="1:7" ht="22.5" customHeight="1">
      <c r="A11" s="34" t="s">
        <v>642</v>
      </c>
      <c r="B11" s="35">
        <f>SUMIFS('Calendário 2026'!$S$2:S2386,'Calendário 2026'!$O$2:O2386,A11,'Calendário 2026'!$R$2:R2386,$B$3)</f>
        <v>33000</v>
      </c>
      <c r="C11" s="35">
        <f>SUMIFS('Calendário 2026'!$S$2:T2386,'Calendário 2026'!$O$2:P2386,A11,'Calendário 2026'!$R$2:S2386,$C$3)</f>
        <v>7300</v>
      </c>
      <c r="D11" s="35">
        <f>SUMIFS('Calendário 2026'!$S$2:U2386,'Calendário 2026'!$O$2:Q2386,A11,'Calendário 2026'!$R$2:T2386,$D$3)</f>
        <v>20400</v>
      </c>
      <c r="E11" s="35">
        <f>SUMIFS('Calendário 2026'!$S$2:V2386,'Calendário 2026'!$O$2:R2386,A11,'Calendário 2026'!$R$2:U2386,$E$3)</f>
        <v>0</v>
      </c>
      <c r="F11" s="36">
        <f t="shared" si="0"/>
        <v>60700</v>
      </c>
      <c r="G11" s="37">
        <f t="shared" si="1"/>
        <v>2.8351804510617961E-3</v>
      </c>
    </row>
    <row r="12" spans="1:7" ht="22.5" customHeight="1">
      <c r="A12" s="30" t="s">
        <v>310</v>
      </c>
      <c r="B12" s="35">
        <f>SUMIFS('Calendário 2026'!$S$2:S2387,'Calendário 2026'!$O$2:O2387,A12,'Calendário 2026'!$R$2:R2387,$B$3)</f>
        <v>0</v>
      </c>
      <c r="C12" s="35">
        <f>SUMIFS('Calendário 2026'!$S$2:T2387,'Calendário 2026'!$O$2:P2387,A12,'Calendário 2026'!$R$2:S2387,$C$3)</f>
        <v>4600</v>
      </c>
      <c r="D12" s="35">
        <f>SUMIFS('Calendário 2026'!$S$2:U2387,'Calendário 2026'!$O$2:Q2387,A12,'Calendário 2026'!$R$2:T2387,$D$3)</f>
        <v>5550</v>
      </c>
      <c r="E12" s="35">
        <f>SUMIFS('Calendário 2026'!$S$2:V2387,'Calendário 2026'!$O$2:R2387,A12,'Calendário 2026'!$R$2:U2387,$E$3)</f>
        <v>1100</v>
      </c>
      <c r="F12" s="32">
        <f t="shared" si="0"/>
        <v>11250</v>
      </c>
      <c r="G12" s="33">
        <f t="shared" si="1"/>
        <v>5.2546589908476456E-4</v>
      </c>
    </row>
    <row r="13" spans="1:7" ht="22.5" customHeight="1">
      <c r="A13" s="34" t="s">
        <v>436</v>
      </c>
      <c r="B13" s="35">
        <f>SUMIFS('Calendário 2026'!$S$2:S2388,'Calendário 2026'!$O$2:O2388,A13,'Calendário 2026'!$R$2:R2388,$B$3)</f>
        <v>650</v>
      </c>
      <c r="C13" s="35">
        <f>SUMIFS('Calendário 2026'!$S$2:T2388,'Calendário 2026'!$O$2:P2388,A13,'Calendário 2026'!$R$2:S2388,$C$3)</f>
        <v>3500</v>
      </c>
      <c r="D13" s="35">
        <f>SUMIFS('Calendário 2026'!$S$2:U2388,'Calendário 2026'!$O$2:Q2388,A13,'Calendário 2026'!$R$2:T2388,$D$3)</f>
        <v>6000</v>
      </c>
      <c r="E13" s="35">
        <f>SUMIFS('Calendário 2026'!$S$2:V2388,'Calendário 2026'!$O$2:R2388,A13,'Calendário 2026'!$R$2:U2388,$E$3)</f>
        <v>0</v>
      </c>
      <c r="F13" s="36">
        <f t="shared" si="0"/>
        <v>10150</v>
      </c>
      <c r="G13" s="37">
        <f t="shared" si="1"/>
        <v>4.7408701117425422E-4</v>
      </c>
    </row>
    <row r="14" spans="1:7" ht="22.5" customHeight="1">
      <c r="A14" s="30" t="s">
        <v>3464</v>
      </c>
      <c r="B14" s="35">
        <f>SUMIFS('Calendário 2026'!$S$2:S2389,'Calendário 2026'!$O$2:O2389,A14,'Calendário 2026'!$R$2:R2389,$B$3)</f>
        <v>0</v>
      </c>
      <c r="C14" s="35">
        <f>SUMIFS('Calendário 2026'!$S$2:T2389,'Calendário 2026'!$O$2:P2389,A14,'Calendário 2026'!$R$2:S2389,$C$3)</f>
        <v>0</v>
      </c>
      <c r="D14" s="35">
        <f>SUMIFS('Calendário 2026'!$S$2:U2389,'Calendário 2026'!$O$2:Q2389,A14,'Calendário 2026'!$R$2:T2389,$D$3)</f>
        <v>1000</v>
      </c>
      <c r="E14" s="35">
        <f>SUMIFS('Calendário 2026'!$S$2:V2389,'Calendário 2026'!$O$2:R2389,A14,'Calendário 2026'!$R$2:U2389,$E$3)</f>
        <v>0</v>
      </c>
      <c r="F14" s="32">
        <f t="shared" si="0"/>
        <v>1000</v>
      </c>
      <c r="G14" s="33">
        <f t="shared" si="1"/>
        <v>4.6708079918645738E-5</v>
      </c>
    </row>
    <row r="15" spans="1:7" ht="22.5" customHeight="1">
      <c r="A15" s="38" t="s">
        <v>4656</v>
      </c>
      <c r="B15" s="36">
        <f t="shared" ref="B15:F15" si="2">SUM(B4:B14)</f>
        <v>3329550</v>
      </c>
      <c r="C15" s="36">
        <f t="shared" si="2"/>
        <v>10875550</v>
      </c>
      <c r="D15" s="36">
        <f t="shared" si="2"/>
        <v>6823172</v>
      </c>
      <c r="E15" s="36">
        <f t="shared" si="2"/>
        <v>381300</v>
      </c>
      <c r="F15" s="39">
        <f t="shared" si="2"/>
        <v>21409572</v>
      </c>
      <c r="G15" s="37">
        <f t="shared" si="1"/>
        <v>1</v>
      </c>
    </row>
    <row r="16" spans="1:7" ht="22.5" customHeight="1">
      <c r="A16" s="40" t="s">
        <v>4658</v>
      </c>
      <c r="B16" s="41">
        <f t="shared" ref="B16:F16" si="3">B15/$F$15</f>
        <v>0.15551688749312689</v>
      </c>
      <c r="C16" s="41">
        <f t="shared" si="3"/>
        <v>0.50797605855922767</v>
      </c>
      <c r="D16" s="41">
        <f t="shared" si="3"/>
        <v>0.31869726307466584</v>
      </c>
      <c r="E16" s="41">
        <f t="shared" si="3"/>
        <v>1.7809790872979618E-2</v>
      </c>
      <c r="F16" s="41">
        <f t="shared" si="3"/>
        <v>1</v>
      </c>
      <c r="G16" s="42"/>
    </row>
    <row r="17" spans="1:21">
      <c r="A17" s="43"/>
      <c r="B17" s="43"/>
      <c r="C17" s="43"/>
      <c r="D17" s="43"/>
      <c r="E17" s="43"/>
      <c r="F17" s="43"/>
      <c r="G17" s="43"/>
      <c r="H17" s="43"/>
      <c r="I17" s="43"/>
      <c r="J17" s="43"/>
      <c r="K17" s="43"/>
      <c r="L17" s="43"/>
      <c r="M17" s="43"/>
      <c r="N17" s="43"/>
      <c r="O17" s="43"/>
      <c r="P17" s="43"/>
      <c r="Q17" s="43"/>
      <c r="R17" s="43"/>
      <c r="S17" s="43"/>
      <c r="T17" s="43"/>
      <c r="U17" s="43"/>
    </row>
    <row r="18" spans="1:21" ht="22.5" customHeight="1">
      <c r="A18" s="44" t="s">
        <v>4659</v>
      </c>
      <c r="B18" s="45" t="s">
        <v>230</v>
      </c>
      <c r="C18" s="45" t="s">
        <v>48</v>
      </c>
      <c r="D18" s="45" t="s">
        <v>74</v>
      </c>
      <c r="E18" s="46" t="s">
        <v>256</v>
      </c>
      <c r="F18" s="43"/>
      <c r="G18" s="43"/>
      <c r="H18" s="47"/>
      <c r="I18" s="43"/>
      <c r="J18" s="43"/>
      <c r="K18" s="43"/>
      <c r="L18" s="43"/>
      <c r="M18" s="43"/>
      <c r="N18" s="43"/>
      <c r="O18" s="43"/>
      <c r="P18" s="43"/>
      <c r="Q18" s="43"/>
      <c r="R18" s="43"/>
      <c r="S18" s="43"/>
      <c r="T18" s="43"/>
      <c r="U18" s="43"/>
    </row>
    <row r="19" spans="1:21" ht="22.5" customHeight="1">
      <c r="A19" s="48" t="s">
        <v>45</v>
      </c>
      <c r="B19" s="49">
        <v>823.24</v>
      </c>
      <c r="C19" s="49">
        <v>298.19</v>
      </c>
      <c r="D19" s="49">
        <v>253.69</v>
      </c>
      <c r="E19" s="50">
        <v>100.14</v>
      </c>
      <c r="F19" s="43"/>
      <c r="G19" s="43"/>
      <c r="H19" s="47"/>
      <c r="I19" s="43"/>
      <c r="J19" s="43"/>
      <c r="K19" s="43"/>
      <c r="L19" s="43"/>
      <c r="M19" s="43"/>
      <c r="N19" s="43"/>
      <c r="O19" s="43"/>
      <c r="P19" s="43"/>
      <c r="Q19" s="43"/>
      <c r="R19" s="43"/>
      <c r="S19" s="43"/>
      <c r="T19" s="43"/>
      <c r="U19" s="43"/>
    </row>
    <row r="20" spans="1:21" ht="22.5" customHeight="1">
      <c r="A20" s="51" t="s">
        <v>190</v>
      </c>
      <c r="B20" s="52">
        <v>338.4</v>
      </c>
      <c r="C20" s="52">
        <v>274.37</v>
      </c>
      <c r="D20" s="52">
        <v>127.75</v>
      </c>
      <c r="E20" s="53">
        <v>64.540000000000006</v>
      </c>
      <c r="F20" s="43"/>
      <c r="G20" s="43"/>
      <c r="H20" s="43"/>
      <c r="I20" s="43"/>
      <c r="J20" s="43"/>
      <c r="K20" s="43"/>
      <c r="L20" s="43"/>
      <c r="M20" s="43"/>
      <c r="N20" s="43"/>
      <c r="O20" s="43"/>
      <c r="P20" s="43"/>
      <c r="Q20" s="43"/>
      <c r="R20" s="43"/>
      <c r="S20" s="43"/>
      <c r="T20" s="43"/>
      <c r="U20" s="43"/>
    </row>
    <row r="21" spans="1:21" ht="22.5" customHeight="1">
      <c r="A21" s="48" t="s">
        <v>221</v>
      </c>
      <c r="B21" s="49">
        <v>320.44</v>
      </c>
      <c r="C21" s="49">
        <v>160.22</v>
      </c>
      <c r="D21" s="49">
        <v>126.39</v>
      </c>
      <c r="E21" s="50">
        <v>41.17</v>
      </c>
      <c r="F21" s="43"/>
      <c r="G21" s="43"/>
      <c r="H21" s="43"/>
      <c r="I21" s="43"/>
      <c r="J21" s="43"/>
      <c r="K21" s="43"/>
      <c r="L21" s="43"/>
      <c r="M21" s="43"/>
      <c r="N21" s="43"/>
      <c r="O21" s="43"/>
      <c r="P21" s="43"/>
      <c r="Q21" s="43"/>
      <c r="R21" s="43"/>
      <c r="S21" s="43"/>
      <c r="T21" s="43"/>
      <c r="U21" s="43"/>
    </row>
    <row r="22" spans="1:21" ht="22.5" customHeight="1">
      <c r="A22" s="51" t="s">
        <v>62</v>
      </c>
      <c r="B22" s="52">
        <v>1009.39</v>
      </c>
      <c r="C22" s="52">
        <v>390.54</v>
      </c>
      <c r="D22" s="52">
        <v>127.07</v>
      </c>
      <c r="E22" s="53">
        <v>53.41</v>
      </c>
      <c r="F22" s="43"/>
      <c r="G22" s="43"/>
      <c r="H22" s="43"/>
      <c r="I22" s="43"/>
      <c r="J22" s="43"/>
      <c r="K22" s="43"/>
      <c r="L22" s="43"/>
      <c r="M22" s="43"/>
      <c r="N22" s="43"/>
      <c r="O22" s="43"/>
      <c r="P22" s="43"/>
      <c r="Q22" s="43"/>
      <c r="R22" s="43"/>
      <c r="S22" s="43"/>
      <c r="T22" s="43"/>
      <c r="U22" s="43"/>
    </row>
    <row r="23" spans="1:21" ht="22.5" customHeight="1">
      <c r="A23" s="48" t="s">
        <v>99</v>
      </c>
      <c r="B23" s="49">
        <v>396.93</v>
      </c>
      <c r="C23" s="49">
        <v>149.1</v>
      </c>
      <c r="D23" s="49">
        <v>126.84</v>
      </c>
      <c r="E23" s="50">
        <v>50.07</v>
      </c>
      <c r="F23" s="43"/>
      <c r="G23" s="43"/>
      <c r="H23" s="43"/>
      <c r="I23" s="43"/>
      <c r="J23" s="43"/>
      <c r="K23" s="43"/>
      <c r="L23" s="43"/>
      <c r="M23" s="43"/>
      <c r="N23" s="43"/>
      <c r="O23" s="43"/>
      <c r="P23" s="43"/>
      <c r="Q23" s="43"/>
      <c r="R23" s="43"/>
      <c r="S23" s="43"/>
      <c r="T23" s="43"/>
      <c r="U23" s="43"/>
    </row>
    <row r="24" spans="1:21" ht="22.5" customHeight="1">
      <c r="A24" s="51" t="s">
        <v>234</v>
      </c>
      <c r="B24" s="52">
        <v>789.48</v>
      </c>
      <c r="C24" s="52">
        <v>526.32000000000005</v>
      </c>
      <c r="D24" s="52">
        <v>315.79000000000002</v>
      </c>
      <c r="E24" s="53">
        <v>126.32</v>
      </c>
      <c r="F24" s="43"/>
      <c r="G24" s="43"/>
      <c r="H24" s="43"/>
      <c r="I24" s="43"/>
      <c r="J24" s="43"/>
      <c r="K24" s="43"/>
      <c r="L24" s="43"/>
      <c r="M24" s="43"/>
      <c r="N24" s="43"/>
      <c r="O24" s="43"/>
      <c r="P24" s="43"/>
      <c r="Q24" s="43"/>
      <c r="R24" s="43"/>
      <c r="S24" s="43"/>
      <c r="T24" s="43"/>
      <c r="U24" s="43"/>
    </row>
    <row r="25" spans="1:21" ht="22.5" customHeight="1">
      <c r="A25" s="48" t="s">
        <v>142</v>
      </c>
      <c r="B25" s="49">
        <v>846.24</v>
      </c>
      <c r="C25" s="49">
        <v>676.99</v>
      </c>
      <c r="D25" s="49">
        <v>406.19</v>
      </c>
      <c r="E25" s="50">
        <v>172.68</v>
      </c>
      <c r="F25" s="43"/>
      <c r="G25" s="43"/>
      <c r="H25" s="43"/>
      <c r="I25" s="43"/>
      <c r="J25" s="43"/>
      <c r="K25" s="43"/>
      <c r="L25" s="43"/>
      <c r="M25" s="43"/>
      <c r="N25" s="43"/>
      <c r="O25" s="43"/>
      <c r="P25" s="43"/>
      <c r="Q25" s="43"/>
      <c r="R25" s="43"/>
      <c r="S25" s="43"/>
      <c r="T25" s="43"/>
      <c r="U25" s="43"/>
    </row>
    <row r="26" spans="1:21" ht="22.5" customHeight="1">
      <c r="A26" s="51" t="s">
        <v>642</v>
      </c>
      <c r="B26" s="52">
        <v>846.24</v>
      </c>
      <c r="C26" s="52">
        <v>676.99</v>
      </c>
      <c r="D26" s="52">
        <v>406.19</v>
      </c>
      <c r="E26" s="53">
        <v>172.68</v>
      </c>
      <c r="F26" s="43"/>
      <c r="G26" s="43"/>
      <c r="H26" s="43"/>
      <c r="I26" s="43"/>
      <c r="J26" s="43"/>
      <c r="K26" s="43"/>
      <c r="L26" s="43"/>
      <c r="M26" s="43"/>
      <c r="N26" s="43"/>
      <c r="O26" s="43"/>
      <c r="P26" s="43"/>
      <c r="Q26" s="43"/>
      <c r="R26" s="43"/>
      <c r="S26" s="43"/>
      <c r="T26" s="43"/>
      <c r="U26" s="43"/>
    </row>
    <row r="27" spans="1:21" ht="22.5" customHeight="1">
      <c r="A27" s="48" t="s">
        <v>310</v>
      </c>
      <c r="B27" s="49">
        <v>809.26</v>
      </c>
      <c r="C27" s="49">
        <v>604.30999999999995</v>
      </c>
      <c r="D27" s="49">
        <v>362.59</v>
      </c>
      <c r="E27" s="50">
        <v>217.55</v>
      </c>
      <c r="F27" s="43"/>
      <c r="G27" s="43"/>
      <c r="H27" s="43"/>
      <c r="I27" s="43"/>
      <c r="J27" s="43"/>
      <c r="K27" s="43"/>
      <c r="L27" s="43"/>
      <c r="M27" s="43"/>
      <c r="N27" s="43"/>
      <c r="O27" s="43"/>
      <c r="P27" s="43"/>
      <c r="Q27" s="43"/>
      <c r="R27" s="43"/>
      <c r="S27" s="43"/>
      <c r="T27" s="43"/>
      <c r="U27" s="43"/>
    </row>
    <row r="28" spans="1:21" ht="22.5" customHeight="1">
      <c r="A28" s="51" t="s">
        <v>436</v>
      </c>
      <c r="B28" s="52">
        <v>1009.39</v>
      </c>
      <c r="C28" s="52">
        <v>390.54</v>
      </c>
      <c r="D28" s="52">
        <v>127.07</v>
      </c>
      <c r="E28" s="53">
        <v>53.41</v>
      </c>
      <c r="F28" s="43"/>
      <c r="G28" s="43"/>
      <c r="H28" s="43"/>
      <c r="I28" s="43"/>
      <c r="J28" s="43"/>
      <c r="K28" s="43"/>
      <c r="L28" s="43"/>
      <c r="M28" s="43"/>
      <c r="N28" s="43"/>
      <c r="O28" s="43"/>
      <c r="P28" s="43"/>
      <c r="Q28" s="43"/>
      <c r="R28" s="43"/>
      <c r="S28" s="43"/>
      <c r="T28" s="43"/>
      <c r="U28" s="43"/>
    </row>
    <row r="29" spans="1:21" ht="22.5" customHeight="1">
      <c r="A29" s="54" t="s">
        <v>3464</v>
      </c>
      <c r="B29" s="55">
        <v>666.75</v>
      </c>
      <c r="C29" s="55">
        <v>400.01</v>
      </c>
      <c r="D29" s="55">
        <v>240.03</v>
      </c>
      <c r="E29" s="56">
        <v>144.02000000000001</v>
      </c>
      <c r="F29" s="43"/>
      <c r="G29" s="43"/>
      <c r="H29" s="43"/>
      <c r="I29" s="43"/>
      <c r="J29" s="43"/>
      <c r="K29" s="43"/>
      <c r="L29" s="43"/>
      <c r="M29" s="43"/>
      <c r="N29" s="43"/>
      <c r="O29" s="43"/>
      <c r="P29" s="43"/>
      <c r="Q29" s="43"/>
      <c r="R29" s="43"/>
      <c r="S29" s="43"/>
      <c r="T29" s="43"/>
      <c r="U29" s="43"/>
    </row>
    <row r="30" spans="1:21">
      <c r="A30" s="43"/>
      <c r="B30" s="43"/>
      <c r="C30" s="43"/>
      <c r="D30" s="43"/>
      <c r="E30" s="43"/>
      <c r="F30" s="43"/>
      <c r="G30" s="43"/>
      <c r="H30" s="43"/>
      <c r="I30" s="43"/>
      <c r="J30" s="43"/>
      <c r="K30" s="43"/>
      <c r="L30" s="43"/>
      <c r="M30" s="43"/>
      <c r="N30" s="43"/>
      <c r="O30" s="43"/>
      <c r="P30" s="43"/>
      <c r="Q30" s="43"/>
      <c r="R30" s="43"/>
      <c r="S30" s="43"/>
      <c r="T30" s="43"/>
      <c r="U30" s="43"/>
    </row>
    <row r="31" spans="1:21" ht="22.5" customHeight="1">
      <c r="A31" s="27" t="s">
        <v>4660</v>
      </c>
      <c r="B31" s="28" t="s">
        <v>230</v>
      </c>
      <c r="C31" s="28" t="s">
        <v>48</v>
      </c>
      <c r="D31" s="28" t="s">
        <v>74</v>
      </c>
      <c r="E31" s="28" t="s">
        <v>256</v>
      </c>
      <c r="F31" s="28" t="s">
        <v>4656</v>
      </c>
      <c r="G31" s="29" t="s">
        <v>4657</v>
      </c>
      <c r="H31" s="43"/>
      <c r="I31" s="43"/>
      <c r="J31" s="43"/>
      <c r="K31" s="43"/>
      <c r="L31" s="43"/>
      <c r="M31" s="43"/>
      <c r="N31" s="43"/>
      <c r="O31" s="43"/>
      <c r="P31" s="43"/>
      <c r="Q31" s="43"/>
      <c r="R31" s="43"/>
      <c r="S31" s="43"/>
      <c r="T31" s="43"/>
      <c r="U31" s="43"/>
    </row>
    <row r="32" spans="1:21" ht="22.5" customHeight="1">
      <c r="A32" s="30" t="s">
        <v>45</v>
      </c>
      <c r="B32" s="49">
        <f t="shared" ref="B32:E32" si="4">B19*B4</f>
        <v>1926793220</v>
      </c>
      <c r="C32" s="49">
        <f t="shared" si="4"/>
        <v>2597831280</v>
      </c>
      <c r="D32" s="49">
        <f t="shared" si="4"/>
        <v>1096194490</v>
      </c>
      <c r="E32" s="49">
        <f t="shared" si="4"/>
        <v>12908046</v>
      </c>
      <c r="F32" s="49">
        <f t="shared" ref="F32:F43" si="5">SUM(B32:E32)</f>
        <v>5633727036</v>
      </c>
      <c r="G32" s="33">
        <f t="shared" ref="G32:G43" si="6">F32/$F$43</f>
        <v>0.78694752821721947</v>
      </c>
      <c r="H32" s="43"/>
      <c r="I32" s="43"/>
      <c r="J32" s="43"/>
      <c r="K32" s="43"/>
      <c r="L32" s="43"/>
      <c r="M32" s="43"/>
      <c r="N32" s="43"/>
      <c r="O32" s="43"/>
      <c r="P32" s="43"/>
      <c r="Q32" s="43"/>
      <c r="R32" s="43"/>
      <c r="S32" s="43"/>
      <c r="T32" s="43"/>
      <c r="U32" s="43"/>
    </row>
    <row r="33" spans="1:21" ht="22.5" customHeight="1">
      <c r="A33" s="57" t="s">
        <v>190</v>
      </c>
      <c r="B33" s="49">
        <f t="shared" ref="B33:E33" si="7">B20*B5</f>
        <v>18205920</v>
      </c>
      <c r="C33" s="49">
        <f t="shared" si="7"/>
        <v>119282357.5</v>
      </c>
      <c r="D33" s="49">
        <f t="shared" si="7"/>
        <v>110410492.5</v>
      </c>
      <c r="E33" s="49">
        <f t="shared" si="7"/>
        <v>2149182</v>
      </c>
      <c r="F33" s="58">
        <f t="shared" si="5"/>
        <v>250047952</v>
      </c>
      <c r="G33" s="59">
        <f t="shared" si="6"/>
        <v>3.4927964472678784E-2</v>
      </c>
      <c r="H33" s="43"/>
      <c r="I33" s="43"/>
      <c r="J33" s="43"/>
      <c r="K33" s="43"/>
      <c r="L33" s="43"/>
      <c r="M33" s="43"/>
      <c r="N33" s="43"/>
      <c r="O33" s="43"/>
      <c r="P33" s="43"/>
      <c r="Q33" s="43"/>
      <c r="R33" s="43"/>
      <c r="S33" s="43"/>
      <c r="T33" s="43"/>
      <c r="U33" s="43"/>
    </row>
    <row r="34" spans="1:21" ht="22.5" customHeight="1">
      <c r="A34" s="30" t="s">
        <v>221</v>
      </c>
      <c r="B34" s="49">
        <f t="shared" ref="B34:E34" si="8">B21*B6</f>
        <v>185855200</v>
      </c>
      <c r="C34" s="49">
        <f t="shared" si="8"/>
        <v>158778020</v>
      </c>
      <c r="D34" s="49">
        <f t="shared" si="8"/>
        <v>127395053.28</v>
      </c>
      <c r="E34" s="49">
        <f t="shared" si="8"/>
        <v>2132606</v>
      </c>
      <c r="F34" s="49">
        <f t="shared" si="5"/>
        <v>474160879.27999997</v>
      </c>
      <c r="G34" s="33">
        <f t="shared" si="6"/>
        <v>6.6233193326958234E-2</v>
      </c>
      <c r="H34" s="43"/>
      <c r="I34" s="43"/>
      <c r="J34" s="43"/>
      <c r="K34" s="43"/>
      <c r="L34" s="43"/>
      <c r="M34" s="43"/>
      <c r="N34" s="43"/>
      <c r="O34" s="43"/>
      <c r="P34" s="43"/>
      <c r="Q34" s="43"/>
      <c r="R34" s="43"/>
      <c r="S34" s="43"/>
      <c r="T34" s="43"/>
      <c r="U34" s="43"/>
    </row>
    <row r="35" spans="1:21" ht="22.5" customHeight="1">
      <c r="A35" s="57" t="s">
        <v>62</v>
      </c>
      <c r="B35" s="49">
        <f t="shared" ref="B35:E35" si="9">B22*B7</f>
        <v>147976574</v>
      </c>
      <c r="C35" s="49">
        <f t="shared" si="9"/>
        <v>54128844</v>
      </c>
      <c r="D35" s="49">
        <f t="shared" si="9"/>
        <v>6613993.5</v>
      </c>
      <c r="E35" s="49">
        <f t="shared" si="9"/>
        <v>555464</v>
      </c>
      <c r="F35" s="58">
        <f t="shared" si="5"/>
        <v>209274875.5</v>
      </c>
      <c r="G35" s="59">
        <f t="shared" si="6"/>
        <v>2.923257462427957E-2</v>
      </c>
      <c r="H35" s="43"/>
      <c r="I35" s="43"/>
      <c r="J35" s="43"/>
      <c r="K35" s="43"/>
      <c r="L35" s="43"/>
      <c r="M35" s="43"/>
      <c r="N35" s="43"/>
      <c r="O35" s="43"/>
      <c r="P35" s="43"/>
      <c r="Q35" s="43"/>
      <c r="R35" s="43"/>
      <c r="S35" s="43"/>
      <c r="T35" s="43"/>
      <c r="U35" s="43"/>
    </row>
    <row r="36" spans="1:21" ht="22.5" customHeight="1">
      <c r="A36" s="30" t="s">
        <v>99</v>
      </c>
      <c r="B36" s="49">
        <f t="shared" ref="B36:E36" si="10">B23*B8</f>
        <v>0</v>
      </c>
      <c r="C36" s="49">
        <f t="shared" si="10"/>
        <v>31758300</v>
      </c>
      <c r="D36" s="49">
        <f t="shared" si="10"/>
        <v>29807400</v>
      </c>
      <c r="E36" s="49">
        <f t="shared" si="10"/>
        <v>7300206</v>
      </c>
      <c r="F36" s="49">
        <f t="shared" si="5"/>
        <v>68865906</v>
      </c>
      <c r="G36" s="33">
        <f t="shared" si="6"/>
        <v>9.6195385681336707E-3</v>
      </c>
      <c r="H36" s="43"/>
      <c r="I36" s="43"/>
      <c r="J36" s="43"/>
      <c r="K36" s="43"/>
      <c r="L36" s="43"/>
      <c r="M36" s="43"/>
      <c r="N36" s="43"/>
      <c r="O36" s="43"/>
      <c r="P36" s="43"/>
      <c r="Q36" s="43"/>
      <c r="R36" s="43"/>
      <c r="S36" s="43"/>
      <c r="T36" s="43"/>
      <c r="U36" s="43"/>
    </row>
    <row r="37" spans="1:21" ht="22.5" customHeight="1">
      <c r="A37" s="57" t="s">
        <v>234</v>
      </c>
      <c r="B37" s="49">
        <f t="shared" ref="B37:E37" si="11">B24*B9</f>
        <v>0</v>
      </c>
      <c r="C37" s="49">
        <f t="shared" si="11"/>
        <v>126843120.00000001</v>
      </c>
      <c r="D37" s="49">
        <f t="shared" si="11"/>
        <v>58547466.000000007</v>
      </c>
      <c r="E37" s="49">
        <f t="shared" si="11"/>
        <v>0</v>
      </c>
      <c r="F37" s="58">
        <f t="shared" si="5"/>
        <v>185390586.00000003</v>
      </c>
      <c r="G37" s="59">
        <f t="shared" si="6"/>
        <v>2.5896296088748216E-2</v>
      </c>
      <c r="H37" s="43"/>
      <c r="I37" s="43"/>
      <c r="J37" s="43"/>
      <c r="K37" s="43"/>
      <c r="L37" s="43"/>
      <c r="M37" s="43"/>
      <c r="N37" s="43"/>
      <c r="O37" s="43"/>
      <c r="P37" s="43"/>
      <c r="Q37" s="43"/>
      <c r="R37" s="43"/>
      <c r="S37" s="43"/>
      <c r="T37" s="43"/>
      <c r="U37" s="43"/>
    </row>
    <row r="38" spans="1:21" ht="22.5" customHeight="1">
      <c r="A38" s="30" t="s">
        <v>142</v>
      </c>
      <c r="B38" s="49">
        <f t="shared" ref="B38:E38" si="12">B25*B10</f>
        <v>148092000</v>
      </c>
      <c r="C38" s="49">
        <f t="shared" si="12"/>
        <v>87873302</v>
      </c>
      <c r="D38" s="49">
        <f t="shared" si="12"/>
        <v>50590964.5</v>
      </c>
      <c r="E38" s="49">
        <f t="shared" si="12"/>
        <v>1726800</v>
      </c>
      <c r="F38" s="49">
        <f t="shared" si="5"/>
        <v>288283066.5</v>
      </c>
      <c r="G38" s="33">
        <f t="shared" si="6"/>
        <v>4.0268838933689391E-2</v>
      </c>
      <c r="H38" s="43"/>
      <c r="I38" s="43"/>
      <c r="J38" s="43"/>
      <c r="K38" s="43"/>
      <c r="L38" s="43"/>
      <c r="M38" s="43"/>
      <c r="N38" s="43"/>
      <c r="O38" s="43"/>
      <c r="P38" s="43"/>
      <c r="Q38" s="43"/>
      <c r="R38" s="43"/>
      <c r="S38" s="43"/>
      <c r="T38" s="43"/>
      <c r="U38" s="43"/>
    </row>
    <row r="39" spans="1:21" ht="22.5" customHeight="1">
      <c r="A39" s="57" t="s">
        <v>642</v>
      </c>
      <c r="B39" s="49">
        <f t="shared" ref="B39:E39" si="13">B26*B11</f>
        <v>27925920</v>
      </c>
      <c r="C39" s="49">
        <f t="shared" si="13"/>
        <v>4942027</v>
      </c>
      <c r="D39" s="49">
        <f t="shared" si="13"/>
        <v>8286276</v>
      </c>
      <c r="E39" s="49">
        <f t="shared" si="13"/>
        <v>0</v>
      </c>
      <c r="F39" s="58">
        <f t="shared" si="5"/>
        <v>41154223</v>
      </c>
      <c r="G39" s="59">
        <f t="shared" si="6"/>
        <v>5.7486303220939802E-3</v>
      </c>
      <c r="H39" s="43"/>
      <c r="I39" s="43"/>
      <c r="J39" s="43"/>
      <c r="K39" s="43"/>
      <c r="L39" s="43"/>
      <c r="M39" s="43"/>
      <c r="N39" s="43"/>
      <c r="O39" s="43"/>
      <c r="P39" s="43"/>
      <c r="Q39" s="43"/>
      <c r="R39" s="43"/>
      <c r="S39" s="43"/>
      <c r="T39" s="43"/>
      <c r="U39" s="43"/>
    </row>
    <row r="40" spans="1:21" ht="22.5" customHeight="1">
      <c r="A40" s="30" t="s">
        <v>310</v>
      </c>
      <c r="B40" s="49">
        <f t="shared" ref="B40:E40" si="14">B27*B12</f>
        <v>0</v>
      </c>
      <c r="C40" s="49">
        <f t="shared" si="14"/>
        <v>2779825.9999999995</v>
      </c>
      <c r="D40" s="49">
        <f t="shared" si="14"/>
        <v>2012374.4999999998</v>
      </c>
      <c r="E40" s="49">
        <f t="shared" si="14"/>
        <v>239305</v>
      </c>
      <c r="F40" s="49">
        <f t="shared" si="5"/>
        <v>5031505.4999999991</v>
      </c>
      <c r="G40" s="33">
        <f t="shared" si="6"/>
        <v>7.0282617370962463E-4</v>
      </c>
      <c r="H40" s="43"/>
      <c r="I40" s="43"/>
      <c r="J40" s="43"/>
      <c r="K40" s="43"/>
      <c r="L40" s="43"/>
      <c r="M40" s="43"/>
      <c r="N40" s="43"/>
      <c r="O40" s="43"/>
      <c r="P40" s="43"/>
      <c r="Q40" s="43"/>
      <c r="R40" s="43"/>
      <c r="S40" s="43"/>
      <c r="T40" s="43"/>
      <c r="U40" s="43"/>
    </row>
    <row r="41" spans="1:21" ht="22.5" customHeight="1">
      <c r="A41" s="57" t="s">
        <v>436</v>
      </c>
      <c r="B41" s="49">
        <f t="shared" ref="B41:E41" si="15">B28*B13</f>
        <v>656103.5</v>
      </c>
      <c r="C41" s="49">
        <f t="shared" si="15"/>
        <v>1366890</v>
      </c>
      <c r="D41" s="49">
        <f t="shared" si="15"/>
        <v>762420</v>
      </c>
      <c r="E41" s="49">
        <f t="shared" si="15"/>
        <v>0</v>
      </c>
      <c r="F41" s="58">
        <f t="shared" si="5"/>
        <v>2785413.5</v>
      </c>
      <c r="G41" s="59">
        <f t="shared" si="6"/>
        <v>3.8908066629443887E-4</v>
      </c>
      <c r="H41" s="43"/>
      <c r="I41" s="43"/>
      <c r="J41" s="43"/>
      <c r="K41" s="43"/>
      <c r="L41" s="43"/>
      <c r="M41" s="43"/>
      <c r="N41" s="43"/>
      <c r="O41" s="43"/>
      <c r="P41" s="43"/>
      <c r="Q41" s="43"/>
      <c r="R41" s="43"/>
      <c r="S41" s="43"/>
      <c r="T41" s="43"/>
      <c r="U41" s="43"/>
    </row>
    <row r="42" spans="1:21" ht="22.5" customHeight="1">
      <c r="A42" s="30" t="s">
        <v>3464</v>
      </c>
      <c r="B42" s="49">
        <f t="shared" ref="B42:E42" si="16">B29*B14</f>
        <v>0</v>
      </c>
      <c r="C42" s="49">
        <f t="shared" si="16"/>
        <v>0</v>
      </c>
      <c r="D42" s="49">
        <f t="shared" si="16"/>
        <v>240030</v>
      </c>
      <c r="E42" s="49">
        <f t="shared" si="16"/>
        <v>0</v>
      </c>
      <c r="F42" s="49">
        <f t="shared" si="5"/>
        <v>240030</v>
      </c>
      <c r="G42" s="33">
        <f t="shared" si="6"/>
        <v>3.3528606194611375E-5</v>
      </c>
      <c r="H42" s="43"/>
      <c r="I42" s="43"/>
      <c r="J42" s="43"/>
      <c r="K42" s="43"/>
      <c r="L42" s="43"/>
      <c r="M42" s="43"/>
      <c r="N42" s="43"/>
      <c r="O42" s="43"/>
      <c r="P42" s="43"/>
      <c r="Q42" s="43"/>
      <c r="R42" s="43"/>
      <c r="S42" s="43"/>
      <c r="T42" s="43"/>
      <c r="U42" s="43"/>
    </row>
    <row r="43" spans="1:21" ht="22.5" customHeight="1">
      <c r="A43" s="60" t="s">
        <v>4656</v>
      </c>
      <c r="B43" s="61">
        <f t="shared" ref="B43:E43" si="17">SUM(B32:B42)</f>
        <v>2455504937.5</v>
      </c>
      <c r="C43" s="61">
        <f t="shared" si="17"/>
        <v>3185583966.5</v>
      </c>
      <c r="D43" s="61">
        <f t="shared" si="17"/>
        <v>1490860960.28</v>
      </c>
      <c r="E43" s="61">
        <f t="shared" si="17"/>
        <v>27011609</v>
      </c>
      <c r="F43" s="62">
        <f t="shared" si="5"/>
        <v>7158961473.2799997</v>
      </c>
      <c r="G43" s="59">
        <f t="shared" si="6"/>
        <v>1</v>
      </c>
      <c r="H43" s="43"/>
      <c r="I43" s="43"/>
      <c r="J43" s="43"/>
      <c r="K43" s="43"/>
      <c r="L43" s="43"/>
      <c r="M43" s="43"/>
      <c r="N43" s="43"/>
      <c r="O43" s="43"/>
      <c r="P43" s="43"/>
      <c r="Q43" s="43"/>
      <c r="R43" s="43"/>
      <c r="S43" s="43"/>
      <c r="T43" s="43"/>
      <c r="U43" s="43"/>
    </row>
    <row r="44" spans="1:21" ht="22.5" customHeight="1">
      <c r="A44" s="63" t="s">
        <v>4658</v>
      </c>
      <c r="B44" s="41">
        <f t="shared" ref="B44:F44" si="18">B43/$F$43</f>
        <v>0.34299736723893398</v>
      </c>
      <c r="C44" s="41">
        <f t="shared" si="18"/>
        <v>0.44497850398969541</v>
      </c>
      <c r="D44" s="41">
        <f t="shared" si="18"/>
        <v>0.20825101040765018</v>
      </c>
      <c r="E44" s="41">
        <f t="shared" si="18"/>
        <v>3.7731183637204537E-3</v>
      </c>
      <c r="F44" s="41">
        <f t="shared" si="18"/>
        <v>1</v>
      </c>
      <c r="G44" s="64"/>
      <c r="H44" s="43"/>
      <c r="I44" s="43"/>
      <c r="J44" s="43"/>
      <c r="K44" s="43"/>
      <c r="L44" s="43"/>
      <c r="M44" s="43"/>
      <c r="N44" s="43"/>
      <c r="O44" s="43"/>
      <c r="P44" s="43"/>
      <c r="Q44" s="43"/>
      <c r="R44" s="43"/>
      <c r="S44" s="43"/>
      <c r="T44" s="43"/>
      <c r="U44" s="43"/>
    </row>
  </sheetData>
  <dataValidations count="2">
    <dataValidation type="custom" allowBlank="1" showDropDown="1" sqref="B4:G16 B19:E29 G32:G44" xr:uid="{00000000-0002-0000-0200-000000000000}">
      <formula1>AND(ISNUMBER(B4),(NOT(OR(NOT(ISERROR(DATEVALUE(B4))), AND(ISNUMBER(B4), LEFT(CELL("format", B4))="D")))))</formula1>
    </dataValidation>
    <dataValidation allowBlank="1" showDropDown="1" sqref="A32:A44" xr:uid="{00000000-0002-0000-0200-000001000000}"/>
  </dataValidations>
  <pageMargins left="0" right="0" top="0" bottom="0" header="0" footer="0"/>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559"/>
  <sheetViews>
    <sheetView workbookViewId="0"/>
  </sheetViews>
  <sheetFormatPr defaultColWidth="12.5703125" defaultRowHeight="15.75" customHeight="1"/>
  <cols>
    <col min="1" max="1" width="20" customWidth="1"/>
    <col min="2" max="2" width="17" customWidth="1"/>
    <col min="3" max="3" width="42.28515625" customWidth="1"/>
    <col min="4" max="4" width="34.7109375" customWidth="1"/>
    <col min="5" max="5" width="18.85546875" customWidth="1"/>
  </cols>
  <sheetData>
    <row r="1" spans="1:5">
      <c r="A1" s="71" t="s">
        <v>4661</v>
      </c>
      <c r="B1" s="73"/>
      <c r="C1" s="73"/>
      <c r="D1" s="73"/>
      <c r="E1" s="73"/>
    </row>
    <row r="2" spans="1:5">
      <c r="A2" s="65" t="s">
        <v>4662</v>
      </c>
      <c r="B2" s="65" t="s">
        <v>4663</v>
      </c>
      <c r="C2" s="65" t="s">
        <v>4664</v>
      </c>
      <c r="D2" s="65" t="s">
        <v>4665</v>
      </c>
      <c r="E2" s="65" t="s">
        <v>4666</v>
      </c>
    </row>
    <row r="3" spans="1:5">
      <c r="A3" s="23" t="s">
        <v>4667</v>
      </c>
      <c r="B3" s="66">
        <v>24714</v>
      </c>
      <c r="C3" s="23" t="s">
        <v>4668</v>
      </c>
      <c r="D3" s="23" t="s">
        <v>4669</v>
      </c>
      <c r="E3" s="23" t="s">
        <v>4670</v>
      </c>
    </row>
    <row r="4" spans="1:5">
      <c r="A4" s="67" t="s">
        <v>4671</v>
      </c>
      <c r="B4" s="68">
        <v>25280</v>
      </c>
      <c r="C4" s="67" t="s">
        <v>4672</v>
      </c>
      <c r="D4" s="67" t="s">
        <v>4673</v>
      </c>
      <c r="E4" s="67" t="s">
        <v>4670</v>
      </c>
    </row>
    <row r="5" spans="1:5">
      <c r="A5" s="23" t="s">
        <v>4674</v>
      </c>
      <c r="B5" s="66">
        <v>24873</v>
      </c>
      <c r="C5" s="23" t="s">
        <v>4675</v>
      </c>
      <c r="D5" s="23" t="s">
        <v>4676</v>
      </c>
      <c r="E5" s="23" t="s">
        <v>4670</v>
      </c>
    </row>
    <row r="6" spans="1:5">
      <c r="A6" s="67" t="s">
        <v>4677</v>
      </c>
      <c r="B6" s="68">
        <v>25211</v>
      </c>
      <c r="C6" s="67" t="s">
        <v>4678</v>
      </c>
      <c r="D6" s="67" t="s">
        <v>4679</v>
      </c>
      <c r="E6" s="67" t="s">
        <v>4670</v>
      </c>
    </row>
    <row r="7" spans="1:5">
      <c r="A7" s="23" t="s">
        <v>4680</v>
      </c>
      <c r="B7" s="69">
        <v>25171</v>
      </c>
      <c r="C7" s="23" t="s">
        <v>4681</v>
      </c>
      <c r="D7" s="23" t="s">
        <v>4682</v>
      </c>
      <c r="E7" s="23" t="s">
        <v>4683</v>
      </c>
    </row>
    <row r="8" spans="1:5">
      <c r="A8" s="67" t="s">
        <v>4684</v>
      </c>
      <c r="B8" s="70">
        <v>25162</v>
      </c>
      <c r="C8" s="67" t="s">
        <v>4685</v>
      </c>
      <c r="D8" s="67" t="s">
        <v>4686</v>
      </c>
      <c r="E8" s="67" t="s">
        <v>4687</v>
      </c>
    </row>
    <row r="9" spans="1:5">
      <c r="A9" s="23" t="s">
        <v>4688</v>
      </c>
      <c r="B9" s="69">
        <v>24832</v>
      </c>
      <c r="C9" s="23" t="s">
        <v>4689</v>
      </c>
      <c r="D9" s="23" t="s">
        <v>4690</v>
      </c>
      <c r="E9" s="23" t="s">
        <v>4670</v>
      </c>
    </row>
    <row r="10" spans="1:5">
      <c r="A10" s="67" t="s">
        <v>4691</v>
      </c>
      <c r="B10" s="70">
        <v>24770</v>
      </c>
      <c r="C10" s="67" t="s">
        <v>4692</v>
      </c>
      <c r="D10" s="67" t="s">
        <v>4693</v>
      </c>
      <c r="E10" s="67" t="s">
        <v>4694</v>
      </c>
    </row>
    <row r="11" spans="1:5">
      <c r="A11" s="23" t="s">
        <v>4695</v>
      </c>
      <c r="B11" s="66">
        <v>25429</v>
      </c>
      <c r="C11" s="23" t="s">
        <v>4696</v>
      </c>
      <c r="D11" s="23" t="s">
        <v>4697</v>
      </c>
      <c r="E11" s="23" t="s">
        <v>4670</v>
      </c>
    </row>
    <row r="12" spans="1:5">
      <c r="A12" s="67" t="s">
        <v>4695</v>
      </c>
      <c r="B12" s="68">
        <v>25429</v>
      </c>
      <c r="C12" s="67" t="s">
        <v>4698</v>
      </c>
      <c r="D12" s="67" t="s">
        <v>4699</v>
      </c>
      <c r="E12" s="67" t="s">
        <v>3637</v>
      </c>
    </row>
    <row r="13" spans="1:5">
      <c r="A13" s="23" t="s">
        <v>4700</v>
      </c>
      <c r="B13" s="66">
        <v>25400</v>
      </c>
      <c r="C13" s="23" t="s">
        <v>4701</v>
      </c>
      <c r="D13" s="23" t="s">
        <v>4702</v>
      </c>
      <c r="E13" s="23" t="s">
        <v>4670</v>
      </c>
    </row>
    <row r="14" spans="1:5">
      <c r="A14" s="67" t="s">
        <v>4703</v>
      </c>
      <c r="B14" s="68">
        <v>25400</v>
      </c>
      <c r="C14" s="67" t="s">
        <v>4704</v>
      </c>
      <c r="D14" s="67" t="s">
        <v>4705</v>
      </c>
      <c r="E14" s="67" t="s">
        <v>4670</v>
      </c>
    </row>
    <row r="15" spans="1:5">
      <c r="A15" s="23" t="s">
        <v>4706</v>
      </c>
      <c r="B15" s="66">
        <v>25400</v>
      </c>
      <c r="C15" s="23" t="s">
        <v>4707</v>
      </c>
      <c r="D15" s="23" t="s">
        <v>4708</v>
      </c>
      <c r="E15" s="23" t="s">
        <v>4670</v>
      </c>
    </row>
    <row r="16" spans="1:5">
      <c r="A16" s="67" t="s">
        <v>4709</v>
      </c>
      <c r="B16" s="68">
        <v>25400</v>
      </c>
      <c r="C16" s="67" t="s">
        <v>4710</v>
      </c>
      <c r="D16" s="67" t="s">
        <v>4711</v>
      </c>
      <c r="E16" s="67" t="s">
        <v>4670</v>
      </c>
    </row>
    <row r="17" spans="1:5">
      <c r="A17" s="23" t="s">
        <v>4712</v>
      </c>
      <c r="B17" s="66">
        <v>25394</v>
      </c>
      <c r="C17" s="23" t="s">
        <v>4713</v>
      </c>
      <c r="D17" s="23" t="s">
        <v>4714</v>
      </c>
      <c r="E17" s="23" t="s">
        <v>4670</v>
      </c>
    </row>
    <row r="18" spans="1:5">
      <c r="A18" s="67" t="s">
        <v>4715</v>
      </c>
      <c r="B18" s="68">
        <v>25388</v>
      </c>
      <c r="C18" s="67" t="s">
        <v>4716</v>
      </c>
      <c r="D18" s="67" t="s">
        <v>4717</v>
      </c>
      <c r="E18" s="67" t="s">
        <v>4670</v>
      </c>
    </row>
    <row r="19" spans="1:5">
      <c r="A19" s="23" t="s">
        <v>4718</v>
      </c>
      <c r="B19" s="66">
        <v>25380</v>
      </c>
      <c r="C19" s="23" t="s">
        <v>4719</v>
      </c>
      <c r="D19" s="23" t="s">
        <v>4720</v>
      </c>
      <c r="E19" s="23" t="s">
        <v>4670</v>
      </c>
    </row>
    <row r="20" spans="1:5">
      <c r="A20" s="67" t="s">
        <v>4721</v>
      </c>
      <c r="B20" s="68">
        <v>25358</v>
      </c>
      <c r="C20" s="67" t="s">
        <v>4722</v>
      </c>
      <c r="D20" s="67" t="s">
        <v>4723</v>
      </c>
      <c r="E20" s="67" t="s">
        <v>4670</v>
      </c>
    </row>
    <row r="21" spans="1:5">
      <c r="A21" s="23" t="s">
        <v>4724</v>
      </c>
      <c r="B21" s="66">
        <v>25358</v>
      </c>
      <c r="C21" s="23" t="s">
        <v>4725</v>
      </c>
      <c r="D21" s="23" t="s">
        <v>4726</v>
      </c>
      <c r="E21" s="23" t="s">
        <v>4727</v>
      </c>
    </row>
    <row r="22" spans="1:5">
      <c r="A22" s="67" t="s">
        <v>4728</v>
      </c>
      <c r="B22" s="68">
        <v>25338</v>
      </c>
      <c r="C22" s="67" t="s">
        <v>4729</v>
      </c>
      <c r="D22" s="67" t="s">
        <v>4730</v>
      </c>
      <c r="E22" s="67" t="s">
        <v>3549</v>
      </c>
    </row>
    <row r="23" spans="1:5">
      <c r="A23" s="23" t="s">
        <v>4731</v>
      </c>
      <c r="B23" s="66">
        <v>25308</v>
      </c>
      <c r="C23" s="23" t="s">
        <v>4732</v>
      </c>
      <c r="D23" s="23" t="s">
        <v>4733</v>
      </c>
      <c r="E23" s="23" t="s">
        <v>4670</v>
      </c>
    </row>
    <row r="24" spans="1:5">
      <c r="A24" s="67" t="s">
        <v>4734</v>
      </c>
      <c r="B24" s="68">
        <v>25301</v>
      </c>
      <c r="C24" s="67" t="s">
        <v>4735</v>
      </c>
      <c r="D24" s="67" t="s">
        <v>4736</v>
      </c>
      <c r="E24" s="67" t="s">
        <v>4670</v>
      </c>
    </row>
    <row r="25" spans="1:5">
      <c r="A25" s="23" t="s">
        <v>4737</v>
      </c>
      <c r="B25" s="66">
        <v>25301</v>
      </c>
      <c r="C25" s="23" t="s">
        <v>4738</v>
      </c>
      <c r="D25" s="23" t="s">
        <v>4739</v>
      </c>
      <c r="E25" s="23" t="s">
        <v>4670</v>
      </c>
    </row>
    <row r="26" spans="1:5">
      <c r="A26" s="67" t="s">
        <v>4740</v>
      </c>
      <c r="B26" s="68">
        <v>25290</v>
      </c>
      <c r="C26" s="67" t="s">
        <v>4741</v>
      </c>
      <c r="D26" s="67" t="s">
        <v>4742</v>
      </c>
      <c r="E26" s="67" t="s">
        <v>4743</v>
      </c>
    </row>
    <row r="27" spans="1:5">
      <c r="A27" s="23" t="s">
        <v>4695</v>
      </c>
      <c r="B27" s="66">
        <v>25661</v>
      </c>
      <c r="C27" s="23" t="s">
        <v>4744</v>
      </c>
      <c r="D27" s="23" t="s">
        <v>4745</v>
      </c>
      <c r="E27" s="23" t="s">
        <v>4746</v>
      </c>
    </row>
    <row r="28" spans="1:5">
      <c r="A28" s="67" t="s">
        <v>4695</v>
      </c>
      <c r="B28" s="68">
        <v>25645</v>
      </c>
      <c r="C28" s="67" t="s">
        <v>4747</v>
      </c>
      <c r="D28" s="67" t="s">
        <v>4748</v>
      </c>
      <c r="E28" s="67" t="s">
        <v>4670</v>
      </c>
    </row>
    <row r="29" spans="1:5">
      <c r="A29" s="23" t="s">
        <v>4695</v>
      </c>
      <c r="B29" s="66">
        <v>25624</v>
      </c>
      <c r="C29" s="23" t="s">
        <v>4749</v>
      </c>
      <c r="D29" s="23" t="s">
        <v>4750</v>
      </c>
      <c r="E29" s="23" t="s">
        <v>4670</v>
      </c>
    </row>
    <row r="30" spans="1:5">
      <c r="A30" s="67" t="s">
        <v>4695</v>
      </c>
      <c r="B30" s="68">
        <v>25603</v>
      </c>
      <c r="C30" s="67" t="s">
        <v>4751</v>
      </c>
      <c r="D30" s="67" t="s">
        <v>4752</v>
      </c>
      <c r="E30" s="67" t="s">
        <v>3508</v>
      </c>
    </row>
    <row r="31" spans="1:5">
      <c r="A31" s="23" t="s">
        <v>4695</v>
      </c>
      <c r="B31" s="69">
        <v>25526</v>
      </c>
      <c r="C31" s="23" t="s">
        <v>4753</v>
      </c>
      <c r="D31" s="23" t="s">
        <v>4754</v>
      </c>
      <c r="E31" s="23" t="s">
        <v>4670</v>
      </c>
    </row>
    <row r="32" spans="1:5">
      <c r="A32" s="67" t="s">
        <v>4695</v>
      </c>
      <c r="B32" s="68">
        <v>25514</v>
      </c>
      <c r="C32" s="67" t="s">
        <v>4755</v>
      </c>
      <c r="D32" s="67" t="s">
        <v>4686</v>
      </c>
      <c r="E32" s="67" t="s">
        <v>4670</v>
      </c>
    </row>
    <row r="33" spans="1:5">
      <c r="A33" s="23" t="s">
        <v>4695</v>
      </c>
      <c r="B33" s="66">
        <v>25477</v>
      </c>
      <c r="C33" s="23" t="s">
        <v>4756</v>
      </c>
      <c r="D33" s="23" t="s">
        <v>4757</v>
      </c>
      <c r="E33" s="23" t="s">
        <v>4670</v>
      </c>
    </row>
    <row r="34" spans="1:5">
      <c r="A34" s="67" t="s">
        <v>4695</v>
      </c>
      <c r="B34" s="68">
        <v>25470</v>
      </c>
      <c r="C34" s="67" t="s">
        <v>4758</v>
      </c>
      <c r="D34" s="67" t="s">
        <v>4759</v>
      </c>
      <c r="E34" s="67" t="s">
        <v>4670</v>
      </c>
    </row>
    <row r="35" spans="1:5">
      <c r="A35" s="23" t="s">
        <v>4695</v>
      </c>
      <c r="B35" s="66">
        <v>25458</v>
      </c>
      <c r="C35" s="23" t="s">
        <v>4760</v>
      </c>
      <c r="D35" s="23" t="s">
        <v>4761</v>
      </c>
      <c r="E35" s="23" t="s">
        <v>4670</v>
      </c>
    </row>
    <row r="36" spans="1:5">
      <c r="A36" s="67" t="s">
        <v>4695</v>
      </c>
      <c r="B36" s="68">
        <v>25457</v>
      </c>
      <c r="C36" s="67" t="s">
        <v>4762</v>
      </c>
      <c r="D36" s="67" t="s">
        <v>4763</v>
      </c>
      <c r="E36" s="67" t="s">
        <v>4670</v>
      </c>
    </row>
    <row r="37" spans="1:5">
      <c r="A37" s="23" t="s">
        <v>4695</v>
      </c>
      <c r="B37" s="66">
        <v>25447</v>
      </c>
      <c r="C37" s="23" t="s">
        <v>4764</v>
      </c>
      <c r="D37" s="23" t="s">
        <v>4765</v>
      </c>
      <c r="E37" s="23" t="s">
        <v>4670</v>
      </c>
    </row>
    <row r="38" spans="1:5">
      <c r="A38" s="67" t="s">
        <v>4695</v>
      </c>
      <c r="B38" s="68">
        <v>25836</v>
      </c>
      <c r="C38" s="67" t="s">
        <v>4766</v>
      </c>
      <c r="D38" s="67" t="s">
        <v>4767</v>
      </c>
      <c r="E38" s="67" t="s">
        <v>4670</v>
      </c>
    </row>
    <row r="39" spans="1:5">
      <c r="A39" s="23" t="s">
        <v>4695</v>
      </c>
      <c r="B39" s="66">
        <v>25815</v>
      </c>
      <c r="C39" s="23" t="s">
        <v>4768</v>
      </c>
      <c r="D39" s="23" t="s">
        <v>4769</v>
      </c>
      <c r="E39" s="23" t="s">
        <v>4670</v>
      </c>
    </row>
    <row r="40" spans="1:5">
      <c r="A40" s="67" t="s">
        <v>4695</v>
      </c>
      <c r="B40" s="68">
        <v>25815</v>
      </c>
      <c r="C40" s="67" t="s">
        <v>4770</v>
      </c>
      <c r="D40" s="67" t="s">
        <v>4771</v>
      </c>
      <c r="E40" s="67" t="s">
        <v>4670</v>
      </c>
    </row>
    <row r="41" spans="1:5">
      <c r="A41" s="23" t="s">
        <v>4695</v>
      </c>
      <c r="B41" s="66">
        <v>25812</v>
      </c>
      <c r="C41" s="23" t="s">
        <v>4772</v>
      </c>
      <c r="D41" s="23" t="s">
        <v>4773</v>
      </c>
      <c r="E41" s="23" t="s">
        <v>4670</v>
      </c>
    </row>
    <row r="42" spans="1:5">
      <c r="A42" s="67" t="s">
        <v>4695</v>
      </c>
      <c r="B42" s="68">
        <v>25799</v>
      </c>
      <c r="C42" s="67" t="s">
        <v>4774</v>
      </c>
      <c r="D42" s="67" t="s">
        <v>4775</v>
      </c>
      <c r="E42" s="67" t="s">
        <v>4670</v>
      </c>
    </row>
    <row r="43" spans="1:5">
      <c r="A43" s="23" t="s">
        <v>4695</v>
      </c>
      <c r="B43" s="66">
        <v>25772</v>
      </c>
      <c r="C43" s="23" t="s">
        <v>4776</v>
      </c>
      <c r="D43" s="23" t="s">
        <v>4763</v>
      </c>
      <c r="E43" s="23" t="s">
        <v>4777</v>
      </c>
    </row>
    <row r="44" spans="1:5">
      <c r="A44" s="67" t="s">
        <v>4695</v>
      </c>
      <c r="B44" s="68">
        <v>25766</v>
      </c>
      <c r="C44" s="67" t="s">
        <v>4778</v>
      </c>
      <c r="D44" s="67" t="s">
        <v>4779</v>
      </c>
      <c r="E44" s="67" t="s">
        <v>4780</v>
      </c>
    </row>
    <row r="45" spans="1:5">
      <c r="A45" s="23" t="s">
        <v>4695</v>
      </c>
      <c r="B45" s="66">
        <v>25715</v>
      </c>
      <c r="C45" s="23" t="s">
        <v>4781</v>
      </c>
      <c r="D45" s="23" t="s">
        <v>4782</v>
      </c>
      <c r="E45" s="23" t="s">
        <v>4670</v>
      </c>
    </row>
    <row r="46" spans="1:5">
      <c r="A46" s="67" t="s">
        <v>4695</v>
      </c>
      <c r="B46" s="68">
        <v>25715</v>
      </c>
      <c r="C46" s="67" t="s">
        <v>4783</v>
      </c>
      <c r="D46" s="67" t="s">
        <v>4784</v>
      </c>
      <c r="E46" s="67" t="s">
        <v>4670</v>
      </c>
    </row>
    <row r="47" spans="1:5">
      <c r="A47" s="23" t="s">
        <v>4695</v>
      </c>
      <c r="B47" s="66">
        <v>25702</v>
      </c>
      <c r="C47" s="23" t="s">
        <v>4785</v>
      </c>
      <c r="D47" s="23" t="s">
        <v>4786</v>
      </c>
      <c r="E47" s="23" t="s">
        <v>4670</v>
      </c>
    </row>
    <row r="48" spans="1:5">
      <c r="A48" s="67" t="s">
        <v>4695</v>
      </c>
      <c r="B48" s="68">
        <v>25696</v>
      </c>
      <c r="C48" s="67" t="s">
        <v>4787</v>
      </c>
      <c r="D48" s="67" t="s">
        <v>4788</v>
      </c>
      <c r="E48" s="67" t="s">
        <v>4670</v>
      </c>
    </row>
    <row r="49" spans="1:5">
      <c r="A49" s="23" t="s">
        <v>4695</v>
      </c>
      <c r="B49" s="66">
        <v>25696</v>
      </c>
      <c r="C49" s="23" t="s">
        <v>4789</v>
      </c>
      <c r="D49" s="23" t="s">
        <v>4790</v>
      </c>
      <c r="E49" s="23" t="s">
        <v>4791</v>
      </c>
    </row>
    <row r="50" spans="1:5">
      <c r="A50" s="67" t="s">
        <v>4695</v>
      </c>
      <c r="B50" s="68">
        <v>25696</v>
      </c>
      <c r="C50" s="67" t="s">
        <v>1138</v>
      </c>
      <c r="D50" s="67" t="s">
        <v>4792</v>
      </c>
      <c r="E50" s="67" t="s">
        <v>4793</v>
      </c>
    </row>
    <row r="51" spans="1:5">
      <c r="A51" s="23" t="s">
        <v>4695</v>
      </c>
      <c r="B51" s="66">
        <v>25693</v>
      </c>
      <c r="C51" s="23" t="s">
        <v>4794</v>
      </c>
      <c r="D51" s="23" t="s">
        <v>4795</v>
      </c>
      <c r="E51" s="23" t="s">
        <v>4670</v>
      </c>
    </row>
    <row r="52" spans="1:5">
      <c r="A52" s="67" t="s">
        <v>4695</v>
      </c>
      <c r="B52" s="68">
        <v>25692</v>
      </c>
      <c r="C52" s="67" t="s">
        <v>4796</v>
      </c>
      <c r="D52" s="67" t="s">
        <v>4763</v>
      </c>
      <c r="E52" s="67" t="s">
        <v>4670</v>
      </c>
    </row>
    <row r="53" spans="1:5">
      <c r="A53" s="23" t="s">
        <v>4695</v>
      </c>
      <c r="B53" s="66">
        <v>26156</v>
      </c>
      <c r="C53" s="23" t="s">
        <v>4797</v>
      </c>
      <c r="D53" s="23" t="s">
        <v>4798</v>
      </c>
      <c r="E53" s="23" t="s">
        <v>3501</v>
      </c>
    </row>
    <row r="54" spans="1:5">
      <c r="A54" s="67" t="s">
        <v>4695</v>
      </c>
      <c r="B54" s="68">
        <v>25975</v>
      </c>
      <c r="C54" s="67" t="s">
        <v>4799</v>
      </c>
      <c r="D54" s="67" t="s">
        <v>4763</v>
      </c>
      <c r="E54" s="67" t="s">
        <v>4800</v>
      </c>
    </row>
    <row r="55" spans="1:5">
      <c r="A55" s="23" t="s">
        <v>4695</v>
      </c>
      <c r="B55" s="69">
        <v>25918</v>
      </c>
      <c r="C55" s="23" t="s">
        <v>4801</v>
      </c>
      <c r="D55" s="23" t="s">
        <v>4792</v>
      </c>
      <c r="E55" s="23" t="s">
        <v>4802</v>
      </c>
    </row>
    <row r="56" spans="1:5">
      <c r="A56" s="67" t="s">
        <v>4803</v>
      </c>
      <c r="B56" s="68">
        <v>29651</v>
      </c>
      <c r="C56" s="67" t="s">
        <v>4804</v>
      </c>
      <c r="D56" s="67" t="s">
        <v>4805</v>
      </c>
      <c r="E56" s="67" t="s">
        <v>4670</v>
      </c>
    </row>
    <row r="57" spans="1:5">
      <c r="A57" s="23" t="s">
        <v>4806</v>
      </c>
      <c r="B57" s="69">
        <v>30314</v>
      </c>
      <c r="C57" s="23" t="s">
        <v>4807</v>
      </c>
      <c r="D57" s="23" t="s">
        <v>4808</v>
      </c>
      <c r="E57" s="23" t="s">
        <v>4809</v>
      </c>
    </row>
    <row r="58" spans="1:5">
      <c r="A58" s="67" t="s">
        <v>4810</v>
      </c>
      <c r="B58" s="70">
        <v>30314</v>
      </c>
      <c r="C58" s="67" t="s">
        <v>4807</v>
      </c>
      <c r="D58" s="67" t="s">
        <v>128</v>
      </c>
      <c r="E58" s="67" t="s">
        <v>4811</v>
      </c>
    </row>
    <row r="59" spans="1:5">
      <c r="A59" s="23" t="s">
        <v>4812</v>
      </c>
      <c r="B59" s="69">
        <v>30314</v>
      </c>
      <c r="C59" s="23" t="s">
        <v>4807</v>
      </c>
      <c r="D59" s="23" t="s">
        <v>4759</v>
      </c>
      <c r="E59" s="23" t="s">
        <v>4813</v>
      </c>
    </row>
    <row r="60" spans="1:5">
      <c r="A60" s="67" t="s">
        <v>4814</v>
      </c>
      <c r="B60" s="68">
        <v>29997</v>
      </c>
      <c r="C60" s="67" t="s">
        <v>4815</v>
      </c>
      <c r="D60" s="67" t="s">
        <v>4816</v>
      </c>
      <c r="E60" s="67" t="s">
        <v>4817</v>
      </c>
    </row>
    <row r="61" spans="1:5">
      <c r="A61" s="23" t="s">
        <v>4818</v>
      </c>
      <c r="B61" s="66">
        <v>29997</v>
      </c>
      <c r="C61" s="23" t="s">
        <v>4819</v>
      </c>
      <c r="D61" s="23" t="s">
        <v>4820</v>
      </c>
      <c r="E61" s="23" t="s">
        <v>3637</v>
      </c>
    </row>
    <row r="62" spans="1:5">
      <c r="A62" s="67" t="s">
        <v>4821</v>
      </c>
      <c r="B62" s="68">
        <v>29997</v>
      </c>
      <c r="C62" s="67" t="s">
        <v>4822</v>
      </c>
      <c r="D62" s="67" t="s">
        <v>4779</v>
      </c>
      <c r="E62" s="67" t="s">
        <v>4743</v>
      </c>
    </row>
    <row r="63" spans="1:5">
      <c r="A63" s="23" t="s">
        <v>4823</v>
      </c>
      <c r="B63" s="66">
        <v>29997</v>
      </c>
      <c r="C63" s="23" t="s">
        <v>4824</v>
      </c>
      <c r="D63" s="23" t="s">
        <v>4825</v>
      </c>
      <c r="E63" s="23" t="s">
        <v>4802</v>
      </c>
    </row>
    <row r="64" spans="1:5">
      <c r="A64" s="67" t="s">
        <v>4826</v>
      </c>
      <c r="B64" s="68">
        <v>31064</v>
      </c>
      <c r="C64" s="67" t="s">
        <v>4827</v>
      </c>
      <c r="D64" s="67" t="s">
        <v>4808</v>
      </c>
      <c r="E64" s="67" t="s">
        <v>4670</v>
      </c>
    </row>
    <row r="65" spans="1:5">
      <c r="A65" s="23" t="s">
        <v>4828</v>
      </c>
      <c r="B65" s="66">
        <v>30987</v>
      </c>
      <c r="C65" s="23" t="s">
        <v>4829</v>
      </c>
      <c r="D65" s="23" t="s">
        <v>4736</v>
      </c>
      <c r="E65" s="23" t="s">
        <v>4830</v>
      </c>
    </row>
    <row r="66" spans="1:5">
      <c r="A66" s="67" t="s">
        <v>4831</v>
      </c>
      <c r="B66" s="68">
        <v>30987</v>
      </c>
      <c r="C66" s="67" t="s">
        <v>4832</v>
      </c>
      <c r="D66" s="67" t="s">
        <v>4833</v>
      </c>
      <c r="E66" s="67" t="s">
        <v>4670</v>
      </c>
    </row>
    <row r="67" spans="1:5">
      <c r="A67" s="23" t="s">
        <v>4834</v>
      </c>
      <c r="B67" s="69">
        <v>30314</v>
      </c>
      <c r="C67" s="23" t="s">
        <v>4835</v>
      </c>
      <c r="D67" s="23" t="s">
        <v>4763</v>
      </c>
      <c r="E67" s="23" t="s">
        <v>4836</v>
      </c>
    </row>
    <row r="68" spans="1:5">
      <c r="A68" s="67" t="s">
        <v>4837</v>
      </c>
      <c r="B68" s="68">
        <v>31155</v>
      </c>
      <c r="C68" s="67" t="s">
        <v>4838</v>
      </c>
      <c r="D68" s="67" t="s">
        <v>4763</v>
      </c>
      <c r="E68" s="67" t="s">
        <v>4670</v>
      </c>
    </row>
    <row r="69" spans="1:5">
      <c r="A69" s="23" t="s">
        <v>4839</v>
      </c>
      <c r="B69" s="69">
        <v>31777</v>
      </c>
      <c r="C69" s="23" t="s">
        <v>4840</v>
      </c>
      <c r="D69" s="23" t="s">
        <v>4841</v>
      </c>
      <c r="E69" s="23" t="s">
        <v>4800</v>
      </c>
    </row>
    <row r="70" spans="1:5">
      <c r="A70" s="67" t="s">
        <v>4842</v>
      </c>
      <c r="B70" s="68">
        <v>32267</v>
      </c>
      <c r="C70" s="67" t="s">
        <v>4843</v>
      </c>
      <c r="D70" s="67" t="s">
        <v>4844</v>
      </c>
      <c r="E70" s="67" t="s">
        <v>3637</v>
      </c>
    </row>
    <row r="71" spans="1:5">
      <c r="A71" s="23" t="s">
        <v>4845</v>
      </c>
      <c r="B71" s="66">
        <v>32260</v>
      </c>
      <c r="C71" s="23" t="s">
        <v>4846</v>
      </c>
      <c r="D71" s="23" t="s">
        <v>4763</v>
      </c>
      <c r="E71" s="23" t="s">
        <v>4847</v>
      </c>
    </row>
    <row r="72" spans="1:5">
      <c r="A72" s="67" t="s">
        <v>4848</v>
      </c>
      <c r="B72" s="70">
        <v>32099</v>
      </c>
      <c r="C72" s="67" t="s">
        <v>4849</v>
      </c>
      <c r="D72" s="67" t="s">
        <v>4850</v>
      </c>
      <c r="E72" s="67" t="s">
        <v>4851</v>
      </c>
    </row>
    <row r="73" spans="1:5">
      <c r="A73" s="23" t="s">
        <v>4852</v>
      </c>
      <c r="B73" s="69">
        <v>32472</v>
      </c>
      <c r="C73" s="23" t="s">
        <v>4853</v>
      </c>
      <c r="D73" s="23"/>
      <c r="E73" s="23" t="s">
        <v>4854</v>
      </c>
    </row>
    <row r="74" spans="1:5">
      <c r="A74" s="67" t="s">
        <v>4855</v>
      </c>
      <c r="B74" s="68">
        <v>33000</v>
      </c>
      <c r="C74" s="67" t="s">
        <v>4856</v>
      </c>
      <c r="D74" s="67" t="s">
        <v>4759</v>
      </c>
      <c r="E74" s="67" t="s">
        <v>3511</v>
      </c>
    </row>
    <row r="75" spans="1:5">
      <c r="A75" s="23" t="s">
        <v>4857</v>
      </c>
      <c r="B75" s="66">
        <v>33445</v>
      </c>
      <c r="C75" s="23" t="s">
        <v>4858</v>
      </c>
      <c r="D75" s="23" t="s">
        <v>4859</v>
      </c>
      <c r="E75" s="23" t="s">
        <v>4860</v>
      </c>
    </row>
    <row r="76" spans="1:5">
      <c r="A76" s="67" t="s">
        <v>4861</v>
      </c>
      <c r="B76" s="68">
        <v>33400</v>
      </c>
      <c r="C76" s="67" t="s">
        <v>4862</v>
      </c>
      <c r="D76" s="67" t="s">
        <v>4763</v>
      </c>
      <c r="E76" s="67" t="s">
        <v>4863</v>
      </c>
    </row>
    <row r="77" spans="1:5">
      <c r="A77" s="23" t="s">
        <v>4864</v>
      </c>
      <c r="B77" s="66">
        <v>33808</v>
      </c>
      <c r="C77" s="23" t="s">
        <v>4865</v>
      </c>
      <c r="D77" s="23" t="s">
        <v>4763</v>
      </c>
      <c r="E77" s="23" t="s">
        <v>4866</v>
      </c>
    </row>
    <row r="78" spans="1:5">
      <c r="A78" s="67" t="s">
        <v>4867</v>
      </c>
      <c r="B78" s="68">
        <v>33700</v>
      </c>
      <c r="C78" s="67" t="s">
        <v>4868</v>
      </c>
      <c r="D78" s="67" t="s">
        <v>4850</v>
      </c>
      <c r="E78" s="67" t="s">
        <v>4694</v>
      </c>
    </row>
    <row r="79" spans="1:5">
      <c r="A79" s="23" t="s">
        <v>4869</v>
      </c>
      <c r="B79" s="66">
        <v>34061</v>
      </c>
      <c r="C79" s="23" t="s">
        <v>2983</v>
      </c>
      <c r="D79" s="23" t="s">
        <v>4726</v>
      </c>
      <c r="E79" s="23" t="s">
        <v>4870</v>
      </c>
    </row>
    <row r="80" spans="1:5">
      <c r="A80" s="67" t="s">
        <v>4871</v>
      </c>
      <c r="B80" s="68">
        <v>34418</v>
      </c>
      <c r="C80" s="67" t="s">
        <v>4872</v>
      </c>
      <c r="D80" s="67" t="s">
        <v>4792</v>
      </c>
      <c r="E80" s="67" t="s">
        <v>4873</v>
      </c>
    </row>
    <row r="81" spans="1:5">
      <c r="A81" s="23" t="s">
        <v>4874</v>
      </c>
      <c r="B81" s="66">
        <v>34418</v>
      </c>
      <c r="C81" s="23" t="s">
        <v>4875</v>
      </c>
      <c r="D81" s="23" t="s">
        <v>4779</v>
      </c>
      <c r="E81" s="23" t="s">
        <v>3498</v>
      </c>
    </row>
    <row r="82" spans="1:5">
      <c r="A82" s="67" t="s">
        <v>4876</v>
      </c>
      <c r="B82" s="68">
        <v>34418</v>
      </c>
      <c r="C82" s="67" t="s">
        <v>4877</v>
      </c>
      <c r="D82" s="67" t="s">
        <v>4878</v>
      </c>
      <c r="E82" s="67" t="s">
        <v>4879</v>
      </c>
    </row>
    <row r="83" spans="1:5">
      <c r="A83" s="23" t="s">
        <v>4880</v>
      </c>
      <c r="B83" s="66">
        <v>34418</v>
      </c>
      <c r="C83" s="23" t="s">
        <v>4881</v>
      </c>
      <c r="D83" s="23" t="s">
        <v>4882</v>
      </c>
      <c r="E83" s="23" t="s">
        <v>4883</v>
      </c>
    </row>
    <row r="84" spans="1:5">
      <c r="A84" s="67" t="s">
        <v>4884</v>
      </c>
      <c r="B84" s="68">
        <v>34418</v>
      </c>
      <c r="C84" s="67" t="s">
        <v>4885</v>
      </c>
      <c r="D84" s="67" t="s">
        <v>4763</v>
      </c>
      <c r="E84" s="67" t="s">
        <v>3637</v>
      </c>
    </row>
    <row r="85" spans="1:5">
      <c r="A85" s="23" t="s">
        <v>4886</v>
      </c>
      <c r="B85" s="66">
        <v>34418</v>
      </c>
      <c r="C85" s="23" t="s">
        <v>4887</v>
      </c>
      <c r="D85" s="23" t="s">
        <v>4888</v>
      </c>
      <c r="E85" s="23" t="s">
        <v>4889</v>
      </c>
    </row>
    <row r="86" spans="1:5">
      <c r="A86" s="67" t="s">
        <v>4890</v>
      </c>
      <c r="B86" s="68">
        <v>34418</v>
      </c>
      <c r="C86" s="67" t="s">
        <v>4891</v>
      </c>
      <c r="D86" s="67" t="s">
        <v>4763</v>
      </c>
      <c r="E86" s="67" t="s">
        <v>4892</v>
      </c>
    </row>
    <row r="87" spans="1:5">
      <c r="A87" s="23" t="s">
        <v>4893</v>
      </c>
      <c r="B87" s="66">
        <v>34418</v>
      </c>
      <c r="C87" s="23" t="s">
        <v>4894</v>
      </c>
      <c r="D87" s="23" t="s">
        <v>4763</v>
      </c>
      <c r="E87" s="23" t="s">
        <v>4895</v>
      </c>
    </row>
    <row r="88" spans="1:5">
      <c r="A88" s="67" t="s">
        <v>4896</v>
      </c>
      <c r="B88" s="68">
        <v>34418</v>
      </c>
      <c r="C88" s="67" t="s">
        <v>4897</v>
      </c>
      <c r="D88" s="67" t="s">
        <v>4726</v>
      </c>
      <c r="E88" s="67" t="s">
        <v>4898</v>
      </c>
    </row>
    <row r="89" spans="1:5">
      <c r="A89" s="23" t="s">
        <v>4899</v>
      </c>
      <c r="B89" s="66">
        <v>34418</v>
      </c>
      <c r="C89" s="23" t="s">
        <v>4900</v>
      </c>
      <c r="D89" s="23" t="s">
        <v>4901</v>
      </c>
      <c r="E89" s="23" t="s">
        <v>4866</v>
      </c>
    </row>
    <row r="90" spans="1:5">
      <c r="A90" s="67" t="s">
        <v>4902</v>
      </c>
      <c r="B90" s="68">
        <v>34562</v>
      </c>
      <c r="C90" s="67" t="s">
        <v>4903</v>
      </c>
      <c r="D90" s="67" t="s">
        <v>4904</v>
      </c>
      <c r="E90" s="67" t="s">
        <v>4905</v>
      </c>
    </row>
    <row r="91" spans="1:5">
      <c r="A91" s="23" t="s">
        <v>4906</v>
      </c>
      <c r="B91" s="66">
        <v>34562</v>
      </c>
      <c r="C91" s="23" t="s">
        <v>4907</v>
      </c>
      <c r="D91" s="23" t="s">
        <v>4763</v>
      </c>
      <c r="E91" s="23" t="s">
        <v>4908</v>
      </c>
    </row>
    <row r="92" spans="1:5">
      <c r="A92" s="67" t="s">
        <v>4909</v>
      </c>
      <c r="B92" s="68">
        <v>34554</v>
      </c>
      <c r="C92" s="67" t="s">
        <v>4910</v>
      </c>
      <c r="D92" s="67" t="s">
        <v>4911</v>
      </c>
      <c r="E92" s="67" t="s">
        <v>4912</v>
      </c>
    </row>
    <row r="93" spans="1:5">
      <c r="A93" s="23" t="s">
        <v>4913</v>
      </c>
      <c r="B93" s="66">
        <v>34554</v>
      </c>
      <c r="C93" s="23" t="s">
        <v>4914</v>
      </c>
      <c r="D93" s="23" t="s">
        <v>4763</v>
      </c>
      <c r="E93" s="23" t="s">
        <v>4915</v>
      </c>
    </row>
    <row r="94" spans="1:5">
      <c r="A94" s="67" t="s">
        <v>4916</v>
      </c>
      <c r="B94" s="68">
        <v>34554</v>
      </c>
      <c r="C94" s="67" t="s">
        <v>4917</v>
      </c>
      <c r="D94" s="67" t="s">
        <v>4763</v>
      </c>
      <c r="E94" s="67" t="s">
        <v>4918</v>
      </c>
    </row>
    <row r="95" spans="1:5">
      <c r="A95" s="23" t="s">
        <v>4919</v>
      </c>
      <c r="B95" s="66">
        <v>34453</v>
      </c>
      <c r="C95" s="23" t="s">
        <v>4875</v>
      </c>
      <c r="D95" s="23" t="s">
        <v>4882</v>
      </c>
      <c r="E95" s="23" t="s">
        <v>4920</v>
      </c>
    </row>
    <row r="96" spans="1:5">
      <c r="A96" s="67" t="s">
        <v>4921</v>
      </c>
      <c r="B96" s="68">
        <v>34418</v>
      </c>
      <c r="C96" s="67" t="s">
        <v>4922</v>
      </c>
      <c r="D96" s="67" t="s">
        <v>4878</v>
      </c>
      <c r="E96" s="67" t="s">
        <v>4923</v>
      </c>
    </row>
    <row r="97" spans="1:5">
      <c r="A97" s="23" t="s">
        <v>4924</v>
      </c>
      <c r="B97" s="66">
        <v>34418</v>
      </c>
      <c r="C97" s="23" t="s">
        <v>4925</v>
      </c>
      <c r="D97" s="23" t="s">
        <v>4763</v>
      </c>
      <c r="E97" s="23" t="s">
        <v>4889</v>
      </c>
    </row>
    <row r="98" spans="1:5">
      <c r="A98" s="67" t="s">
        <v>4926</v>
      </c>
      <c r="B98" s="68">
        <v>34606</v>
      </c>
      <c r="C98" s="67" t="s">
        <v>4927</v>
      </c>
      <c r="D98" s="67" t="s">
        <v>4859</v>
      </c>
      <c r="E98" s="67" t="s">
        <v>4928</v>
      </c>
    </row>
    <row r="99" spans="1:5">
      <c r="A99" s="23" t="s">
        <v>4929</v>
      </c>
      <c r="B99" s="66">
        <v>34606</v>
      </c>
      <c r="C99" s="23" t="s">
        <v>4930</v>
      </c>
      <c r="D99" s="23" t="s">
        <v>4931</v>
      </c>
      <c r="E99" s="23" t="s">
        <v>4932</v>
      </c>
    </row>
    <row r="100" spans="1:5">
      <c r="A100" s="67" t="s">
        <v>4933</v>
      </c>
      <c r="B100" s="68">
        <v>34606</v>
      </c>
      <c r="C100" s="67" t="s">
        <v>4934</v>
      </c>
      <c r="D100" s="67" t="s">
        <v>4859</v>
      </c>
      <c r="E100" s="67" t="s">
        <v>4928</v>
      </c>
    </row>
    <row r="101" spans="1:5">
      <c r="A101" s="23" t="s">
        <v>4935</v>
      </c>
      <c r="B101" s="66">
        <v>34606</v>
      </c>
      <c r="C101" s="23" t="s">
        <v>4930</v>
      </c>
      <c r="D101" s="23" t="s">
        <v>4859</v>
      </c>
      <c r="E101" s="23" t="s">
        <v>4936</v>
      </c>
    </row>
    <row r="102" spans="1:5">
      <c r="A102" s="67" t="s">
        <v>4937</v>
      </c>
      <c r="B102" s="68">
        <v>34606</v>
      </c>
      <c r="C102" s="67" t="s">
        <v>4930</v>
      </c>
      <c r="D102" s="67" t="s">
        <v>4850</v>
      </c>
      <c r="E102" s="67" t="s">
        <v>4923</v>
      </c>
    </row>
    <row r="103" spans="1:5">
      <c r="A103" s="23" t="s">
        <v>4938</v>
      </c>
      <c r="B103" s="66">
        <v>34606</v>
      </c>
      <c r="C103" s="23" t="s">
        <v>4939</v>
      </c>
      <c r="D103" s="23" t="s">
        <v>4940</v>
      </c>
      <c r="E103" s="23" t="s">
        <v>4941</v>
      </c>
    </row>
    <row r="104" spans="1:5">
      <c r="A104" s="67" t="s">
        <v>4942</v>
      </c>
      <c r="B104" s="68">
        <v>35986</v>
      </c>
      <c r="C104" s="67" t="s">
        <v>4943</v>
      </c>
      <c r="D104" s="67" t="s">
        <v>4944</v>
      </c>
      <c r="E104" s="67" t="s">
        <v>4670</v>
      </c>
    </row>
    <row r="105" spans="1:5">
      <c r="A105" s="23" t="s">
        <v>4945</v>
      </c>
      <c r="B105" s="66">
        <v>36683</v>
      </c>
      <c r="C105" s="23" t="s">
        <v>4946</v>
      </c>
      <c r="D105" s="23" t="s">
        <v>4686</v>
      </c>
      <c r="E105" s="23" t="s">
        <v>4892</v>
      </c>
    </row>
    <row r="106" spans="1:5">
      <c r="A106" s="67" t="s">
        <v>4947</v>
      </c>
      <c r="B106" s="68">
        <v>37064</v>
      </c>
      <c r="C106" s="67" t="s">
        <v>522</v>
      </c>
      <c r="D106" s="67" t="s">
        <v>4948</v>
      </c>
      <c r="E106" s="67" t="s">
        <v>4949</v>
      </c>
    </row>
    <row r="107" spans="1:5">
      <c r="A107" s="23" t="s">
        <v>4950</v>
      </c>
      <c r="B107" s="66">
        <v>37064</v>
      </c>
      <c r="C107" s="23" t="s">
        <v>4951</v>
      </c>
      <c r="D107" s="23" t="s">
        <v>4763</v>
      </c>
      <c r="E107" s="23" t="s">
        <v>4952</v>
      </c>
    </row>
    <row r="108" spans="1:5">
      <c r="A108" s="67" t="s">
        <v>4953</v>
      </c>
      <c r="B108" s="68">
        <v>36899</v>
      </c>
      <c r="C108" s="67" t="s">
        <v>4954</v>
      </c>
      <c r="D108" s="67" t="s">
        <v>4948</v>
      </c>
      <c r="E108" s="67" t="s">
        <v>4955</v>
      </c>
    </row>
    <row r="109" spans="1:5">
      <c r="A109" s="23" t="s">
        <v>4956</v>
      </c>
      <c r="B109" s="66">
        <v>36899</v>
      </c>
      <c r="C109" s="23" t="s">
        <v>4957</v>
      </c>
      <c r="D109" s="23" t="s">
        <v>4931</v>
      </c>
      <c r="E109" s="23" t="s">
        <v>4958</v>
      </c>
    </row>
    <row r="110" spans="1:5">
      <c r="A110" s="67" t="s">
        <v>4959</v>
      </c>
      <c r="B110" s="68">
        <v>36899</v>
      </c>
      <c r="C110" s="67" t="s">
        <v>4957</v>
      </c>
      <c r="D110" s="67" t="s">
        <v>4859</v>
      </c>
      <c r="E110" s="67" t="s">
        <v>4873</v>
      </c>
    </row>
    <row r="111" spans="1:5">
      <c r="A111" s="23" t="s">
        <v>4960</v>
      </c>
      <c r="B111" s="66">
        <v>36899</v>
      </c>
      <c r="C111" s="23" t="s">
        <v>4961</v>
      </c>
      <c r="D111" s="23" t="s">
        <v>4859</v>
      </c>
      <c r="E111" s="23" t="s">
        <v>4962</v>
      </c>
    </row>
    <row r="112" spans="1:5">
      <c r="A112" s="67" t="s">
        <v>4963</v>
      </c>
      <c r="B112" s="68">
        <v>37370</v>
      </c>
      <c r="C112" s="67" t="s">
        <v>3096</v>
      </c>
      <c r="D112" s="67" t="s">
        <v>4948</v>
      </c>
      <c r="E112" s="67" t="s">
        <v>4964</v>
      </c>
    </row>
    <row r="113" spans="1:5">
      <c r="A113" s="23" t="s">
        <v>4965</v>
      </c>
      <c r="B113" s="66">
        <v>37267</v>
      </c>
      <c r="C113" s="23" t="s">
        <v>4966</v>
      </c>
      <c r="D113" s="23" t="s">
        <v>4805</v>
      </c>
      <c r="E113" s="23" t="s">
        <v>4670</v>
      </c>
    </row>
    <row r="114" spans="1:5">
      <c r="A114" s="67" t="s">
        <v>4967</v>
      </c>
      <c r="B114" s="68">
        <v>37697</v>
      </c>
      <c r="C114" s="67" t="s">
        <v>4968</v>
      </c>
      <c r="D114" s="67" t="s">
        <v>4931</v>
      </c>
      <c r="E114" s="67" t="s">
        <v>4969</v>
      </c>
    </row>
    <row r="115" spans="1:5">
      <c r="A115" s="23" t="s">
        <v>4970</v>
      </c>
      <c r="B115" s="66">
        <v>37999</v>
      </c>
      <c r="C115" s="23" t="s">
        <v>4971</v>
      </c>
      <c r="D115" s="23" t="s">
        <v>4805</v>
      </c>
      <c r="E115" s="23" t="s">
        <v>3637</v>
      </c>
    </row>
    <row r="116" spans="1:5">
      <c r="A116" s="67" t="s">
        <v>4972</v>
      </c>
      <c r="B116" s="68">
        <v>37999</v>
      </c>
      <c r="C116" s="67" t="s">
        <v>4973</v>
      </c>
      <c r="D116" s="67" t="s">
        <v>4974</v>
      </c>
      <c r="E116" s="67" t="s">
        <v>4670</v>
      </c>
    </row>
    <row r="117" spans="1:5">
      <c r="A117" s="23" t="s">
        <v>4975</v>
      </c>
      <c r="B117" s="69">
        <v>37970</v>
      </c>
      <c r="C117" s="23" t="s">
        <v>4976</v>
      </c>
      <c r="D117" s="23" t="s">
        <v>4763</v>
      </c>
      <c r="E117" s="23" t="s">
        <v>3532</v>
      </c>
    </row>
    <row r="118" spans="1:5">
      <c r="A118" s="67" t="s">
        <v>4977</v>
      </c>
      <c r="B118" s="70">
        <v>37970</v>
      </c>
      <c r="C118" s="67" t="s">
        <v>4978</v>
      </c>
      <c r="D118" s="67" t="s">
        <v>4763</v>
      </c>
      <c r="E118" s="67" t="s">
        <v>4670</v>
      </c>
    </row>
    <row r="119" spans="1:5">
      <c r="A119" s="23" t="s">
        <v>4979</v>
      </c>
      <c r="B119" s="69">
        <v>38697</v>
      </c>
      <c r="C119" s="23" t="s">
        <v>4980</v>
      </c>
      <c r="D119" s="23" t="s">
        <v>4974</v>
      </c>
      <c r="E119" s="23" t="s">
        <v>3637</v>
      </c>
    </row>
    <row r="120" spans="1:5">
      <c r="A120" s="67" t="s">
        <v>4981</v>
      </c>
      <c r="B120" s="70">
        <v>38636</v>
      </c>
      <c r="C120" s="67" t="s">
        <v>4982</v>
      </c>
      <c r="D120" s="67" t="s">
        <v>4974</v>
      </c>
      <c r="E120" s="67" t="s">
        <v>4983</v>
      </c>
    </row>
    <row r="121" spans="1:5">
      <c r="A121" s="23" t="s">
        <v>4984</v>
      </c>
      <c r="B121" s="69">
        <v>38636</v>
      </c>
      <c r="C121" s="23" t="s">
        <v>4985</v>
      </c>
      <c r="D121" s="23" t="s">
        <v>4931</v>
      </c>
      <c r="E121" s="23" t="s">
        <v>4889</v>
      </c>
    </row>
    <row r="122" spans="1:5">
      <c r="A122" s="67" t="s">
        <v>4986</v>
      </c>
      <c r="B122" s="70">
        <v>38636</v>
      </c>
      <c r="C122" s="67" t="s">
        <v>4987</v>
      </c>
      <c r="D122" s="67" t="s">
        <v>4988</v>
      </c>
      <c r="E122" s="67" t="s">
        <v>4989</v>
      </c>
    </row>
    <row r="123" spans="1:5">
      <c r="A123" s="23" t="s">
        <v>4990</v>
      </c>
      <c r="B123" s="69">
        <v>38636</v>
      </c>
      <c r="C123" s="23" t="s">
        <v>4991</v>
      </c>
      <c r="D123" s="23" t="s">
        <v>4763</v>
      </c>
      <c r="E123" s="23" t="s">
        <v>3501</v>
      </c>
    </row>
    <row r="124" spans="1:5">
      <c r="A124" s="67" t="s">
        <v>4992</v>
      </c>
      <c r="B124" s="70">
        <v>38636</v>
      </c>
      <c r="C124" s="67" t="s">
        <v>4993</v>
      </c>
      <c r="D124" s="67" t="s">
        <v>4859</v>
      </c>
      <c r="E124" s="67" t="s">
        <v>4994</v>
      </c>
    </row>
    <row r="125" spans="1:5">
      <c r="A125" s="23" t="s">
        <v>4995</v>
      </c>
      <c r="B125" s="69">
        <v>38636</v>
      </c>
      <c r="C125" s="23" t="s">
        <v>836</v>
      </c>
      <c r="D125" s="23" t="s">
        <v>4805</v>
      </c>
      <c r="E125" s="23" t="s">
        <v>4996</v>
      </c>
    </row>
    <row r="126" spans="1:5">
      <c r="A126" s="67" t="s">
        <v>4997</v>
      </c>
      <c r="B126" s="68">
        <v>38632</v>
      </c>
      <c r="C126" s="67" t="s">
        <v>4998</v>
      </c>
      <c r="D126" s="67" t="s">
        <v>4805</v>
      </c>
      <c r="E126" s="67" t="s">
        <v>4999</v>
      </c>
    </row>
    <row r="127" spans="1:5">
      <c r="A127" s="23" t="s">
        <v>5000</v>
      </c>
      <c r="B127" s="66">
        <v>38629</v>
      </c>
      <c r="C127" s="23" t="s">
        <v>5001</v>
      </c>
      <c r="D127" s="23" t="s">
        <v>4805</v>
      </c>
      <c r="E127" s="23" t="s">
        <v>5002</v>
      </c>
    </row>
    <row r="128" spans="1:5">
      <c r="A128" s="67" t="s">
        <v>5003</v>
      </c>
      <c r="B128" s="68">
        <v>38629</v>
      </c>
      <c r="C128" s="67" t="s">
        <v>5004</v>
      </c>
      <c r="D128" s="67" t="s">
        <v>4805</v>
      </c>
      <c r="E128" s="67" t="s">
        <v>4670</v>
      </c>
    </row>
    <row r="129" spans="1:5">
      <c r="A129" s="23" t="s">
        <v>5005</v>
      </c>
      <c r="B129" s="66">
        <v>38629</v>
      </c>
      <c r="C129" s="23" t="s">
        <v>5006</v>
      </c>
      <c r="D129" s="23" t="s">
        <v>4850</v>
      </c>
      <c r="E129" s="23" t="s">
        <v>5007</v>
      </c>
    </row>
    <row r="130" spans="1:5">
      <c r="A130" s="67" t="s">
        <v>5008</v>
      </c>
      <c r="B130" s="68">
        <v>38629</v>
      </c>
      <c r="C130" s="67" t="s">
        <v>5009</v>
      </c>
      <c r="D130" s="67" t="s">
        <v>4850</v>
      </c>
      <c r="E130" s="67" t="s">
        <v>5010</v>
      </c>
    </row>
    <row r="131" spans="1:5">
      <c r="A131" s="23" t="s">
        <v>5011</v>
      </c>
      <c r="B131" s="66">
        <v>38629</v>
      </c>
      <c r="C131" s="23" t="s">
        <v>5012</v>
      </c>
      <c r="D131" s="23" t="s">
        <v>4850</v>
      </c>
      <c r="E131" s="23" t="s">
        <v>5013</v>
      </c>
    </row>
    <row r="132" spans="1:5">
      <c r="A132" s="67" t="s">
        <v>5014</v>
      </c>
      <c r="B132" s="68">
        <v>38629</v>
      </c>
      <c r="C132" s="67" t="s">
        <v>5015</v>
      </c>
      <c r="D132" s="67" t="s">
        <v>4805</v>
      </c>
      <c r="E132" s="67" t="s">
        <v>5016</v>
      </c>
    </row>
    <row r="133" spans="1:5">
      <c r="A133" s="23" t="s">
        <v>5017</v>
      </c>
      <c r="B133" s="66">
        <v>38629</v>
      </c>
      <c r="C133" s="23" t="s">
        <v>4957</v>
      </c>
      <c r="D133" s="23" t="s">
        <v>4763</v>
      </c>
      <c r="E133" s="23" t="s">
        <v>5018</v>
      </c>
    </row>
    <row r="134" spans="1:5">
      <c r="A134" s="67" t="s">
        <v>5019</v>
      </c>
      <c r="B134" s="70">
        <v>38636</v>
      </c>
      <c r="C134" s="67" t="s">
        <v>5020</v>
      </c>
      <c r="D134" s="67" t="s">
        <v>4888</v>
      </c>
      <c r="E134" s="67" t="s">
        <v>5021</v>
      </c>
    </row>
    <row r="135" spans="1:5">
      <c r="A135" s="23" t="s">
        <v>5022</v>
      </c>
      <c r="B135" s="69">
        <v>38636</v>
      </c>
      <c r="C135" s="23" t="s">
        <v>5023</v>
      </c>
      <c r="D135" s="23" t="s">
        <v>4974</v>
      </c>
      <c r="E135" s="23" t="s">
        <v>4670</v>
      </c>
    </row>
    <row r="136" spans="1:5">
      <c r="A136" s="67" t="s">
        <v>5024</v>
      </c>
      <c r="B136" s="68">
        <v>39387</v>
      </c>
      <c r="C136" s="67" t="s">
        <v>1485</v>
      </c>
      <c r="D136" s="67" t="s">
        <v>5025</v>
      </c>
      <c r="E136" s="67" t="s">
        <v>4670</v>
      </c>
    </row>
    <row r="137" spans="1:5">
      <c r="A137" s="23" t="s">
        <v>5026</v>
      </c>
      <c r="B137" s="66">
        <v>39421</v>
      </c>
      <c r="C137" s="23" t="s">
        <v>5027</v>
      </c>
      <c r="D137" s="23" t="s">
        <v>4763</v>
      </c>
      <c r="E137" s="23" t="s">
        <v>3520</v>
      </c>
    </row>
    <row r="138" spans="1:5">
      <c r="A138" s="67" t="s">
        <v>5028</v>
      </c>
      <c r="B138" s="68">
        <v>39626</v>
      </c>
      <c r="C138" s="67" t="s">
        <v>5029</v>
      </c>
      <c r="D138" s="67" t="s">
        <v>4974</v>
      </c>
      <c r="E138" s="67" t="s">
        <v>3520</v>
      </c>
    </row>
    <row r="139" spans="1:5">
      <c r="A139" s="23" t="s">
        <v>5030</v>
      </c>
      <c r="B139" s="66">
        <v>39576</v>
      </c>
      <c r="C139" s="23" t="s">
        <v>5031</v>
      </c>
      <c r="D139" s="23" t="s">
        <v>4763</v>
      </c>
      <c r="E139" s="23" t="s">
        <v>4873</v>
      </c>
    </row>
    <row r="140" spans="1:5">
      <c r="A140" s="67" t="s">
        <v>5032</v>
      </c>
      <c r="B140" s="68">
        <v>39827</v>
      </c>
      <c r="C140" s="67" t="s">
        <v>302</v>
      </c>
      <c r="D140" s="67" t="s">
        <v>4763</v>
      </c>
      <c r="E140" s="67" t="s">
        <v>5033</v>
      </c>
    </row>
    <row r="141" spans="1:5">
      <c r="A141" s="23" t="s">
        <v>5034</v>
      </c>
      <c r="B141" s="66">
        <v>39827</v>
      </c>
      <c r="C141" s="23" t="s">
        <v>4689</v>
      </c>
      <c r="D141" s="23" t="s">
        <v>4882</v>
      </c>
      <c r="E141" s="23" t="s">
        <v>4883</v>
      </c>
    </row>
    <row r="142" spans="1:5">
      <c r="A142" s="67" t="s">
        <v>5035</v>
      </c>
      <c r="B142" s="68">
        <v>39827</v>
      </c>
      <c r="C142" s="67" t="s">
        <v>3307</v>
      </c>
      <c r="D142" s="67" t="s">
        <v>5036</v>
      </c>
      <c r="E142" s="67" t="s">
        <v>5037</v>
      </c>
    </row>
    <row r="143" spans="1:5">
      <c r="A143" s="23" t="s">
        <v>5038</v>
      </c>
      <c r="B143" s="66">
        <v>39826</v>
      </c>
      <c r="C143" s="23" t="s">
        <v>5039</v>
      </c>
      <c r="D143" s="23" t="s">
        <v>4763</v>
      </c>
      <c r="E143" s="23" t="s">
        <v>3520</v>
      </c>
    </row>
    <row r="144" spans="1:5">
      <c r="A144" s="67" t="s">
        <v>5040</v>
      </c>
      <c r="B144" s="68">
        <v>39826</v>
      </c>
      <c r="C144" s="67" t="s">
        <v>4957</v>
      </c>
      <c r="D144" s="67" t="s">
        <v>4931</v>
      </c>
      <c r="E144" s="67" t="s">
        <v>5041</v>
      </c>
    </row>
    <row r="145" spans="1:5">
      <c r="A145" s="23" t="s">
        <v>5042</v>
      </c>
      <c r="B145" s="66">
        <v>39826</v>
      </c>
      <c r="C145" s="23" t="s">
        <v>5043</v>
      </c>
      <c r="D145" s="23" t="s">
        <v>4763</v>
      </c>
      <c r="E145" s="23" t="s">
        <v>5044</v>
      </c>
    </row>
    <row r="146" spans="1:5">
      <c r="A146" s="67" t="s">
        <v>5045</v>
      </c>
      <c r="B146" s="68">
        <v>39826</v>
      </c>
      <c r="C146" s="67" t="s">
        <v>5046</v>
      </c>
      <c r="D146" s="67" t="s">
        <v>5047</v>
      </c>
      <c r="E146" s="67" t="s">
        <v>5048</v>
      </c>
    </row>
    <row r="147" spans="1:5">
      <c r="A147" s="23" t="s">
        <v>5049</v>
      </c>
      <c r="B147" s="66">
        <v>39826</v>
      </c>
      <c r="C147" s="23" t="s">
        <v>5050</v>
      </c>
      <c r="D147" s="23" t="s">
        <v>4931</v>
      </c>
      <c r="E147" s="23" t="s">
        <v>5051</v>
      </c>
    </row>
    <row r="148" spans="1:5">
      <c r="A148" s="67" t="s">
        <v>5052</v>
      </c>
      <c r="B148" s="68">
        <v>39826</v>
      </c>
      <c r="C148" s="67" t="s">
        <v>4957</v>
      </c>
      <c r="D148" s="67" t="s">
        <v>4931</v>
      </c>
      <c r="E148" s="67" t="s">
        <v>5053</v>
      </c>
    </row>
    <row r="149" spans="1:5">
      <c r="A149" s="23" t="s">
        <v>5054</v>
      </c>
      <c r="B149" s="66">
        <v>39826</v>
      </c>
      <c r="C149" s="23" t="s">
        <v>4957</v>
      </c>
      <c r="D149" s="23" t="s">
        <v>5055</v>
      </c>
      <c r="E149" s="23" t="s">
        <v>5056</v>
      </c>
    </row>
    <row r="150" spans="1:5">
      <c r="A150" s="67" t="s">
        <v>5057</v>
      </c>
      <c r="B150" s="68">
        <v>39826</v>
      </c>
      <c r="C150" s="67" t="s">
        <v>4957</v>
      </c>
      <c r="D150" s="67" t="s">
        <v>5047</v>
      </c>
      <c r="E150" s="67" t="s">
        <v>5058</v>
      </c>
    </row>
    <row r="151" spans="1:5">
      <c r="A151" s="23" t="s">
        <v>5059</v>
      </c>
      <c r="B151" s="66">
        <v>39826</v>
      </c>
      <c r="C151" s="23" t="s">
        <v>4957</v>
      </c>
      <c r="D151" s="23" t="s">
        <v>4974</v>
      </c>
      <c r="E151" s="23" t="s">
        <v>5060</v>
      </c>
    </row>
    <row r="152" spans="1:5">
      <c r="A152" s="67" t="s">
        <v>5061</v>
      </c>
      <c r="B152" s="68">
        <v>39826</v>
      </c>
      <c r="C152" s="67" t="s">
        <v>4957</v>
      </c>
      <c r="D152" s="67" t="s">
        <v>4859</v>
      </c>
      <c r="E152" s="67" t="s">
        <v>5062</v>
      </c>
    </row>
    <row r="153" spans="1:5">
      <c r="A153" s="23" t="s">
        <v>5063</v>
      </c>
      <c r="B153" s="66">
        <v>39826</v>
      </c>
      <c r="C153" s="23" t="s">
        <v>4957</v>
      </c>
      <c r="D153" s="23" t="s">
        <v>4948</v>
      </c>
      <c r="E153" s="23" t="s">
        <v>5064</v>
      </c>
    </row>
    <row r="154" spans="1:5">
      <c r="A154" s="67" t="s">
        <v>5065</v>
      </c>
      <c r="B154" s="68">
        <v>39826</v>
      </c>
      <c r="C154" s="67" t="s">
        <v>4957</v>
      </c>
      <c r="D154" s="67" t="s">
        <v>4948</v>
      </c>
      <c r="E154" s="67" t="s">
        <v>5066</v>
      </c>
    </row>
    <row r="155" spans="1:5">
      <c r="A155" s="23" t="s">
        <v>5067</v>
      </c>
      <c r="B155" s="66">
        <v>39826</v>
      </c>
      <c r="C155" s="23" t="s">
        <v>4957</v>
      </c>
      <c r="D155" s="23" t="s">
        <v>4948</v>
      </c>
      <c r="E155" s="23" t="s">
        <v>5068</v>
      </c>
    </row>
    <row r="156" spans="1:5">
      <c r="A156" s="67" t="s">
        <v>5069</v>
      </c>
      <c r="B156" s="68">
        <v>39826</v>
      </c>
      <c r="C156" s="67" t="s">
        <v>4957</v>
      </c>
      <c r="D156" s="67" t="s">
        <v>4859</v>
      </c>
      <c r="E156" s="67" t="s">
        <v>5070</v>
      </c>
    </row>
    <row r="157" spans="1:5">
      <c r="A157" s="23" t="s">
        <v>5071</v>
      </c>
      <c r="B157" s="66">
        <v>39826</v>
      </c>
      <c r="C157" s="23" t="s">
        <v>5072</v>
      </c>
      <c r="D157" s="23" t="s">
        <v>4888</v>
      </c>
      <c r="E157" s="23" t="s">
        <v>4670</v>
      </c>
    </row>
    <row r="158" spans="1:5">
      <c r="A158" s="67" t="s">
        <v>5073</v>
      </c>
      <c r="B158" s="68">
        <v>39828</v>
      </c>
      <c r="C158" s="67" t="s">
        <v>5074</v>
      </c>
      <c r="D158" s="67" t="s">
        <v>4805</v>
      </c>
      <c r="E158" s="67" t="s">
        <v>3520</v>
      </c>
    </row>
    <row r="159" spans="1:5">
      <c r="A159" s="23" t="s">
        <v>5075</v>
      </c>
      <c r="B159" s="66">
        <v>39828</v>
      </c>
      <c r="C159" s="23" t="s">
        <v>5076</v>
      </c>
      <c r="D159" s="23" t="s">
        <v>4888</v>
      </c>
      <c r="E159" s="23" t="s">
        <v>5077</v>
      </c>
    </row>
    <row r="160" spans="1:5">
      <c r="A160" s="67" t="s">
        <v>5078</v>
      </c>
      <c r="B160" s="68">
        <v>39828</v>
      </c>
      <c r="C160" s="67" t="s">
        <v>5079</v>
      </c>
      <c r="D160" s="67" t="s">
        <v>4850</v>
      </c>
      <c r="E160" s="67" t="s">
        <v>3520</v>
      </c>
    </row>
    <row r="161" spans="1:5">
      <c r="A161" s="23" t="s">
        <v>5080</v>
      </c>
      <c r="B161" s="66">
        <v>39828</v>
      </c>
      <c r="C161" s="23" t="s">
        <v>5081</v>
      </c>
      <c r="D161" s="23" t="s">
        <v>4859</v>
      </c>
      <c r="E161" s="23" t="s">
        <v>4915</v>
      </c>
    </row>
    <row r="162" spans="1:5">
      <c r="A162" s="67" t="s">
        <v>5082</v>
      </c>
      <c r="B162" s="68">
        <v>39827</v>
      </c>
      <c r="C162" s="67" t="s">
        <v>5083</v>
      </c>
      <c r="D162" s="67" t="s">
        <v>5084</v>
      </c>
      <c r="E162" s="67" t="s">
        <v>5085</v>
      </c>
    </row>
    <row r="163" spans="1:5">
      <c r="A163" s="23" t="s">
        <v>5086</v>
      </c>
      <c r="B163" s="66">
        <v>39827</v>
      </c>
      <c r="C163" s="23" t="s">
        <v>4922</v>
      </c>
      <c r="D163" s="23" t="s">
        <v>5036</v>
      </c>
      <c r="E163" s="23" t="s">
        <v>5087</v>
      </c>
    </row>
    <row r="164" spans="1:5">
      <c r="A164" s="67" t="s">
        <v>5088</v>
      </c>
      <c r="B164" s="68">
        <v>39827</v>
      </c>
      <c r="C164" s="67" t="s">
        <v>5089</v>
      </c>
      <c r="D164" s="67" t="s">
        <v>4805</v>
      </c>
      <c r="E164" s="67" t="s">
        <v>5087</v>
      </c>
    </row>
    <row r="165" spans="1:5">
      <c r="A165" s="23" t="s">
        <v>5090</v>
      </c>
      <c r="B165" s="66">
        <v>39827</v>
      </c>
      <c r="C165" s="23" t="s">
        <v>5091</v>
      </c>
      <c r="D165" s="23" t="s">
        <v>5047</v>
      </c>
      <c r="E165" s="23" t="s">
        <v>5087</v>
      </c>
    </row>
    <row r="166" spans="1:5">
      <c r="A166" s="67" t="s">
        <v>5092</v>
      </c>
      <c r="B166" s="68">
        <v>39827</v>
      </c>
      <c r="C166" s="67" t="s">
        <v>5093</v>
      </c>
      <c r="D166" s="67" t="s">
        <v>4859</v>
      </c>
      <c r="E166" s="67" t="s">
        <v>5087</v>
      </c>
    </row>
    <row r="167" spans="1:5">
      <c r="A167" s="23" t="s">
        <v>5094</v>
      </c>
      <c r="B167" s="66">
        <v>39827</v>
      </c>
      <c r="C167" s="23" t="s">
        <v>5095</v>
      </c>
      <c r="D167" s="23" t="s">
        <v>5047</v>
      </c>
      <c r="E167" s="23" t="s">
        <v>5096</v>
      </c>
    </row>
    <row r="168" spans="1:5">
      <c r="A168" s="67" t="s">
        <v>5097</v>
      </c>
      <c r="B168" s="68">
        <v>39827</v>
      </c>
      <c r="C168" s="67" t="s">
        <v>5093</v>
      </c>
      <c r="D168" s="67" t="s">
        <v>5047</v>
      </c>
      <c r="E168" s="67" t="s">
        <v>5098</v>
      </c>
    </row>
    <row r="169" spans="1:5">
      <c r="A169" s="23" t="s">
        <v>5099</v>
      </c>
      <c r="B169" s="66">
        <v>39827</v>
      </c>
      <c r="C169" s="23" t="s">
        <v>5100</v>
      </c>
      <c r="D169" s="23" t="s">
        <v>4882</v>
      </c>
      <c r="E169" s="23" t="s">
        <v>4743</v>
      </c>
    </row>
    <row r="170" spans="1:5">
      <c r="A170" s="67" t="s">
        <v>5101</v>
      </c>
      <c r="B170" s="68">
        <v>39827</v>
      </c>
      <c r="C170" s="67" t="s">
        <v>5102</v>
      </c>
      <c r="D170" s="67" t="s">
        <v>4882</v>
      </c>
      <c r="E170" s="67" t="s">
        <v>4670</v>
      </c>
    </row>
    <row r="171" spans="1:5">
      <c r="A171" s="23" t="s">
        <v>5103</v>
      </c>
      <c r="B171" s="66">
        <v>39827</v>
      </c>
      <c r="C171" s="23" t="s">
        <v>5104</v>
      </c>
      <c r="D171" s="23" t="s">
        <v>4904</v>
      </c>
      <c r="E171" s="23" t="s">
        <v>5105</v>
      </c>
    </row>
    <row r="172" spans="1:5">
      <c r="A172" s="67" t="s">
        <v>5106</v>
      </c>
      <c r="B172" s="68">
        <v>39827</v>
      </c>
      <c r="C172" s="67" t="s">
        <v>5107</v>
      </c>
      <c r="D172" s="67" t="s">
        <v>4850</v>
      </c>
      <c r="E172" s="67" t="s">
        <v>4817</v>
      </c>
    </row>
    <row r="173" spans="1:5">
      <c r="A173" s="23" t="s">
        <v>5108</v>
      </c>
      <c r="B173" s="66">
        <v>39827</v>
      </c>
      <c r="C173" s="23" t="s">
        <v>5109</v>
      </c>
      <c r="D173" s="23" t="s">
        <v>5036</v>
      </c>
      <c r="E173" s="23" t="s">
        <v>4817</v>
      </c>
    </row>
    <row r="174" spans="1:5">
      <c r="A174" s="67" t="s">
        <v>5110</v>
      </c>
      <c r="B174" s="68">
        <v>39827</v>
      </c>
      <c r="C174" s="67" t="s">
        <v>5111</v>
      </c>
      <c r="D174" s="67" t="s">
        <v>4882</v>
      </c>
      <c r="E174" s="67" t="s">
        <v>5112</v>
      </c>
    </row>
    <row r="175" spans="1:5">
      <c r="A175" s="23" t="s">
        <v>5113</v>
      </c>
      <c r="B175" s="66">
        <v>39827</v>
      </c>
      <c r="C175" s="23" t="s">
        <v>4957</v>
      </c>
      <c r="D175" s="23" t="s">
        <v>5047</v>
      </c>
      <c r="E175" s="23" t="s">
        <v>5114</v>
      </c>
    </row>
    <row r="176" spans="1:5">
      <c r="A176" s="67" t="s">
        <v>5115</v>
      </c>
      <c r="B176" s="68">
        <v>39827</v>
      </c>
      <c r="C176" s="67" t="s">
        <v>5116</v>
      </c>
      <c r="D176" s="67" t="s">
        <v>5047</v>
      </c>
      <c r="E176" s="67" t="s">
        <v>5117</v>
      </c>
    </row>
    <row r="177" spans="1:5">
      <c r="A177" s="23" t="s">
        <v>5118</v>
      </c>
      <c r="B177" s="66">
        <v>39828</v>
      </c>
      <c r="C177" s="23" t="s">
        <v>5119</v>
      </c>
      <c r="D177" s="23" t="s">
        <v>5120</v>
      </c>
      <c r="E177" s="23" t="s">
        <v>5121</v>
      </c>
    </row>
    <row r="178" spans="1:5">
      <c r="A178" s="67" t="s">
        <v>5122</v>
      </c>
      <c r="B178" s="68">
        <v>39828</v>
      </c>
      <c r="C178" s="67" t="s">
        <v>5123</v>
      </c>
      <c r="D178" s="67" t="s">
        <v>4948</v>
      </c>
      <c r="E178" s="67" t="s">
        <v>5121</v>
      </c>
    </row>
    <row r="179" spans="1:5">
      <c r="A179" s="23" t="s">
        <v>5124</v>
      </c>
      <c r="B179" s="66">
        <v>39828</v>
      </c>
      <c r="C179" s="23" t="s">
        <v>5125</v>
      </c>
      <c r="D179" s="23" t="s">
        <v>5047</v>
      </c>
      <c r="E179" s="23" t="s">
        <v>5121</v>
      </c>
    </row>
    <row r="180" spans="1:5">
      <c r="A180" s="67" t="s">
        <v>5126</v>
      </c>
      <c r="B180" s="68">
        <v>39828</v>
      </c>
      <c r="C180" s="67" t="s">
        <v>5127</v>
      </c>
      <c r="D180" s="67" t="s">
        <v>4859</v>
      </c>
      <c r="E180" s="67" t="s">
        <v>5121</v>
      </c>
    </row>
    <row r="181" spans="1:5">
      <c r="A181" s="23" t="s">
        <v>5128</v>
      </c>
      <c r="B181" s="66">
        <v>39828</v>
      </c>
      <c r="C181" s="23" t="s">
        <v>5129</v>
      </c>
      <c r="D181" s="23" t="s">
        <v>5036</v>
      </c>
      <c r="E181" s="23" t="s">
        <v>5121</v>
      </c>
    </row>
    <row r="182" spans="1:5">
      <c r="A182" s="67" t="s">
        <v>5130</v>
      </c>
      <c r="B182" s="68">
        <v>39828</v>
      </c>
      <c r="C182" s="67" t="s">
        <v>5131</v>
      </c>
      <c r="D182" s="67" t="s">
        <v>4805</v>
      </c>
      <c r="E182" s="67" t="s">
        <v>5132</v>
      </c>
    </row>
    <row r="183" spans="1:5">
      <c r="A183" s="23" t="s">
        <v>5133</v>
      </c>
      <c r="B183" s="66">
        <v>39828</v>
      </c>
      <c r="C183" s="23" t="s">
        <v>5134</v>
      </c>
      <c r="D183" s="23" t="s">
        <v>4859</v>
      </c>
      <c r="E183" s="23" t="s">
        <v>5132</v>
      </c>
    </row>
    <row r="184" spans="1:5">
      <c r="A184" s="67" t="s">
        <v>5135</v>
      </c>
      <c r="B184" s="68">
        <v>39828</v>
      </c>
      <c r="C184" s="67" t="s">
        <v>5136</v>
      </c>
      <c r="D184" s="67" t="s">
        <v>4850</v>
      </c>
      <c r="E184" s="67" t="s">
        <v>5085</v>
      </c>
    </row>
    <row r="185" spans="1:5">
      <c r="A185" s="23" t="s">
        <v>5137</v>
      </c>
      <c r="B185" s="66">
        <v>39828</v>
      </c>
      <c r="C185" s="23" t="s">
        <v>3096</v>
      </c>
      <c r="D185" s="23" t="s">
        <v>4850</v>
      </c>
      <c r="E185" s="23" t="s">
        <v>5121</v>
      </c>
    </row>
    <row r="186" spans="1:5">
      <c r="A186" s="67" t="s">
        <v>5138</v>
      </c>
      <c r="B186" s="68">
        <v>39828</v>
      </c>
      <c r="C186" s="67" t="s">
        <v>5129</v>
      </c>
      <c r="D186" s="67" t="s">
        <v>4931</v>
      </c>
      <c r="E186" s="67" t="s">
        <v>5139</v>
      </c>
    </row>
    <row r="187" spans="1:5">
      <c r="A187" s="23" t="s">
        <v>5140</v>
      </c>
      <c r="B187" s="66">
        <v>39828</v>
      </c>
      <c r="C187" s="23" t="s">
        <v>5129</v>
      </c>
      <c r="D187" s="23" t="s">
        <v>4888</v>
      </c>
      <c r="E187" s="23" t="s">
        <v>5141</v>
      </c>
    </row>
    <row r="188" spans="1:5">
      <c r="A188" s="67" t="s">
        <v>5142</v>
      </c>
      <c r="B188" s="68">
        <v>39828</v>
      </c>
      <c r="C188" s="67" t="s">
        <v>5129</v>
      </c>
      <c r="D188" s="67" t="s">
        <v>5143</v>
      </c>
      <c r="E188" s="67" t="s">
        <v>5144</v>
      </c>
    </row>
    <row r="189" spans="1:5">
      <c r="A189" s="23" t="s">
        <v>5145</v>
      </c>
      <c r="B189" s="66">
        <v>39828</v>
      </c>
      <c r="C189" s="23" t="s">
        <v>5146</v>
      </c>
      <c r="D189" s="23" t="s">
        <v>4763</v>
      </c>
      <c r="E189" s="23" t="s">
        <v>5147</v>
      </c>
    </row>
    <row r="190" spans="1:5">
      <c r="A190" s="67" t="s">
        <v>5148</v>
      </c>
      <c r="B190" s="68">
        <v>39828</v>
      </c>
      <c r="C190" s="67" t="s">
        <v>5149</v>
      </c>
      <c r="D190" s="67" t="s">
        <v>5036</v>
      </c>
      <c r="E190" s="67" t="s">
        <v>5147</v>
      </c>
    </row>
    <row r="191" spans="1:5">
      <c r="A191" s="23" t="s">
        <v>5150</v>
      </c>
      <c r="B191" s="66">
        <v>39828</v>
      </c>
      <c r="C191" s="23" t="s">
        <v>5151</v>
      </c>
      <c r="D191" s="23" t="s">
        <v>5036</v>
      </c>
      <c r="E191" s="23" t="s">
        <v>3637</v>
      </c>
    </row>
    <row r="192" spans="1:5">
      <c r="A192" s="67" t="s">
        <v>5152</v>
      </c>
      <c r="B192" s="68">
        <v>39828</v>
      </c>
      <c r="C192" s="67" t="s">
        <v>4875</v>
      </c>
      <c r="D192" s="67" t="s">
        <v>4888</v>
      </c>
      <c r="E192" s="67" t="s">
        <v>5153</v>
      </c>
    </row>
    <row r="193" spans="1:5">
      <c r="A193" s="23" t="s">
        <v>5154</v>
      </c>
      <c r="B193" s="66">
        <v>39828</v>
      </c>
      <c r="C193" s="23" t="s">
        <v>5155</v>
      </c>
      <c r="D193" s="23" t="s">
        <v>4859</v>
      </c>
      <c r="E193" s="23" t="s">
        <v>5156</v>
      </c>
    </row>
    <row r="194" spans="1:5">
      <c r="A194" s="67" t="s">
        <v>5157</v>
      </c>
      <c r="B194" s="68">
        <v>39828</v>
      </c>
      <c r="C194" s="67" t="s">
        <v>5158</v>
      </c>
      <c r="D194" s="67" t="s">
        <v>5159</v>
      </c>
      <c r="E194" s="67" t="s">
        <v>4802</v>
      </c>
    </row>
    <row r="195" spans="1:5">
      <c r="A195" s="23" t="s">
        <v>5160</v>
      </c>
      <c r="B195" s="66">
        <v>39828</v>
      </c>
      <c r="C195" s="23" t="s">
        <v>5161</v>
      </c>
      <c r="D195" s="23" t="s">
        <v>4850</v>
      </c>
      <c r="E195" s="23" t="s">
        <v>3520</v>
      </c>
    </row>
    <row r="196" spans="1:5">
      <c r="A196" s="67" t="s">
        <v>5162</v>
      </c>
      <c r="B196" s="68">
        <v>39828</v>
      </c>
      <c r="C196" s="67" t="s">
        <v>5163</v>
      </c>
      <c r="D196" s="67" t="s">
        <v>4805</v>
      </c>
      <c r="E196" s="67" t="s">
        <v>5164</v>
      </c>
    </row>
    <row r="197" spans="1:5">
      <c r="A197" s="23" t="s">
        <v>5165</v>
      </c>
      <c r="B197" s="66">
        <v>39828</v>
      </c>
      <c r="C197" s="23" t="s">
        <v>5166</v>
      </c>
      <c r="D197" s="23" t="s">
        <v>5047</v>
      </c>
      <c r="E197" s="23" t="s">
        <v>5167</v>
      </c>
    </row>
    <row r="198" spans="1:5">
      <c r="A198" s="67" t="s">
        <v>5168</v>
      </c>
      <c r="B198" s="68">
        <v>39828</v>
      </c>
      <c r="C198" s="67" t="s">
        <v>5169</v>
      </c>
      <c r="D198" s="67" t="s">
        <v>4763</v>
      </c>
      <c r="E198" s="67" t="s">
        <v>4817</v>
      </c>
    </row>
    <row r="199" spans="1:5">
      <c r="A199" s="23" t="s">
        <v>5170</v>
      </c>
      <c r="B199" s="66">
        <v>39828</v>
      </c>
      <c r="C199" s="23" t="s">
        <v>5171</v>
      </c>
      <c r="D199" s="23" t="s">
        <v>4888</v>
      </c>
      <c r="E199" s="23" t="s">
        <v>3501</v>
      </c>
    </row>
    <row r="200" spans="1:5">
      <c r="A200" s="67" t="s">
        <v>5172</v>
      </c>
      <c r="B200" s="68">
        <v>39828</v>
      </c>
      <c r="C200" s="67" t="s">
        <v>5173</v>
      </c>
      <c r="D200" s="67" t="s">
        <v>5047</v>
      </c>
      <c r="E200" s="67" t="s">
        <v>3555</v>
      </c>
    </row>
    <row r="201" spans="1:5">
      <c r="A201" s="23" t="s">
        <v>5174</v>
      </c>
      <c r="B201" s="66">
        <v>39828</v>
      </c>
      <c r="C201" s="23" t="s">
        <v>4922</v>
      </c>
      <c r="D201" s="23" t="s">
        <v>5036</v>
      </c>
      <c r="E201" s="23" t="s">
        <v>5175</v>
      </c>
    </row>
    <row r="202" spans="1:5">
      <c r="A202" s="67" t="s">
        <v>5176</v>
      </c>
      <c r="B202" s="68">
        <v>39828</v>
      </c>
      <c r="C202" s="67" t="s">
        <v>5177</v>
      </c>
      <c r="D202" s="67" t="s">
        <v>4763</v>
      </c>
      <c r="E202" s="67" t="s">
        <v>4683</v>
      </c>
    </row>
    <row r="203" spans="1:5">
      <c r="A203" s="23" t="s">
        <v>5178</v>
      </c>
      <c r="B203" s="66">
        <v>39828</v>
      </c>
      <c r="C203" s="23" t="s">
        <v>5149</v>
      </c>
      <c r="D203" s="23" t="s">
        <v>5036</v>
      </c>
      <c r="E203" s="23" t="s">
        <v>4683</v>
      </c>
    </row>
    <row r="204" spans="1:5">
      <c r="A204" s="67" t="s">
        <v>5179</v>
      </c>
      <c r="B204" s="68">
        <v>39828</v>
      </c>
      <c r="C204" s="67" t="s">
        <v>5180</v>
      </c>
      <c r="D204" s="67" t="s">
        <v>4859</v>
      </c>
      <c r="E204" s="67" t="s">
        <v>4670</v>
      </c>
    </row>
    <row r="205" spans="1:5">
      <c r="A205" s="23" t="s">
        <v>5181</v>
      </c>
      <c r="B205" s="66">
        <v>39828</v>
      </c>
      <c r="C205" s="23" t="s">
        <v>5046</v>
      </c>
      <c r="D205" s="23" t="s">
        <v>5182</v>
      </c>
      <c r="E205" s="23" t="s">
        <v>5183</v>
      </c>
    </row>
    <row r="206" spans="1:5">
      <c r="A206" s="67" t="s">
        <v>5184</v>
      </c>
      <c r="B206" s="68">
        <v>39828</v>
      </c>
      <c r="C206" s="67" t="s">
        <v>5093</v>
      </c>
      <c r="D206" s="67" t="s">
        <v>5182</v>
      </c>
      <c r="E206" s="67" t="s">
        <v>5183</v>
      </c>
    </row>
    <row r="207" spans="1:5">
      <c r="A207" s="23" t="s">
        <v>5185</v>
      </c>
      <c r="B207" s="66">
        <v>39828</v>
      </c>
      <c r="C207" s="23" t="s">
        <v>5186</v>
      </c>
      <c r="D207" s="23" t="s">
        <v>4805</v>
      </c>
      <c r="E207" s="23" t="s">
        <v>5183</v>
      </c>
    </row>
    <row r="208" spans="1:5">
      <c r="A208" s="67" t="s">
        <v>5187</v>
      </c>
      <c r="B208" s="68">
        <v>39828</v>
      </c>
      <c r="C208" s="67" t="s">
        <v>4922</v>
      </c>
      <c r="D208" s="67" t="s">
        <v>5036</v>
      </c>
      <c r="E208" s="67" t="s">
        <v>5183</v>
      </c>
    </row>
    <row r="209" spans="1:5">
      <c r="A209" s="23" t="s">
        <v>5188</v>
      </c>
      <c r="B209" s="66">
        <v>39828</v>
      </c>
      <c r="C209" s="23" t="s">
        <v>5189</v>
      </c>
      <c r="D209" s="23" t="s">
        <v>4931</v>
      </c>
      <c r="E209" s="23" t="s">
        <v>5183</v>
      </c>
    </row>
    <row r="210" spans="1:5">
      <c r="A210" s="67" t="s">
        <v>5190</v>
      </c>
      <c r="B210" s="68">
        <v>39828</v>
      </c>
      <c r="C210" s="67" t="s">
        <v>5131</v>
      </c>
      <c r="D210" s="67" t="s">
        <v>4805</v>
      </c>
      <c r="E210" s="67" t="s">
        <v>5087</v>
      </c>
    </row>
    <row r="211" spans="1:5">
      <c r="A211" s="23" t="s">
        <v>5191</v>
      </c>
      <c r="B211" s="66">
        <v>39828</v>
      </c>
      <c r="C211" s="23" t="s">
        <v>5192</v>
      </c>
      <c r="D211" s="23" t="s">
        <v>4931</v>
      </c>
      <c r="E211" s="23" t="s">
        <v>5098</v>
      </c>
    </row>
    <row r="212" spans="1:5">
      <c r="A212" s="67" t="s">
        <v>5193</v>
      </c>
      <c r="B212" s="68">
        <v>39828</v>
      </c>
      <c r="C212" s="67" t="s">
        <v>5194</v>
      </c>
      <c r="D212" s="67" t="s">
        <v>5047</v>
      </c>
      <c r="E212" s="67" t="s">
        <v>5098</v>
      </c>
    </row>
    <row r="213" spans="1:5">
      <c r="A213" s="23" t="s">
        <v>5195</v>
      </c>
      <c r="B213" s="66">
        <v>39828</v>
      </c>
      <c r="C213" s="23" t="s">
        <v>3148</v>
      </c>
      <c r="D213" s="23" t="s">
        <v>4805</v>
      </c>
      <c r="E213" s="23" t="s">
        <v>5196</v>
      </c>
    </row>
    <row r="214" spans="1:5">
      <c r="A214" s="67" t="s">
        <v>5197</v>
      </c>
      <c r="B214" s="68">
        <v>39828</v>
      </c>
      <c r="C214" s="67" t="s">
        <v>5129</v>
      </c>
      <c r="D214" s="67" t="s">
        <v>5055</v>
      </c>
      <c r="E214" s="67" t="s">
        <v>5098</v>
      </c>
    </row>
    <row r="215" spans="1:5">
      <c r="A215" s="23" t="s">
        <v>5198</v>
      </c>
      <c r="B215" s="66">
        <v>39828</v>
      </c>
      <c r="C215" s="23" t="s">
        <v>5199</v>
      </c>
      <c r="D215" s="23" t="s">
        <v>5200</v>
      </c>
      <c r="E215" s="23" t="s">
        <v>5132</v>
      </c>
    </row>
    <row r="216" spans="1:5">
      <c r="A216" s="67" t="s">
        <v>5201</v>
      </c>
      <c r="B216" s="68">
        <v>39828</v>
      </c>
      <c r="C216" s="67" t="s">
        <v>5202</v>
      </c>
      <c r="D216" s="67" t="s">
        <v>4805</v>
      </c>
      <c r="E216" s="67" t="s">
        <v>3637</v>
      </c>
    </row>
    <row r="217" spans="1:5">
      <c r="A217" s="23" t="s">
        <v>5203</v>
      </c>
      <c r="B217" s="66">
        <v>39828</v>
      </c>
      <c r="C217" s="23" t="s">
        <v>5204</v>
      </c>
      <c r="D217" s="23" t="s">
        <v>4805</v>
      </c>
      <c r="E217" s="23" t="s">
        <v>5205</v>
      </c>
    </row>
    <row r="218" spans="1:5">
      <c r="A218" s="67" t="s">
        <v>5206</v>
      </c>
      <c r="B218" s="68">
        <v>39828</v>
      </c>
      <c r="C218" s="67" t="s">
        <v>5207</v>
      </c>
      <c r="D218" s="67" t="s">
        <v>4931</v>
      </c>
      <c r="E218" s="67" t="s">
        <v>5208</v>
      </c>
    </row>
    <row r="219" spans="1:5">
      <c r="A219" s="23" t="s">
        <v>5209</v>
      </c>
      <c r="B219" s="66">
        <v>39828</v>
      </c>
      <c r="C219" s="23" t="s">
        <v>5210</v>
      </c>
      <c r="D219" s="23" t="s">
        <v>4859</v>
      </c>
      <c r="E219" s="23" t="s">
        <v>5211</v>
      </c>
    </row>
    <row r="220" spans="1:5">
      <c r="A220" s="67" t="s">
        <v>5212</v>
      </c>
      <c r="B220" s="68">
        <v>39828</v>
      </c>
      <c r="C220" s="67" t="s">
        <v>5213</v>
      </c>
      <c r="D220" s="67" t="s">
        <v>4888</v>
      </c>
      <c r="E220" s="67" t="s">
        <v>5214</v>
      </c>
    </row>
    <row r="221" spans="1:5">
      <c r="A221" s="23" t="s">
        <v>5215</v>
      </c>
      <c r="B221" s="66">
        <v>39828</v>
      </c>
      <c r="C221" s="23" t="s">
        <v>5136</v>
      </c>
      <c r="D221" s="23" t="s">
        <v>4850</v>
      </c>
      <c r="E221" s="23" t="s">
        <v>5216</v>
      </c>
    </row>
    <row r="222" spans="1:5">
      <c r="A222" s="67" t="s">
        <v>5217</v>
      </c>
      <c r="B222" s="68">
        <v>39828</v>
      </c>
      <c r="C222" s="67" t="s">
        <v>5218</v>
      </c>
      <c r="D222" s="67" t="s">
        <v>5047</v>
      </c>
      <c r="E222" s="67" t="s">
        <v>4908</v>
      </c>
    </row>
    <row r="223" spans="1:5">
      <c r="A223" s="23" t="s">
        <v>5219</v>
      </c>
      <c r="B223" s="66">
        <v>39828</v>
      </c>
      <c r="C223" s="23" t="s">
        <v>5220</v>
      </c>
      <c r="D223" s="23" t="s">
        <v>4948</v>
      </c>
      <c r="E223" s="23" t="s">
        <v>4800</v>
      </c>
    </row>
    <row r="224" spans="1:5">
      <c r="A224" s="67" t="s">
        <v>5221</v>
      </c>
      <c r="B224" s="68">
        <v>39828</v>
      </c>
      <c r="C224" s="67" t="s">
        <v>5222</v>
      </c>
      <c r="D224" s="67" t="s">
        <v>4850</v>
      </c>
      <c r="E224" s="67" t="s">
        <v>5223</v>
      </c>
    </row>
    <row r="225" spans="1:5">
      <c r="A225" s="23" t="s">
        <v>5224</v>
      </c>
      <c r="B225" s="66">
        <v>39828</v>
      </c>
      <c r="C225" s="23" t="s">
        <v>5225</v>
      </c>
      <c r="D225" s="23" t="s">
        <v>4931</v>
      </c>
      <c r="E225" s="23" t="s">
        <v>5208</v>
      </c>
    </row>
    <row r="226" spans="1:5">
      <c r="A226" s="67" t="s">
        <v>5226</v>
      </c>
      <c r="B226" s="68">
        <v>39828</v>
      </c>
      <c r="C226" s="67" t="s">
        <v>5227</v>
      </c>
      <c r="D226" s="67" t="s">
        <v>5228</v>
      </c>
      <c r="E226" s="67" t="s">
        <v>4670</v>
      </c>
    </row>
    <row r="227" spans="1:5">
      <c r="A227" s="23" t="s">
        <v>5229</v>
      </c>
      <c r="B227" s="66">
        <v>39828</v>
      </c>
      <c r="C227" s="23" t="s">
        <v>5230</v>
      </c>
      <c r="D227" s="23" t="s">
        <v>4763</v>
      </c>
      <c r="E227" s="23" t="s">
        <v>4912</v>
      </c>
    </row>
    <row r="228" spans="1:5">
      <c r="A228" s="67" t="s">
        <v>5231</v>
      </c>
      <c r="B228" s="68">
        <v>39828</v>
      </c>
      <c r="C228" s="67" t="s">
        <v>5232</v>
      </c>
      <c r="D228" s="67" t="s">
        <v>5036</v>
      </c>
      <c r="E228" s="67" t="s">
        <v>5233</v>
      </c>
    </row>
    <row r="229" spans="1:5">
      <c r="A229" s="23" t="s">
        <v>5234</v>
      </c>
      <c r="B229" s="66">
        <v>39828</v>
      </c>
      <c r="C229" s="23" t="s">
        <v>5235</v>
      </c>
      <c r="D229" s="23" t="s">
        <v>4948</v>
      </c>
      <c r="E229" s="23" t="s">
        <v>3495</v>
      </c>
    </row>
    <row r="230" spans="1:5">
      <c r="A230" s="67" t="s">
        <v>5236</v>
      </c>
      <c r="B230" s="68">
        <v>39828</v>
      </c>
      <c r="C230" s="67" t="s">
        <v>5237</v>
      </c>
      <c r="D230" s="67" t="s">
        <v>4805</v>
      </c>
      <c r="E230" s="67" t="s">
        <v>3495</v>
      </c>
    </row>
    <row r="231" spans="1:5">
      <c r="A231" s="23" t="s">
        <v>5238</v>
      </c>
      <c r="B231" s="66">
        <v>39882</v>
      </c>
      <c r="C231" s="23" t="s">
        <v>5239</v>
      </c>
      <c r="D231" s="23" t="s">
        <v>4888</v>
      </c>
      <c r="E231" s="23" t="s">
        <v>5240</v>
      </c>
    </row>
    <row r="232" spans="1:5">
      <c r="A232" s="67" t="s">
        <v>5241</v>
      </c>
      <c r="B232" s="68">
        <v>39882</v>
      </c>
      <c r="C232" s="67" t="s">
        <v>5242</v>
      </c>
      <c r="D232" s="67" t="s">
        <v>5243</v>
      </c>
      <c r="E232" s="67" t="s">
        <v>5147</v>
      </c>
    </row>
    <row r="233" spans="1:5">
      <c r="A233" s="23" t="s">
        <v>5244</v>
      </c>
      <c r="B233" s="66">
        <v>39882</v>
      </c>
      <c r="C233" s="23" t="s">
        <v>5245</v>
      </c>
      <c r="D233" s="23" t="s">
        <v>4805</v>
      </c>
      <c r="E233" s="23" t="s">
        <v>5147</v>
      </c>
    </row>
    <row r="234" spans="1:5">
      <c r="A234" s="67" t="s">
        <v>5246</v>
      </c>
      <c r="B234" s="68">
        <v>39882</v>
      </c>
      <c r="C234" s="67" t="s">
        <v>5247</v>
      </c>
      <c r="D234" s="67" t="s">
        <v>4974</v>
      </c>
      <c r="E234" s="67" t="s">
        <v>4817</v>
      </c>
    </row>
    <row r="235" spans="1:5">
      <c r="A235" s="23" t="s">
        <v>5248</v>
      </c>
      <c r="B235" s="66">
        <v>39882</v>
      </c>
      <c r="C235" s="23" t="s">
        <v>5249</v>
      </c>
      <c r="D235" s="23" t="s">
        <v>5047</v>
      </c>
      <c r="E235" s="23" t="s">
        <v>5098</v>
      </c>
    </row>
    <row r="236" spans="1:5">
      <c r="A236" s="67" t="s">
        <v>5250</v>
      </c>
      <c r="B236" s="68">
        <v>39877</v>
      </c>
      <c r="C236" s="67" t="s">
        <v>5251</v>
      </c>
      <c r="D236" s="67" t="s">
        <v>4904</v>
      </c>
      <c r="E236" s="67" t="s">
        <v>5085</v>
      </c>
    </row>
    <row r="237" spans="1:5">
      <c r="A237" s="23" t="s">
        <v>5252</v>
      </c>
      <c r="B237" s="66">
        <v>39877</v>
      </c>
      <c r="C237" s="23" t="s">
        <v>5253</v>
      </c>
      <c r="D237" s="23" t="s">
        <v>4859</v>
      </c>
      <c r="E237" s="23" t="s">
        <v>4670</v>
      </c>
    </row>
    <row r="238" spans="1:5">
      <c r="A238" s="67" t="s">
        <v>5254</v>
      </c>
      <c r="B238" s="68">
        <v>39877</v>
      </c>
      <c r="C238" s="67" t="s">
        <v>5255</v>
      </c>
      <c r="D238" s="67" t="s">
        <v>4763</v>
      </c>
      <c r="E238" s="67" t="s">
        <v>3637</v>
      </c>
    </row>
    <row r="239" spans="1:5">
      <c r="A239" s="23" t="s">
        <v>5256</v>
      </c>
      <c r="B239" s="66">
        <v>39877</v>
      </c>
      <c r="C239" s="23" t="s">
        <v>5257</v>
      </c>
      <c r="D239" s="23" t="s">
        <v>4763</v>
      </c>
      <c r="E239" s="23" t="s">
        <v>5258</v>
      </c>
    </row>
    <row r="240" spans="1:5">
      <c r="A240" s="67" t="s">
        <v>5259</v>
      </c>
      <c r="B240" s="68">
        <v>39877</v>
      </c>
      <c r="C240" s="67" t="s">
        <v>4957</v>
      </c>
      <c r="D240" s="67" t="s">
        <v>4931</v>
      </c>
      <c r="E240" s="67" t="s">
        <v>5260</v>
      </c>
    </row>
    <row r="241" spans="1:5">
      <c r="A241" s="23" t="s">
        <v>5261</v>
      </c>
      <c r="B241" s="66">
        <v>39877</v>
      </c>
      <c r="C241" s="23" t="s">
        <v>4957</v>
      </c>
      <c r="D241" s="23" t="s">
        <v>4948</v>
      </c>
      <c r="E241" s="23" t="s">
        <v>5262</v>
      </c>
    </row>
    <row r="242" spans="1:5">
      <c r="A242" s="67" t="s">
        <v>5263</v>
      </c>
      <c r="B242" s="68">
        <v>39877</v>
      </c>
      <c r="C242" s="67" t="s">
        <v>4957</v>
      </c>
      <c r="D242" s="67" t="s">
        <v>4850</v>
      </c>
      <c r="E242" s="67" t="s">
        <v>5264</v>
      </c>
    </row>
    <row r="243" spans="1:5">
      <c r="A243" s="23" t="s">
        <v>5265</v>
      </c>
      <c r="B243" s="66">
        <v>39877</v>
      </c>
      <c r="C243" s="23" t="s">
        <v>4957</v>
      </c>
      <c r="D243" s="23" t="s">
        <v>5047</v>
      </c>
      <c r="E243" s="23" t="s">
        <v>4802</v>
      </c>
    </row>
    <row r="244" spans="1:5">
      <c r="A244" s="67" t="s">
        <v>5266</v>
      </c>
      <c r="B244" s="68">
        <v>39877</v>
      </c>
      <c r="C244" s="67" t="s">
        <v>4957</v>
      </c>
      <c r="D244" s="67" t="s">
        <v>5055</v>
      </c>
      <c r="E244" s="67" t="s">
        <v>5267</v>
      </c>
    </row>
    <row r="245" spans="1:5">
      <c r="A245" s="23" t="s">
        <v>5268</v>
      </c>
      <c r="B245" s="66">
        <v>40056</v>
      </c>
      <c r="C245" s="23" t="s">
        <v>4957</v>
      </c>
      <c r="D245" s="23" t="s">
        <v>4948</v>
      </c>
      <c r="E245" s="23" t="s">
        <v>5269</v>
      </c>
    </row>
    <row r="246" spans="1:5">
      <c r="A246" s="67" t="s">
        <v>5270</v>
      </c>
      <c r="B246" s="68">
        <v>40056</v>
      </c>
      <c r="C246" s="67" t="s">
        <v>4957</v>
      </c>
      <c r="D246" s="67" t="s">
        <v>5055</v>
      </c>
      <c r="E246" s="67" t="s">
        <v>5271</v>
      </c>
    </row>
    <row r="247" spans="1:5">
      <c r="A247" s="23" t="s">
        <v>5272</v>
      </c>
      <c r="B247" s="66">
        <v>40056</v>
      </c>
      <c r="C247" s="23" t="s">
        <v>4957</v>
      </c>
      <c r="D247" s="23" t="s">
        <v>4948</v>
      </c>
      <c r="E247" s="23" t="s">
        <v>5273</v>
      </c>
    </row>
    <row r="248" spans="1:5">
      <c r="A248" s="67" t="s">
        <v>5274</v>
      </c>
      <c r="B248" s="68">
        <v>40056</v>
      </c>
      <c r="C248" s="67" t="s">
        <v>4957</v>
      </c>
      <c r="D248" s="67" t="s">
        <v>4931</v>
      </c>
      <c r="E248" s="67" t="s">
        <v>5275</v>
      </c>
    </row>
    <row r="249" spans="1:5">
      <c r="A249" s="23" t="s">
        <v>5276</v>
      </c>
      <c r="B249" s="66">
        <v>40056</v>
      </c>
      <c r="C249" s="23" t="s">
        <v>4957</v>
      </c>
      <c r="D249" s="23" t="s">
        <v>5055</v>
      </c>
      <c r="E249" s="23" t="s">
        <v>5277</v>
      </c>
    </row>
    <row r="250" spans="1:5">
      <c r="A250" s="67" t="s">
        <v>5278</v>
      </c>
      <c r="B250" s="68">
        <v>40056</v>
      </c>
      <c r="C250" s="67" t="s">
        <v>4957</v>
      </c>
      <c r="D250" s="67" t="s">
        <v>4808</v>
      </c>
      <c r="E250" s="67" t="s">
        <v>5279</v>
      </c>
    </row>
    <row r="251" spans="1:5">
      <c r="A251" s="23" t="s">
        <v>5280</v>
      </c>
      <c r="B251" s="66">
        <v>40056</v>
      </c>
      <c r="C251" s="23" t="s">
        <v>4957</v>
      </c>
      <c r="D251" s="23" t="s">
        <v>4736</v>
      </c>
      <c r="E251" s="23" t="s">
        <v>5281</v>
      </c>
    </row>
    <row r="252" spans="1:5">
      <c r="A252" s="67" t="s">
        <v>5282</v>
      </c>
      <c r="B252" s="68">
        <v>40056</v>
      </c>
      <c r="C252" s="67" t="s">
        <v>4957</v>
      </c>
      <c r="D252" s="67" t="s">
        <v>4736</v>
      </c>
      <c r="E252" s="67" t="s">
        <v>5283</v>
      </c>
    </row>
    <row r="253" spans="1:5">
      <c r="A253" s="23" t="s">
        <v>5284</v>
      </c>
      <c r="B253" s="66">
        <v>40056</v>
      </c>
      <c r="C253" s="23" t="s">
        <v>4957</v>
      </c>
      <c r="D253" s="23" t="s">
        <v>4736</v>
      </c>
      <c r="E253" s="23" t="s">
        <v>5285</v>
      </c>
    </row>
    <row r="254" spans="1:5">
      <c r="A254" s="67" t="s">
        <v>5286</v>
      </c>
      <c r="B254" s="68">
        <v>40056</v>
      </c>
      <c r="C254" s="67" t="s">
        <v>4957</v>
      </c>
      <c r="D254" s="67" t="s">
        <v>4948</v>
      </c>
      <c r="E254" s="67" t="s">
        <v>5287</v>
      </c>
    </row>
    <row r="255" spans="1:5">
      <c r="A255" s="23" t="s">
        <v>5288</v>
      </c>
      <c r="B255" s="66">
        <v>40056</v>
      </c>
      <c r="C255" s="23" t="s">
        <v>4957</v>
      </c>
      <c r="D255" s="23" t="s">
        <v>4948</v>
      </c>
      <c r="E255" s="23" t="s">
        <v>5289</v>
      </c>
    </row>
    <row r="256" spans="1:5">
      <c r="A256" s="67" t="s">
        <v>5290</v>
      </c>
      <c r="B256" s="68">
        <v>40056</v>
      </c>
      <c r="C256" s="67" t="s">
        <v>4957</v>
      </c>
      <c r="D256" s="67" t="s">
        <v>4901</v>
      </c>
      <c r="E256" s="67" t="s">
        <v>5291</v>
      </c>
    </row>
    <row r="257" spans="1:5">
      <c r="A257" s="23" t="s">
        <v>5292</v>
      </c>
      <c r="B257" s="66">
        <v>40056</v>
      </c>
      <c r="C257" s="23" t="s">
        <v>4957</v>
      </c>
      <c r="D257" s="23" t="s">
        <v>5055</v>
      </c>
      <c r="E257" s="23" t="s">
        <v>5293</v>
      </c>
    </row>
    <row r="258" spans="1:5">
      <c r="A258" s="67" t="s">
        <v>5294</v>
      </c>
      <c r="B258" s="68">
        <v>40056</v>
      </c>
      <c r="C258" s="67" t="s">
        <v>4957</v>
      </c>
      <c r="D258" s="67" t="s">
        <v>4779</v>
      </c>
      <c r="E258" s="67" t="s">
        <v>5295</v>
      </c>
    </row>
    <row r="259" spans="1:5">
      <c r="A259" s="23" t="s">
        <v>5296</v>
      </c>
      <c r="B259" s="66">
        <v>40056</v>
      </c>
      <c r="C259" s="23" t="s">
        <v>4957</v>
      </c>
      <c r="D259" s="23" t="s">
        <v>5297</v>
      </c>
      <c r="E259" s="23" t="s">
        <v>5298</v>
      </c>
    </row>
    <row r="260" spans="1:5">
      <c r="A260" s="67" t="s">
        <v>5299</v>
      </c>
      <c r="B260" s="68">
        <v>40056</v>
      </c>
      <c r="C260" s="67" t="s">
        <v>4957</v>
      </c>
      <c r="D260" s="67" t="s">
        <v>4779</v>
      </c>
      <c r="E260" s="67" t="s">
        <v>5300</v>
      </c>
    </row>
    <row r="261" spans="1:5">
      <c r="A261" s="23" t="s">
        <v>5301</v>
      </c>
      <c r="B261" s="66">
        <v>40056</v>
      </c>
      <c r="C261" s="23" t="s">
        <v>4957</v>
      </c>
      <c r="D261" s="23" t="s">
        <v>4779</v>
      </c>
      <c r="E261" s="23" t="s">
        <v>5302</v>
      </c>
    </row>
    <row r="262" spans="1:5">
      <c r="A262" s="67" t="s">
        <v>5303</v>
      </c>
      <c r="B262" s="68">
        <v>40056</v>
      </c>
      <c r="C262" s="67" t="s">
        <v>4957</v>
      </c>
      <c r="D262" s="67" t="s">
        <v>5297</v>
      </c>
      <c r="E262" s="67" t="s">
        <v>5304</v>
      </c>
    </row>
    <row r="263" spans="1:5">
      <c r="A263" s="23" t="s">
        <v>5305</v>
      </c>
      <c r="B263" s="66">
        <v>40058</v>
      </c>
      <c r="C263" s="23" t="s">
        <v>5306</v>
      </c>
      <c r="D263" s="23" t="s">
        <v>5307</v>
      </c>
      <c r="E263" s="23" t="s">
        <v>5308</v>
      </c>
    </row>
    <row r="264" spans="1:5">
      <c r="A264" s="67" t="s">
        <v>5309</v>
      </c>
      <c r="B264" s="68">
        <v>40058</v>
      </c>
      <c r="C264" s="67" t="s">
        <v>5310</v>
      </c>
      <c r="D264" s="67" t="s">
        <v>4805</v>
      </c>
      <c r="E264" s="67" t="s">
        <v>5311</v>
      </c>
    </row>
    <row r="265" spans="1:5">
      <c r="A265" s="23" t="s">
        <v>5312</v>
      </c>
      <c r="B265" s="66">
        <v>40058</v>
      </c>
      <c r="C265" s="23" t="s">
        <v>5313</v>
      </c>
      <c r="D265" s="23" t="s">
        <v>4931</v>
      </c>
      <c r="E265" s="23" t="s">
        <v>5314</v>
      </c>
    </row>
    <row r="266" spans="1:5">
      <c r="A266" s="67" t="s">
        <v>5315</v>
      </c>
      <c r="B266" s="68">
        <v>40058</v>
      </c>
      <c r="C266" s="67" t="s">
        <v>5316</v>
      </c>
      <c r="D266" s="67" t="s">
        <v>4850</v>
      </c>
      <c r="E266" s="67" t="s">
        <v>5317</v>
      </c>
    </row>
    <row r="267" spans="1:5">
      <c r="A267" s="23" t="s">
        <v>5318</v>
      </c>
      <c r="B267" s="66">
        <v>40058</v>
      </c>
      <c r="C267" s="23" t="s">
        <v>5319</v>
      </c>
      <c r="D267" s="23" t="s">
        <v>4931</v>
      </c>
      <c r="E267" s="23" t="s">
        <v>5320</v>
      </c>
    </row>
    <row r="268" spans="1:5">
      <c r="A268" s="67" t="s">
        <v>5321</v>
      </c>
      <c r="B268" s="68">
        <v>40058</v>
      </c>
      <c r="C268" s="67" t="s">
        <v>5322</v>
      </c>
      <c r="D268" s="67" t="s">
        <v>4948</v>
      </c>
      <c r="E268" s="67" t="s">
        <v>5323</v>
      </c>
    </row>
    <row r="269" spans="1:5">
      <c r="A269" s="23" t="s">
        <v>5324</v>
      </c>
      <c r="B269" s="66">
        <v>40056</v>
      </c>
      <c r="C269" s="23" t="s">
        <v>4957</v>
      </c>
      <c r="D269" s="23" t="s">
        <v>4888</v>
      </c>
      <c r="E269" s="23" t="s">
        <v>5325</v>
      </c>
    </row>
    <row r="270" spans="1:5">
      <c r="A270" s="67" t="s">
        <v>5326</v>
      </c>
      <c r="B270" s="68">
        <v>40056</v>
      </c>
      <c r="C270" s="67" t="s">
        <v>4957</v>
      </c>
      <c r="D270" s="67" t="s">
        <v>4888</v>
      </c>
      <c r="E270" s="67" t="s">
        <v>4994</v>
      </c>
    </row>
    <row r="271" spans="1:5">
      <c r="A271" s="23" t="s">
        <v>5327</v>
      </c>
      <c r="B271" s="66">
        <v>40056</v>
      </c>
      <c r="C271" s="23" t="s">
        <v>4957</v>
      </c>
      <c r="D271" s="23" t="s">
        <v>4805</v>
      </c>
      <c r="E271" s="23" t="s">
        <v>5328</v>
      </c>
    </row>
    <row r="272" spans="1:5">
      <c r="A272" s="67" t="s">
        <v>5329</v>
      </c>
      <c r="B272" s="68">
        <v>40056</v>
      </c>
      <c r="C272" s="67" t="s">
        <v>4957</v>
      </c>
      <c r="D272" s="67" t="s">
        <v>4948</v>
      </c>
      <c r="E272" s="67" t="s">
        <v>5330</v>
      </c>
    </row>
    <row r="273" spans="1:5">
      <c r="A273" s="23" t="s">
        <v>5331</v>
      </c>
      <c r="B273" s="66">
        <v>40056</v>
      </c>
      <c r="C273" s="23" t="s">
        <v>4957</v>
      </c>
      <c r="D273" s="23" t="s">
        <v>5055</v>
      </c>
      <c r="E273" s="23" t="s">
        <v>5332</v>
      </c>
    </row>
    <row r="274" spans="1:5">
      <c r="A274" s="67" t="s">
        <v>5333</v>
      </c>
      <c r="B274" s="68">
        <v>40056</v>
      </c>
      <c r="C274" s="67" t="s">
        <v>4957</v>
      </c>
      <c r="D274" s="67" t="s">
        <v>4948</v>
      </c>
      <c r="E274" s="67" t="s">
        <v>5334</v>
      </c>
    </row>
    <row r="275" spans="1:5">
      <c r="A275" s="23" t="s">
        <v>5335</v>
      </c>
      <c r="B275" s="66">
        <v>40056</v>
      </c>
      <c r="C275" s="23" t="s">
        <v>4957</v>
      </c>
      <c r="D275" s="23" t="s">
        <v>4888</v>
      </c>
      <c r="E275" s="23" t="s">
        <v>5336</v>
      </c>
    </row>
    <row r="276" spans="1:5">
      <c r="A276" s="67" t="s">
        <v>5337</v>
      </c>
      <c r="B276" s="68">
        <v>40056</v>
      </c>
      <c r="C276" s="67" t="s">
        <v>4957</v>
      </c>
      <c r="D276" s="67" t="s">
        <v>4805</v>
      </c>
      <c r="E276" s="67" t="s">
        <v>5338</v>
      </c>
    </row>
    <row r="277" spans="1:5">
      <c r="A277" s="23" t="s">
        <v>5339</v>
      </c>
      <c r="B277" s="66">
        <v>40056</v>
      </c>
      <c r="C277" s="23" t="s">
        <v>4957</v>
      </c>
      <c r="D277" s="23" t="s">
        <v>4882</v>
      </c>
      <c r="E277" s="23" t="s">
        <v>5340</v>
      </c>
    </row>
    <row r="278" spans="1:5">
      <c r="A278" s="67" t="s">
        <v>5341</v>
      </c>
      <c r="B278" s="68">
        <v>40056</v>
      </c>
      <c r="C278" s="67" t="s">
        <v>4957</v>
      </c>
      <c r="D278" s="67" t="s">
        <v>4888</v>
      </c>
      <c r="E278" s="67" t="s">
        <v>5342</v>
      </c>
    </row>
    <row r="279" spans="1:5">
      <c r="A279" s="23" t="s">
        <v>5343</v>
      </c>
      <c r="B279" s="66">
        <v>40056</v>
      </c>
      <c r="C279" s="23" t="s">
        <v>4957</v>
      </c>
      <c r="D279" s="23" t="s">
        <v>4904</v>
      </c>
      <c r="E279" s="23" t="s">
        <v>5344</v>
      </c>
    </row>
    <row r="280" spans="1:5">
      <c r="A280" s="67" t="s">
        <v>5345</v>
      </c>
      <c r="B280" s="68">
        <v>40056</v>
      </c>
      <c r="C280" s="67" t="s">
        <v>4957</v>
      </c>
      <c r="D280" s="67" t="s">
        <v>4882</v>
      </c>
      <c r="E280" s="67" t="s">
        <v>5346</v>
      </c>
    </row>
    <row r="281" spans="1:5">
      <c r="A281" s="23" t="s">
        <v>5347</v>
      </c>
      <c r="B281" s="66">
        <v>40056</v>
      </c>
      <c r="C281" s="23" t="s">
        <v>4957</v>
      </c>
      <c r="D281" s="23" t="s">
        <v>5055</v>
      </c>
      <c r="E281" s="23" t="s">
        <v>5348</v>
      </c>
    </row>
    <row r="282" spans="1:5">
      <c r="A282" s="67" t="s">
        <v>5349</v>
      </c>
      <c r="B282" s="68">
        <v>40056</v>
      </c>
      <c r="C282" s="67" t="s">
        <v>4957</v>
      </c>
      <c r="D282" s="67" t="s">
        <v>4948</v>
      </c>
      <c r="E282" s="67" t="s">
        <v>5350</v>
      </c>
    </row>
    <row r="283" spans="1:5">
      <c r="A283" s="23" t="s">
        <v>5351</v>
      </c>
      <c r="B283" s="69">
        <v>40107</v>
      </c>
      <c r="C283" s="23" t="s">
        <v>5352</v>
      </c>
      <c r="D283" s="23" t="s">
        <v>4850</v>
      </c>
      <c r="E283" s="23"/>
    </row>
    <row r="284" spans="1:5">
      <c r="A284" s="67" t="s">
        <v>5353</v>
      </c>
      <c r="B284" s="70">
        <v>40100</v>
      </c>
      <c r="C284" s="67" t="s">
        <v>5354</v>
      </c>
      <c r="D284" s="67" t="s">
        <v>4859</v>
      </c>
      <c r="E284" s="67" t="s">
        <v>5355</v>
      </c>
    </row>
    <row r="285" spans="1:5">
      <c r="A285" s="23" t="s">
        <v>5356</v>
      </c>
      <c r="B285" s="69">
        <v>40100</v>
      </c>
      <c r="C285" s="23" t="s">
        <v>5357</v>
      </c>
      <c r="D285" s="23"/>
      <c r="E285" s="23"/>
    </row>
    <row r="286" spans="1:5">
      <c r="A286" s="67" t="s">
        <v>5358</v>
      </c>
      <c r="B286" s="70">
        <v>40100</v>
      </c>
      <c r="C286" s="67" t="s">
        <v>5359</v>
      </c>
      <c r="D286" s="67" t="s">
        <v>5055</v>
      </c>
      <c r="E286" s="67" t="s">
        <v>5360</v>
      </c>
    </row>
    <row r="287" spans="1:5">
      <c r="A287" s="23" t="s">
        <v>5361</v>
      </c>
      <c r="B287" s="66">
        <v>40091</v>
      </c>
      <c r="C287" s="23" t="s">
        <v>5362</v>
      </c>
      <c r="D287" s="23" t="s">
        <v>4904</v>
      </c>
      <c r="E287" s="23" t="s">
        <v>5363</v>
      </c>
    </row>
    <row r="288" spans="1:5">
      <c r="A288" s="67" t="s">
        <v>5364</v>
      </c>
      <c r="B288" s="68">
        <v>40058</v>
      </c>
      <c r="C288" s="67" t="s">
        <v>5365</v>
      </c>
      <c r="D288" s="67" t="s">
        <v>4904</v>
      </c>
      <c r="E288" s="67" t="s">
        <v>5366</v>
      </c>
    </row>
    <row r="289" spans="1:5">
      <c r="A289" s="23" t="s">
        <v>5367</v>
      </c>
      <c r="B289" s="66">
        <v>40058</v>
      </c>
      <c r="C289" s="23" t="s">
        <v>5368</v>
      </c>
      <c r="D289" s="23" t="s">
        <v>5047</v>
      </c>
      <c r="E289" s="23" t="s">
        <v>5369</v>
      </c>
    </row>
    <row r="290" spans="1:5">
      <c r="A290" s="67" t="s">
        <v>5370</v>
      </c>
      <c r="B290" s="68">
        <v>40058</v>
      </c>
      <c r="C290" s="67" t="s">
        <v>522</v>
      </c>
      <c r="D290" s="67" t="s">
        <v>4904</v>
      </c>
      <c r="E290" s="67" t="s">
        <v>5121</v>
      </c>
    </row>
    <row r="291" spans="1:5">
      <c r="A291" s="23" t="s">
        <v>5371</v>
      </c>
      <c r="B291" s="66">
        <v>40058</v>
      </c>
      <c r="C291" s="23" t="s">
        <v>5372</v>
      </c>
      <c r="D291" s="23" t="s">
        <v>4948</v>
      </c>
      <c r="E291" s="23" t="s">
        <v>5373</v>
      </c>
    </row>
    <row r="292" spans="1:5">
      <c r="A292" s="67" t="s">
        <v>5374</v>
      </c>
      <c r="B292" s="68">
        <v>40058</v>
      </c>
      <c r="C292" s="67" t="s">
        <v>5375</v>
      </c>
      <c r="D292" s="67" t="s">
        <v>4805</v>
      </c>
      <c r="E292" s="67" t="s">
        <v>3501</v>
      </c>
    </row>
    <row r="293" spans="1:5">
      <c r="A293" s="23" t="s">
        <v>5376</v>
      </c>
      <c r="B293" s="66">
        <v>40058</v>
      </c>
      <c r="C293" s="23" t="s">
        <v>5377</v>
      </c>
      <c r="D293" s="23" t="s">
        <v>4882</v>
      </c>
      <c r="E293" s="23" t="s">
        <v>5016</v>
      </c>
    </row>
    <row r="294" spans="1:5">
      <c r="A294" s="67" t="s">
        <v>5378</v>
      </c>
      <c r="B294" s="68">
        <v>40058</v>
      </c>
      <c r="C294" s="67" t="s">
        <v>5379</v>
      </c>
      <c r="D294" s="67" t="s">
        <v>5047</v>
      </c>
      <c r="E294" s="67" t="s">
        <v>5380</v>
      </c>
    </row>
    <row r="295" spans="1:5">
      <c r="A295" s="23" t="s">
        <v>5381</v>
      </c>
      <c r="B295" s="66">
        <v>40058</v>
      </c>
      <c r="C295" s="23" t="s">
        <v>5382</v>
      </c>
      <c r="D295" s="23" t="s">
        <v>4859</v>
      </c>
      <c r="E295" s="23" t="s">
        <v>5380</v>
      </c>
    </row>
    <row r="296" spans="1:5">
      <c r="A296" s="67" t="s">
        <v>5383</v>
      </c>
      <c r="B296" s="68">
        <v>40058</v>
      </c>
      <c r="C296" s="67" t="s">
        <v>5384</v>
      </c>
      <c r="D296" s="67" t="s">
        <v>4904</v>
      </c>
      <c r="E296" s="67" t="s">
        <v>5385</v>
      </c>
    </row>
    <row r="297" spans="1:5">
      <c r="A297" s="23" t="s">
        <v>5386</v>
      </c>
      <c r="B297" s="66">
        <v>40058</v>
      </c>
      <c r="C297" s="23" t="s">
        <v>5387</v>
      </c>
      <c r="D297" s="23" t="s">
        <v>5036</v>
      </c>
      <c r="E297" s="23" t="s">
        <v>5342</v>
      </c>
    </row>
    <row r="298" spans="1:5">
      <c r="A298" s="67" t="s">
        <v>5388</v>
      </c>
      <c r="B298" s="68">
        <v>40148</v>
      </c>
      <c r="C298" s="67" t="s">
        <v>5389</v>
      </c>
      <c r="D298" s="67" t="s">
        <v>4948</v>
      </c>
      <c r="E298" s="67" t="s">
        <v>5223</v>
      </c>
    </row>
    <row r="299" spans="1:5">
      <c r="A299" s="23" t="s">
        <v>5390</v>
      </c>
      <c r="B299" s="66">
        <v>40148</v>
      </c>
      <c r="C299" s="23" t="s">
        <v>5391</v>
      </c>
      <c r="D299" s="23" t="s">
        <v>5392</v>
      </c>
      <c r="E299" s="23" t="s">
        <v>3520</v>
      </c>
    </row>
    <row r="300" spans="1:5">
      <c r="A300" s="67" t="s">
        <v>5393</v>
      </c>
      <c r="B300" s="70">
        <v>40147</v>
      </c>
      <c r="C300" s="67" t="s">
        <v>5394</v>
      </c>
      <c r="D300" s="67" t="s">
        <v>4763</v>
      </c>
      <c r="E300" s="67" t="s">
        <v>3566</v>
      </c>
    </row>
    <row r="301" spans="1:5">
      <c r="A301" s="23" t="s">
        <v>5395</v>
      </c>
      <c r="B301" s="69">
        <v>40147</v>
      </c>
      <c r="C301" s="23" t="s">
        <v>5396</v>
      </c>
      <c r="D301" s="23" t="s">
        <v>5397</v>
      </c>
      <c r="E301" s="23" t="s">
        <v>4670</v>
      </c>
    </row>
    <row r="302" spans="1:5">
      <c r="A302" s="67" t="s">
        <v>5398</v>
      </c>
      <c r="B302" s="70">
        <v>40147</v>
      </c>
      <c r="C302" s="67" t="s">
        <v>5399</v>
      </c>
      <c r="D302" s="67" t="s">
        <v>4763</v>
      </c>
      <c r="E302" s="67" t="s">
        <v>4908</v>
      </c>
    </row>
    <row r="303" spans="1:5">
      <c r="A303" s="23" t="s">
        <v>5400</v>
      </c>
      <c r="B303" s="69">
        <v>40147</v>
      </c>
      <c r="C303" s="23" t="s">
        <v>5401</v>
      </c>
      <c r="D303" s="23" t="s">
        <v>4850</v>
      </c>
      <c r="E303" s="23" t="s">
        <v>5346</v>
      </c>
    </row>
    <row r="304" spans="1:5">
      <c r="A304" s="67" t="s">
        <v>5402</v>
      </c>
      <c r="B304" s="70">
        <v>40147</v>
      </c>
      <c r="C304" s="67" t="s">
        <v>5403</v>
      </c>
      <c r="D304" s="67" t="s">
        <v>4859</v>
      </c>
      <c r="E304" s="67" t="s">
        <v>5404</v>
      </c>
    </row>
    <row r="305" spans="1:5">
      <c r="A305" s="23" t="s">
        <v>5405</v>
      </c>
      <c r="B305" s="69">
        <v>40147</v>
      </c>
      <c r="C305" s="23" t="s">
        <v>5406</v>
      </c>
      <c r="D305" s="23" t="s">
        <v>4974</v>
      </c>
      <c r="E305" s="23" t="s">
        <v>4670</v>
      </c>
    </row>
    <row r="306" spans="1:5">
      <c r="A306" s="67" t="s">
        <v>5407</v>
      </c>
      <c r="B306" s="68">
        <v>40185</v>
      </c>
      <c r="C306" s="67" t="s">
        <v>2629</v>
      </c>
      <c r="D306" s="67" t="s">
        <v>4948</v>
      </c>
      <c r="E306" s="67" t="s">
        <v>5408</v>
      </c>
    </row>
    <row r="307" spans="1:5">
      <c r="A307" s="23" t="s">
        <v>5409</v>
      </c>
      <c r="B307" s="66">
        <v>40185</v>
      </c>
      <c r="C307" s="23" t="s">
        <v>5410</v>
      </c>
      <c r="D307" s="23" t="s">
        <v>4948</v>
      </c>
      <c r="E307" s="23" t="s">
        <v>5411</v>
      </c>
    </row>
    <row r="308" spans="1:5">
      <c r="A308" s="67" t="s">
        <v>5412</v>
      </c>
      <c r="B308" s="70">
        <v>40165</v>
      </c>
      <c r="C308" s="67" t="s">
        <v>5413</v>
      </c>
      <c r="D308" s="67" t="s">
        <v>4763</v>
      </c>
      <c r="E308" s="67" t="s">
        <v>5414</v>
      </c>
    </row>
    <row r="309" spans="1:5">
      <c r="A309" s="23" t="s">
        <v>5415</v>
      </c>
      <c r="B309" s="69">
        <v>40165</v>
      </c>
      <c r="C309" s="23" t="s">
        <v>5416</v>
      </c>
      <c r="D309" s="23" t="s">
        <v>4931</v>
      </c>
      <c r="E309" s="23" t="s">
        <v>5417</v>
      </c>
    </row>
    <row r="310" spans="1:5">
      <c r="A310" s="67" t="s">
        <v>5418</v>
      </c>
      <c r="B310" s="70">
        <v>40165</v>
      </c>
      <c r="C310" s="67" t="s">
        <v>5419</v>
      </c>
      <c r="D310" s="67" t="s">
        <v>4763</v>
      </c>
      <c r="E310" s="67" t="s">
        <v>4777</v>
      </c>
    </row>
    <row r="311" spans="1:5">
      <c r="A311" s="23" t="s">
        <v>5420</v>
      </c>
      <c r="B311" s="69">
        <v>40165</v>
      </c>
      <c r="C311" s="23" t="s">
        <v>5421</v>
      </c>
      <c r="D311" s="23" t="s">
        <v>4850</v>
      </c>
      <c r="E311" s="23" t="s">
        <v>4969</v>
      </c>
    </row>
    <row r="312" spans="1:5">
      <c r="A312" s="67" t="s">
        <v>5422</v>
      </c>
      <c r="B312" s="70">
        <v>40165</v>
      </c>
      <c r="C312" s="67" t="s">
        <v>5423</v>
      </c>
      <c r="D312" s="67"/>
      <c r="E312" s="67" t="s">
        <v>5424</v>
      </c>
    </row>
    <row r="313" spans="1:5">
      <c r="A313" s="23" t="s">
        <v>5425</v>
      </c>
      <c r="B313" s="66">
        <v>40156</v>
      </c>
      <c r="C313" s="23" t="s">
        <v>4957</v>
      </c>
      <c r="D313" s="23" t="s">
        <v>4859</v>
      </c>
      <c r="E313" s="23" t="s">
        <v>5070</v>
      </c>
    </row>
    <row r="314" spans="1:5">
      <c r="A314" s="67" t="s">
        <v>5426</v>
      </c>
      <c r="B314" s="68">
        <v>40156</v>
      </c>
      <c r="C314" s="67" t="s">
        <v>4957</v>
      </c>
      <c r="D314" s="67" t="s">
        <v>4859</v>
      </c>
      <c r="E314" s="67" t="s">
        <v>5427</v>
      </c>
    </row>
    <row r="315" spans="1:5">
      <c r="A315" s="23" t="s">
        <v>5428</v>
      </c>
      <c r="B315" s="66">
        <v>40156</v>
      </c>
      <c r="C315" s="23" t="s">
        <v>5429</v>
      </c>
      <c r="D315" s="23" t="s">
        <v>4948</v>
      </c>
      <c r="E315" s="23" t="s">
        <v>5424</v>
      </c>
    </row>
    <row r="316" spans="1:5">
      <c r="A316" s="67" t="s">
        <v>5430</v>
      </c>
      <c r="B316" s="68">
        <v>40263</v>
      </c>
      <c r="C316" s="67" t="s">
        <v>5431</v>
      </c>
      <c r="D316" s="67" t="s">
        <v>5047</v>
      </c>
      <c r="E316" s="67" t="s">
        <v>5432</v>
      </c>
    </row>
    <row r="317" spans="1:5">
      <c r="A317" s="23" t="s">
        <v>5433</v>
      </c>
      <c r="B317" s="66">
        <v>40263</v>
      </c>
      <c r="C317" s="23" t="s">
        <v>5434</v>
      </c>
      <c r="D317" s="23" t="s">
        <v>4888</v>
      </c>
      <c r="E317" s="23" t="s">
        <v>5435</v>
      </c>
    </row>
    <row r="318" spans="1:5">
      <c r="A318" s="67" t="s">
        <v>5436</v>
      </c>
      <c r="B318" s="68">
        <v>40263</v>
      </c>
      <c r="C318" s="67" t="s">
        <v>5437</v>
      </c>
      <c r="D318" s="67" t="s">
        <v>4763</v>
      </c>
      <c r="E318" s="67" t="s">
        <v>5438</v>
      </c>
    </row>
    <row r="319" spans="1:5">
      <c r="A319" s="23" t="s">
        <v>5439</v>
      </c>
      <c r="B319" s="66">
        <v>40263</v>
      </c>
      <c r="C319" s="23" t="s">
        <v>5440</v>
      </c>
      <c r="D319" s="23" t="s">
        <v>4974</v>
      </c>
      <c r="E319" s="23" t="s">
        <v>5441</v>
      </c>
    </row>
    <row r="320" spans="1:5">
      <c r="A320" s="67" t="s">
        <v>5442</v>
      </c>
      <c r="B320" s="68">
        <v>40263</v>
      </c>
      <c r="C320" s="67" t="s">
        <v>5443</v>
      </c>
      <c r="D320" s="67" t="s">
        <v>5444</v>
      </c>
      <c r="E320" s="67" t="s">
        <v>5445</v>
      </c>
    </row>
    <row r="321" spans="1:5">
      <c r="A321" s="23" t="s">
        <v>5446</v>
      </c>
      <c r="B321" s="66">
        <v>40185</v>
      </c>
      <c r="C321" s="23" t="s">
        <v>5447</v>
      </c>
      <c r="D321" s="23" t="s">
        <v>5047</v>
      </c>
      <c r="E321" s="23" t="s">
        <v>5448</v>
      </c>
    </row>
    <row r="322" spans="1:5">
      <c r="A322" s="67" t="s">
        <v>5449</v>
      </c>
      <c r="B322" s="68">
        <v>40283</v>
      </c>
      <c r="C322" s="67" t="s">
        <v>5450</v>
      </c>
      <c r="D322" s="67" t="s">
        <v>5307</v>
      </c>
      <c r="E322" s="67" t="s">
        <v>4817</v>
      </c>
    </row>
    <row r="323" spans="1:5">
      <c r="A323" s="23" t="s">
        <v>5451</v>
      </c>
      <c r="B323" s="66">
        <v>40283</v>
      </c>
      <c r="C323" s="23" t="s">
        <v>5452</v>
      </c>
      <c r="D323" s="23" t="s">
        <v>4904</v>
      </c>
      <c r="E323" s="23" t="s">
        <v>5453</v>
      </c>
    </row>
    <row r="324" spans="1:5">
      <c r="A324" s="67" t="s">
        <v>5454</v>
      </c>
      <c r="B324" s="68">
        <v>40283</v>
      </c>
      <c r="C324" s="67" t="s">
        <v>5455</v>
      </c>
      <c r="D324" s="67" t="s">
        <v>4859</v>
      </c>
      <c r="E324" s="67" t="s">
        <v>4670</v>
      </c>
    </row>
    <row r="325" spans="1:5">
      <c r="A325" s="23" t="s">
        <v>5456</v>
      </c>
      <c r="B325" s="66">
        <v>40417</v>
      </c>
      <c r="C325" s="23" t="s">
        <v>5457</v>
      </c>
      <c r="D325" s="23" t="s">
        <v>4904</v>
      </c>
      <c r="E325" s="23" t="s">
        <v>4670</v>
      </c>
    </row>
    <row r="326" spans="1:5">
      <c r="A326" s="67" t="s">
        <v>5458</v>
      </c>
      <c r="B326" s="68">
        <v>40367</v>
      </c>
      <c r="C326" s="67" t="s">
        <v>5459</v>
      </c>
      <c r="D326" s="67" t="s">
        <v>5047</v>
      </c>
      <c r="E326" s="67" t="s">
        <v>5424</v>
      </c>
    </row>
    <row r="327" spans="1:5">
      <c r="A327" s="23" t="s">
        <v>5460</v>
      </c>
      <c r="B327" s="66">
        <v>40366</v>
      </c>
      <c r="C327" s="23" t="s">
        <v>5461</v>
      </c>
      <c r="D327" s="23" t="s">
        <v>4763</v>
      </c>
      <c r="E327" s="23" t="s">
        <v>4964</v>
      </c>
    </row>
    <row r="328" spans="1:5">
      <c r="A328" s="67" t="s">
        <v>5462</v>
      </c>
      <c r="B328" s="68">
        <v>40366</v>
      </c>
      <c r="C328" s="67" t="s">
        <v>5463</v>
      </c>
      <c r="D328" s="67" t="s">
        <v>5036</v>
      </c>
      <c r="E328" s="67" t="s">
        <v>4908</v>
      </c>
    </row>
    <row r="329" spans="1:5">
      <c r="A329" s="23" t="s">
        <v>5464</v>
      </c>
      <c r="B329" s="66">
        <v>40667</v>
      </c>
      <c r="C329" s="23" t="s">
        <v>5465</v>
      </c>
      <c r="D329" s="23" t="s">
        <v>4850</v>
      </c>
      <c r="E329" s="23" t="s">
        <v>5466</v>
      </c>
    </row>
    <row r="330" spans="1:5">
      <c r="A330" s="67" t="s">
        <v>5467</v>
      </c>
      <c r="B330" s="68">
        <v>40667</v>
      </c>
      <c r="C330" s="67" t="s">
        <v>5468</v>
      </c>
      <c r="D330" s="67" t="s">
        <v>4805</v>
      </c>
      <c r="E330" s="67" t="s">
        <v>4873</v>
      </c>
    </row>
    <row r="331" spans="1:5">
      <c r="A331" s="23" t="s">
        <v>5469</v>
      </c>
      <c r="B331" s="66">
        <v>40667</v>
      </c>
      <c r="C331" s="23" t="s">
        <v>5470</v>
      </c>
      <c r="D331" s="23" t="s">
        <v>5471</v>
      </c>
      <c r="E331" s="23" t="s">
        <v>5472</v>
      </c>
    </row>
    <row r="332" spans="1:5">
      <c r="A332" s="67" t="s">
        <v>5473</v>
      </c>
      <c r="B332" s="68">
        <v>40667</v>
      </c>
      <c r="C332" s="67" t="s">
        <v>5474</v>
      </c>
      <c r="D332" s="67" t="s">
        <v>4882</v>
      </c>
      <c r="E332" s="67" t="s">
        <v>5475</v>
      </c>
    </row>
    <row r="333" spans="1:5">
      <c r="A333" s="23" t="s">
        <v>5476</v>
      </c>
      <c r="B333" s="66">
        <v>40667</v>
      </c>
      <c r="C333" s="23" t="s">
        <v>5477</v>
      </c>
      <c r="D333" s="23" t="s">
        <v>4904</v>
      </c>
      <c r="E333" s="23" t="s">
        <v>4670</v>
      </c>
    </row>
    <row r="334" spans="1:5">
      <c r="A334" s="67" t="s">
        <v>5478</v>
      </c>
      <c r="B334" s="68">
        <v>40667</v>
      </c>
      <c r="C334" s="67" t="s">
        <v>5479</v>
      </c>
      <c r="D334" s="67" t="s">
        <v>4850</v>
      </c>
      <c r="E334" s="67" t="s">
        <v>5480</v>
      </c>
    </row>
    <row r="335" spans="1:5">
      <c r="A335" s="23" t="s">
        <v>5481</v>
      </c>
      <c r="B335" s="66">
        <v>40667</v>
      </c>
      <c r="C335" s="23" t="s">
        <v>5482</v>
      </c>
      <c r="D335" s="23" t="s">
        <v>4859</v>
      </c>
      <c r="E335" s="23" t="s">
        <v>5077</v>
      </c>
    </row>
    <row r="336" spans="1:5">
      <c r="A336" s="67" t="s">
        <v>5483</v>
      </c>
      <c r="B336" s="68">
        <v>40667</v>
      </c>
      <c r="C336" s="67" t="s">
        <v>5484</v>
      </c>
      <c r="D336" s="67" t="s">
        <v>4859</v>
      </c>
      <c r="E336" s="67" t="s">
        <v>5485</v>
      </c>
    </row>
    <row r="337" spans="1:5">
      <c r="A337" s="23" t="s">
        <v>5486</v>
      </c>
      <c r="B337" s="66">
        <v>40788</v>
      </c>
      <c r="C337" s="23" t="s">
        <v>5487</v>
      </c>
      <c r="D337" s="23" t="s">
        <v>4904</v>
      </c>
      <c r="E337" s="23" t="s">
        <v>5164</v>
      </c>
    </row>
    <row r="338" spans="1:5">
      <c r="A338" s="67" t="s">
        <v>5488</v>
      </c>
      <c r="B338" s="68">
        <v>40788</v>
      </c>
      <c r="C338" s="67" t="s">
        <v>5489</v>
      </c>
      <c r="D338" s="67" t="s">
        <v>4948</v>
      </c>
      <c r="E338" s="67" t="s">
        <v>5490</v>
      </c>
    </row>
    <row r="339" spans="1:5">
      <c r="A339" s="23" t="s">
        <v>5491</v>
      </c>
      <c r="B339" s="66">
        <v>40788</v>
      </c>
      <c r="C339" s="23" t="s">
        <v>5492</v>
      </c>
      <c r="D339" s="23" t="s">
        <v>4763</v>
      </c>
      <c r="E339" s="23" t="s">
        <v>5117</v>
      </c>
    </row>
    <row r="340" spans="1:5">
      <c r="A340" s="67" t="s">
        <v>5493</v>
      </c>
      <c r="B340" s="68">
        <v>40856</v>
      </c>
      <c r="C340" s="67" t="s">
        <v>5494</v>
      </c>
      <c r="D340" s="67" t="s">
        <v>4931</v>
      </c>
      <c r="E340" s="67" t="s">
        <v>4670</v>
      </c>
    </row>
    <row r="341" spans="1:5">
      <c r="A341" s="23" t="s">
        <v>5495</v>
      </c>
      <c r="B341" s="69">
        <v>40836</v>
      </c>
      <c r="C341" s="23" t="s">
        <v>5496</v>
      </c>
      <c r="D341" s="23" t="s">
        <v>4763</v>
      </c>
      <c r="E341" s="23" t="s">
        <v>5497</v>
      </c>
    </row>
    <row r="342" spans="1:5">
      <c r="A342" s="67" t="s">
        <v>5498</v>
      </c>
      <c r="B342" s="68">
        <v>40823</v>
      </c>
      <c r="C342" s="67" t="s">
        <v>4982</v>
      </c>
      <c r="D342" s="67" t="s">
        <v>4974</v>
      </c>
      <c r="E342" s="67" t="s">
        <v>4873</v>
      </c>
    </row>
    <row r="343" spans="1:5">
      <c r="A343" s="23" t="s">
        <v>5499</v>
      </c>
      <c r="B343" s="66">
        <v>40823</v>
      </c>
      <c r="C343" s="23" t="s">
        <v>5500</v>
      </c>
      <c r="D343" s="23" t="s">
        <v>4805</v>
      </c>
      <c r="E343" s="23" t="s">
        <v>3520</v>
      </c>
    </row>
    <row r="344" spans="1:5">
      <c r="A344" s="67" t="s">
        <v>5501</v>
      </c>
      <c r="B344" s="68">
        <v>40820</v>
      </c>
      <c r="C344" s="67" t="s">
        <v>5502</v>
      </c>
      <c r="D344" s="67" t="s">
        <v>4948</v>
      </c>
      <c r="E344" s="67" t="s">
        <v>4936</v>
      </c>
    </row>
    <row r="345" spans="1:5">
      <c r="A345" s="23" t="s">
        <v>5503</v>
      </c>
      <c r="B345" s="66">
        <v>40819</v>
      </c>
      <c r="C345" s="23" t="s">
        <v>5504</v>
      </c>
      <c r="D345" s="23" t="s">
        <v>4763</v>
      </c>
      <c r="E345" s="23" t="s">
        <v>4958</v>
      </c>
    </row>
    <row r="346" spans="1:5">
      <c r="A346" s="67" t="s">
        <v>5505</v>
      </c>
      <c r="B346" s="68">
        <v>40808</v>
      </c>
      <c r="C346" s="67" t="s">
        <v>5506</v>
      </c>
      <c r="D346" s="67" t="s">
        <v>4763</v>
      </c>
      <c r="E346" s="67" t="s">
        <v>5507</v>
      </c>
    </row>
    <row r="347" spans="1:5">
      <c r="A347" s="23" t="s">
        <v>5508</v>
      </c>
      <c r="B347" s="66">
        <v>40808</v>
      </c>
      <c r="C347" s="23" t="s">
        <v>5509</v>
      </c>
      <c r="D347" s="23" t="s">
        <v>5510</v>
      </c>
      <c r="E347" s="23" t="s">
        <v>5511</v>
      </c>
    </row>
    <row r="348" spans="1:5">
      <c r="A348" s="67" t="s">
        <v>5512</v>
      </c>
      <c r="B348" s="70">
        <v>40891</v>
      </c>
      <c r="C348" s="67" t="s">
        <v>5513</v>
      </c>
      <c r="D348" s="67" t="s">
        <v>5047</v>
      </c>
      <c r="E348" s="67" t="s">
        <v>5514</v>
      </c>
    </row>
    <row r="349" spans="1:5">
      <c r="A349" s="23" t="s">
        <v>5515</v>
      </c>
      <c r="B349" s="69">
        <v>40891</v>
      </c>
      <c r="C349" s="23" t="s">
        <v>5516</v>
      </c>
      <c r="D349" s="23" t="s">
        <v>5047</v>
      </c>
      <c r="E349" s="23" t="s">
        <v>5466</v>
      </c>
    </row>
    <row r="350" spans="1:5">
      <c r="A350" s="67" t="s">
        <v>5517</v>
      </c>
      <c r="B350" s="70">
        <v>40891</v>
      </c>
      <c r="C350" s="67" t="s">
        <v>5518</v>
      </c>
      <c r="D350" s="67" t="s">
        <v>4850</v>
      </c>
      <c r="E350" s="67" t="s">
        <v>5519</v>
      </c>
    </row>
    <row r="351" spans="1:5">
      <c r="A351" s="23" t="s">
        <v>5520</v>
      </c>
      <c r="B351" s="69">
        <v>40891</v>
      </c>
      <c r="C351" s="23" t="s">
        <v>5521</v>
      </c>
      <c r="D351" s="23" t="s">
        <v>4948</v>
      </c>
      <c r="E351" s="23" t="s">
        <v>3520</v>
      </c>
    </row>
    <row r="352" spans="1:5">
      <c r="A352" s="67" t="s">
        <v>5522</v>
      </c>
      <c r="B352" s="70">
        <v>40891</v>
      </c>
      <c r="C352" s="67" t="s">
        <v>5523</v>
      </c>
      <c r="D352" s="67" t="s">
        <v>4763</v>
      </c>
      <c r="E352" s="67" t="s">
        <v>5524</v>
      </c>
    </row>
    <row r="353" spans="1:5">
      <c r="A353" s="23" t="s">
        <v>5525</v>
      </c>
      <c r="B353" s="66">
        <v>40989</v>
      </c>
      <c r="C353" s="23" t="s">
        <v>855</v>
      </c>
      <c r="D353" s="23" t="s">
        <v>4763</v>
      </c>
      <c r="E353" s="23" t="s">
        <v>5360</v>
      </c>
    </row>
    <row r="354" spans="1:5">
      <c r="A354" s="67" t="s">
        <v>5526</v>
      </c>
      <c r="B354" s="68">
        <v>40989</v>
      </c>
      <c r="C354" s="67" t="s">
        <v>5527</v>
      </c>
      <c r="D354" s="67" t="s">
        <v>5528</v>
      </c>
      <c r="E354" s="67" t="s">
        <v>5529</v>
      </c>
    </row>
    <row r="355" spans="1:5">
      <c r="A355" s="23" t="s">
        <v>5530</v>
      </c>
      <c r="B355" s="66">
        <v>40976</v>
      </c>
      <c r="C355" s="23" t="s">
        <v>5531</v>
      </c>
      <c r="D355" s="23" t="s">
        <v>4805</v>
      </c>
      <c r="E355" s="23" t="s">
        <v>5532</v>
      </c>
    </row>
    <row r="356" spans="1:5">
      <c r="A356" s="67" t="s">
        <v>5533</v>
      </c>
      <c r="B356" s="68">
        <v>40974</v>
      </c>
      <c r="C356" s="67" t="s">
        <v>1423</v>
      </c>
      <c r="D356" s="67" t="s">
        <v>4805</v>
      </c>
      <c r="E356" s="67" t="s">
        <v>5534</v>
      </c>
    </row>
    <row r="357" spans="1:5">
      <c r="A357" s="23" t="s">
        <v>5535</v>
      </c>
      <c r="B357" s="66">
        <v>40974</v>
      </c>
      <c r="C357" s="23" t="s">
        <v>5536</v>
      </c>
      <c r="D357" s="23" t="s">
        <v>4859</v>
      </c>
      <c r="E357" s="23" t="s">
        <v>5537</v>
      </c>
    </row>
    <row r="358" spans="1:5">
      <c r="A358" s="67" t="s">
        <v>5538</v>
      </c>
      <c r="B358" s="68">
        <v>40969</v>
      </c>
      <c r="C358" s="67" t="s">
        <v>5539</v>
      </c>
      <c r="D358" s="67" t="s">
        <v>4859</v>
      </c>
      <c r="E358" s="67" t="s">
        <v>5497</v>
      </c>
    </row>
    <row r="359" spans="1:5">
      <c r="A359" s="23" t="s">
        <v>5540</v>
      </c>
      <c r="B359" s="66">
        <v>41085</v>
      </c>
      <c r="C359" s="23" t="s">
        <v>5541</v>
      </c>
      <c r="D359" s="23" t="s">
        <v>4888</v>
      </c>
      <c r="E359" s="23" t="s">
        <v>4670</v>
      </c>
    </row>
    <row r="360" spans="1:5">
      <c r="A360" s="67" t="s">
        <v>5542</v>
      </c>
      <c r="B360" s="68">
        <v>41085</v>
      </c>
      <c r="C360" s="67" t="s">
        <v>5543</v>
      </c>
      <c r="D360" s="67" t="s">
        <v>5544</v>
      </c>
      <c r="E360" s="67" t="s">
        <v>5317</v>
      </c>
    </row>
    <row r="361" spans="1:5">
      <c r="A361" s="23" t="s">
        <v>5545</v>
      </c>
      <c r="B361" s="66">
        <v>41085</v>
      </c>
      <c r="C361" s="23" t="s">
        <v>5546</v>
      </c>
      <c r="D361" s="23" t="s">
        <v>4763</v>
      </c>
      <c r="E361" s="23" t="s">
        <v>5547</v>
      </c>
    </row>
    <row r="362" spans="1:5">
      <c r="A362" s="67" t="s">
        <v>5548</v>
      </c>
      <c r="B362" s="68">
        <v>41032</v>
      </c>
      <c r="C362" s="67" t="s">
        <v>5549</v>
      </c>
      <c r="D362" s="67" t="s">
        <v>4763</v>
      </c>
      <c r="E362" s="67" t="s">
        <v>3520</v>
      </c>
    </row>
    <row r="363" spans="1:5">
      <c r="A363" s="23" t="s">
        <v>5550</v>
      </c>
      <c r="B363" s="66">
        <v>41032</v>
      </c>
      <c r="C363" s="23" t="s">
        <v>5551</v>
      </c>
      <c r="D363" s="23" t="s">
        <v>4805</v>
      </c>
      <c r="E363" s="23" t="s">
        <v>3637</v>
      </c>
    </row>
    <row r="364" spans="1:5">
      <c r="A364" s="67" t="s">
        <v>5552</v>
      </c>
      <c r="B364" s="68">
        <v>41176</v>
      </c>
      <c r="C364" s="67" t="s">
        <v>5553</v>
      </c>
      <c r="D364" s="67" t="s">
        <v>4850</v>
      </c>
      <c r="E364" s="67" t="s">
        <v>5554</v>
      </c>
    </row>
    <row r="365" spans="1:5">
      <c r="A365" s="23" t="s">
        <v>5555</v>
      </c>
      <c r="B365" s="66">
        <v>41176</v>
      </c>
      <c r="C365" s="23" t="s">
        <v>5556</v>
      </c>
      <c r="D365" s="23" t="s">
        <v>4904</v>
      </c>
      <c r="E365" s="23" t="s">
        <v>5554</v>
      </c>
    </row>
    <row r="366" spans="1:5">
      <c r="A366" s="67" t="s">
        <v>5557</v>
      </c>
      <c r="B366" s="68">
        <v>41176</v>
      </c>
      <c r="C366" s="67" t="s">
        <v>5558</v>
      </c>
      <c r="D366" s="67" t="s">
        <v>5047</v>
      </c>
      <c r="E366" s="67" t="s">
        <v>5559</v>
      </c>
    </row>
    <row r="367" spans="1:5">
      <c r="A367" s="23" t="s">
        <v>5560</v>
      </c>
      <c r="B367" s="66">
        <v>41169</v>
      </c>
      <c r="C367" s="23" t="s">
        <v>5561</v>
      </c>
      <c r="D367" s="23" t="s">
        <v>4948</v>
      </c>
      <c r="E367" s="23" t="s">
        <v>5562</v>
      </c>
    </row>
    <row r="368" spans="1:5">
      <c r="A368" s="67" t="s">
        <v>5563</v>
      </c>
      <c r="B368" s="68">
        <v>41169</v>
      </c>
      <c r="C368" s="67" t="s">
        <v>5564</v>
      </c>
      <c r="D368" s="67" t="s">
        <v>4805</v>
      </c>
      <c r="E368" s="67" t="s">
        <v>3520</v>
      </c>
    </row>
    <row r="369" spans="1:5">
      <c r="A369" s="23" t="s">
        <v>5565</v>
      </c>
      <c r="B369" s="66">
        <v>41156</v>
      </c>
      <c r="C369" s="23" t="s">
        <v>5566</v>
      </c>
      <c r="D369" s="23" t="s">
        <v>4859</v>
      </c>
      <c r="E369" s="23" t="s">
        <v>5567</v>
      </c>
    </row>
    <row r="370" spans="1:5">
      <c r="A370" s="67" t="s">
        <v>5568</v>
      </c>
      <c r="B370" s="68">
        <v>41156</v>
      </c>
      <c r="C370" s="67" t="s">
        <v>5569</v>
      </c>
      <c r="D370" s="67" t="s">
        <v>5047</v>
      </c>
      <c r="E370" s="67" t="s">
        <v>4670</v>
      </c>
    </row>
    <row r="371" spans="1:5">
      <c r="A371" s="23" t="s">
        <v>5570</v>
      </c>
      <c r="B371" s="66">
        <v>41156</v>
      </c>
      <c r="C371" s="23" t="s">
        <v>5571</v>
      </c>
      <c r="D371" s="23" t="s">
        <v>4904</v>
      </c>
      <c r="E371" s="23" t="s">
        <v>5572</v>
      </c>
    </row>
    <row r="372" spans="1:5">
      <c r="A372" s="67" t="s">
        <v>5573</v>
      </c>
      <c r="B372" s="68">
        <v>41145</v>
      </c>
      <c r="C372" s="67" t="s">
        <v>5574</v>
      </c>
      <c r="D372" s="67" t="s">
        <v>4948</v>
      </c>
      <c r="E372" s="67" t="s">
        <v>5445</v>
      </c>
    </row>
    <row r="373" spans="1:5">
      <c r="A373" s="23" t="s">
        <v>5575</v>
      </c>
      <c r="B373" s="66">
        <v>41145</v>
      </c>
      <c r="C373" s="23" t="s">
        <v>5576</v>
      </c>
      <c r="D373" s="23" t="s">
        <v>4859</v>
      </c>
      <c r="E373" s="23" t="s">
        <v>4670</v>
      </c>
    </row>
    <row r="374" spans="1:5">
      <c r="A374" s="67" t="s">
        <v>5577</v>
      </c>
      <c r="B374" s="68">
        <v>41145</v>
      </c>
      <c r="C374" s="67" t="s">
        <v>5578</v>
      </c>
      <c r="D374" s="67" t="s">
        <v>4888</v>
      </c>
      <c r="E374" s="67" t="s">
        <v>4670</v>
      </c>
    </row>
    <row r="375" spans="1:5">
      <c r="A375" s="23" t="s">
        <v>5579</v>
      </c>
      <c r="B375" s="69">
        <v>41262</v>
      </c>
      <c r="C375" s="23" t="s">
        <v>5580</v>
      </c>
      <c r="D375" s="23" t="s">
        <v>4763</v>
      </c>
      <c r="E375" s="23" t="s">
        <v>3520</v>
      </c>
    </row>
    <row r="376" spans="1:5">
      <c r="A376" s="67" t="s">
        <v>5581</v>
      </c>
      <c r="B376" s="70">
        <v>41262</v>
      </c>
      <c r="C376" s="67" t="s">
        <v>5582</v>
      </c>
      <c r="D376" s="67" t="s">
        <v>5055</v>
      </c>
      <c r="E376" s="67" t="s">
        <v>5583</v>
      </c>
    </row>
    <row r="377" spans="1:5">
      <c r="A377" s="23" t="s">
        <v>5584</v>
      </c>
      <c r="B377" s="69">
        <v>41262</v>
      </c>
      <c r="C377" s="23" t="s">
        <v>5585</v>
      </c>
      <c r="D377" s="23" t="s">
        <v>4805</v>
      </c>
      <c r="E377" s="23" t="s">
        <v>5438</v>
      </c>
    </row>
    <row r="378" spans="1:5">
      <c r="A378" s="67" t="s">
        <v>5586</v>
      </c>
      <c r="B378" s="68">
        <v>41369</v>
      </c>
      <c r="C378" s="67" t="s">
        <v>5587</v>
      </c>
      <c r="D378" s="67" t="s">
        <v>4948</v>
      </c>
      <c r="E378" s="67" t="s">
        <v>5588</v>
      </c>
    </row>
    <row r="379" spans="1:5">
      <c r="A379" s="23" t="s">
        <v>5589</v>
      </c>
      <c r="B379" s="66">
        <v>41460</v>
      </c>
      <c r="C379" s="23" t="s">
        <v>2629</v>
      </c>
      <c r="D379" s="23" t="s">
        <v>4850</v>
      </c>
      <c r="E379" s="23" t="s">
        <v>5590</v>
      </c>
    </row>
    <row r="380" spans="1:5">
      <c r="A380" s="67" t="s">
        <v>5591</v>
      </c>
      <c r="B380" s="68">
        <v>41460</v>
      </c>
      <c r="C380" s="67" t="s">
        <v>5592</v>
      </c>
      <c r="D380" s="67" t="s">
        <v>4850</v>
      </c>
      <c r="E380" s="67" t="s">
        <v>5258</v>
      </c>
    </row>
    <row r="381" spans="1:5">
      <c r="A381" s="23" t="s">
        <v>5593</v>
      </c>
      <c r="B381" s="66">
        <v>41403</v>
      </c>
      <c r="C381" s="23" t="s">
        <v>1485</v>
      </c>
      <c r="D381" s="23" t="s">
        <v>4904</v>
      </c>
      <c r="E381" s="23" t="s">
        <v>3508</v>
      </c>
    </row>
    <row r="382" spans="1:5">
      <c r="A382" s="67" t="s">
        <v>5594</v>
      </c>
      <c r="B382" s="68">
        <v>41403</v>
      </c>
      <c r="C382" s="67" t="s">
        <v>5595</v>
      </c>
      <c r="D382" s="67" t="s">
        <v>4931</v>
      </c>
      <c r="E382" s="67" t="s">
        <v>5223</v>
      </c>
    </row>
    <row r="383" spans="1:5">
      <c r="A383" s="23" t="s">
        <v>5596</v>
      </c>
      <c r="B383" s="69">
        <v>41622</v>
      </c>
      <c r="C383" s="23" t="s">
        <v>2629</v>
      </c>
      <c r="D383" s="23" t="s">
        <v>4859</v>
      </c>
      <c r="E383" s="23" t="s">
        <v>5597</v>
      </c>
    </row>
    <row r="384" spans="1:5">
      <c r="A384" s="67" t="s">
        <v>5598</v>
      </c>
      <c r="B384" s="68">
        <v>41549</v>
      </c>
      <c r="C384" s="67" t="s">
        <v>5599</v>
      </c>
      <c r="D384" s="67" t="s">
        <v>4948</v>
      </c>
      <c r="E384" s="67" t="s">
        <v>5600</v>
      </c>
    </row>
    <row r="385" spans="1:5">
      <c r="A385" s="23" t="s">
        <v>5601</v>
      </c>
      <c r="B385" s="66">
        <v>41519</v>
      </c>
      <c r="C385" s="23" t="s">
        <v>5602</v>
      </c>
      <c r="D385" s="23" t="s">
        <v>4948</v>
      </c>
      <c r="E385" s="23" t="s">
        <v>5077</v>
      </c>
    </row>
    <row r="386" spans="1:5">
      <c r="A386" s="67" t="s">
        <v>5603</v>
      </c>
      <c r="B386" s="68">
        <v>41484</v>
      </c>
      <c r="C386" s="67" t="s">
        <v>3096</v>
      </c>
      <c r="D386" s="67" t="s">
        <v>4850</v>
      </c>
      <c r="E386" s="67" t="s">
        <v>4694</v>
      </c>
    </row>
    <row r="387" spans="1:5">
      <c r="A387" s="23" t="s">
        <v>5604</v>
      </c>
      <c r="B387" s="66">
        <v>41484</v>
      </c>
      <c r="C387" s="23" t="s">
        <v>5605</v>
      </c>
      <c r="D387" s="23" t="s">
        <v>5047</v>
      </c>
      <c r="E387" s="23" t="s">
        <v>5606</v>
      </c>
    </row>
    <row r="388" spans="1:5">
      <c r="A388" s="67" t="s">
        <v>5607</v>
      </c>
      <c r="B388" s="68">
        <v>41484</v>
      </c>
      <c r="C388" s="67" t="s">
        <v>5608</v>
      </c>
      <c r="D388" s="67" t="s">
        <v>4763</v>
      </c>
      <c r="E388" s="67" t="s">
        <v>5609</v>
      </c>
    </row>
    <row r="389" spans="1:5">
      <c r="A389" s="23" t="s">
        <v>5610</v>
      </c>
      <c r="B389" s="66">
        <v>41460</v>
      </c>
      <c r="C389" s="23" t="s">
        <v>3096</v>
      </c>
      <c r="D389" s="23" t="s">
        <v>4850</v>
      </c>
      <c r="E389" s="23" t="s">
        <v>3495</v>
      </c>
    </row>
    <row r="390" spans="1:5">
      <c r="A390" s="67" t="s">
        <v>5611</v>
      </c>
      <c r="B390" s="70">
        <v>41621</v>
      </c>
      <c r="C390" s="67" t="s">
        <v>5612</v>
      </c>
      <c r="D390" s="67" t="s">
        <v>4850</v>
      </c>
      <c r="E390" s="67" t="s">
        <v>5613</v>
      </c>
    </row>
    <row r="391" spans="1:5">
      <c r="A391" s="23" t="s">
        <v>5614</v>
      </c>
      <c r="B391" s="69">
        <v>41621</v>
      </c>
      <c r="C391" s="23" t="s">
        <v>5615</v>
      </c>
      <c r="D391" s="23" t="s">
        <v>4763</v>
      </c>
      <c r="E391" s="23" t="s">
        <v>5519</v>
      </c>
    </row>
    <row r="392" spans="1:5">
      <c r="A392" s="67" t="s">
        <v>5616</v>
      </c>
      <c r="B392" s="70">
        <v>41619</v>
      </c>
      <c r="C392" s="67" t="s">
        <v>5617</v>
      </c>
      <c r="D392" s="67" t="s">
        <v>4859</v>
      </c>
      <c r="E392" s="67" t="s">
        <v>5613</v>
      </c>
    </row>
    <row r="393" spans="1:5">
      <c r="A393" s="23" t="s">
        <v>5618</v>
      </c>
      <c r="B393" s="69">
        <v>41619</v>
      </c>
      <c r="C393" s="23" t="s">
        <v>5619</v>
      </c>
      <c r="D393" s="23" t="s">
        <v>5620</v>
      </c>
      <c r="E393" s="23" t="s">
        <v>5621</v>
      </c>
    </row>
    <row r="394" spans="1:5">
      <c r="A394" s="67" t="s">
        <v>5622</v>
      </c>
      <c r="B394" s="70">
        <v>41619</v>
      </c>
      <c r="C394" s="67" t="s">
        <v>5623</v>
      </c>
      <c r="D394" s="67" t="s">
        <v>4763</v>
      </c>
      <c r="E394" s="67" t="s">
        <v>5445</v>
      </c>
    </row>
    <row r="395" spans="1:5">
      <c r="A395" s="23" t="s">
        <v>5624</v>
      </c>
      <c r="B395" s="69">
        <v>41600</v>
      </c>
      <c r="C395" s="23" t="s">
        <v>5625</v>
      </c>
      <c r="D395" s="23" t="s">
        <v>4948</v>
      </c>
      <c r="E395" s="23" t="s">
        <v>3555</v>
      </c>
    </row>
    <row r="396" spans="1:5">
      <c r="A396" s="67" t="s">
        <v>5626</v>
      </c>
      <c r="B396" s="70">
        <v>41619</v>
      </c>
      <c r="C396" s="67" t="s">
        <v>5627</v>
      </c>
      <c r="D396" s="67" t="s">
        <v>4763</v>
      </c>
      <c r="E396" s="67" t="s">
        <v>5628</v>
      </c>
    </row>
    <row r="397" spans="1:5">
      <c r="A397" s="23" t="s">
        <v>5629</v>
      </c>
      <c r="B397" s="69">
        <v>41619</v>
      </c>
      <c r="C397" s="23" t="s">
        <v>5630</v>
      </c>
      <c r="D397" s="23" t="s">
        <v>4948</v>
      </c>
      <c r="E397" s="23" t="s">
        <v>5631</v>
      </c>
    </row>
    <row r="398" spans="1:5">
      <c r="A398" s="67" t="s">
        <v>5632</v>
      </c>
      <c r="B398" s="70">
        <v>41576</v>
      </c>
      <c r="C398" s="67" t="s">
        <v>5633</v>
      </c>
      <c r="D398" s="67" t="s">
        <v>4931</v>
      </c>
      <c r="E398" s="67" t="s">
        <v>5417</v>
      </c>
    </row>
    <row r="399" spans="1:5">
      <c r="A399" s="23" t="s">
        <v>5634</v>
      </c>
      <c r="B399" s="69">
        <v>41568</v>
      </c>
      <c r="C399" s="23" t="s">
        <v>5635</v>
      </c>
      <c r="D399" s="23" t="s">
        <v>4763</v>
      </c>
      <c r="E399" s="23" t="s">
        <v>5636</v>
      </c>
    </row>
    <row r="400" spans="1:5">
      <c r="A400" s="67" t="s">
        <v>5637</v>
      </c>
      <c r="B400" s="68">
        <v>41697</v>
      </c>
      <c r="C400" s="67" t="s">
        <v>5638</v>
      </c>
      <c r="D400" s="67" t="s">
        <v>4888</v>
      </c>
      <c r="E400" s="67" t="s">
        <v>5639</v>
      </c>
    </row>
    <row r="401" spans="1:5">
      <c r="A401" s="23" t="s">
        <v>5640</v>
      </c>
      <c r="B401" s="66">
        <v>41697</v>
      </c>
      <c r="C401" s="23" t="s">
        <v>5641</v>
      </c>
      <c r="D401" s="23" t="s">
        <v>5047</v>
      </c>
      <c r="E401" s="23" t="s">
        <v>5639</v>
      </c>
    </row>
    <row r="402" spans="1:5">
      <c r="A402" s="67" t="s">
        <v>5642</v>
      </c>
      <c r="B402" s="68">
        <v>41662</v>
      </c>
      <c r="C402" s="67" t="s">
        <v>5643</v>
      </c>
      <c r="D402" s="67"/>
      <c r="E402" s="67" t="s">
        <v>5164</v>
      </c>
    </row>
    <row r="403" spans="1:5">
      <c r="A403" s="23" t="s">
        <v>5644</v>
      </c>
      <c r="B403" s="66">
        <v>41736</v>
      </c>
      <c r="C403" s="23" t="s">
        <v>5645</v>
      </c>
      <c r="D403" s="23" t="s">
        <v>4904</v>
      </c>
      <c r="E403" s="23" t="s">
        <v>5646</v>
      </c>
    </row>
    <row r="404" spans="1:5">
      <c r="A404" s="67" t="s">
        <v>5647</v>
      </c>
      <c r="B404" s="68">
        <v>41736</v>
      </c>
      <c r="C404" s="67" t="s">
        <v>5648</v>
      </c>
      <c r="D404" s="67" t="s">
        <v>4859</v>
      </c>
      <c r="E404" s="67" t="s">
        <v>5649</v>
      </c>
    </row>
    <row r="405" spans="1:5">
      <c r="A405" s="23" t="s">
        <v>5650</v>
      </c>
      <c r="B405" s="66">
        <v>41712</v>
      </c>
      <c r="C405" s="23" t="s">
        <v>5651</v>
      </c>
      <c r="D405" s="23" t="s">
        <v>4931</v>
      </c>
      <c r="E405" s="23" t="s">
        <v>5652</v>
      </c>
    </row>
    <row r="406" spans="1:5">
      <c r="A406" s="67" t="s">
        <v>5653</v>
      </c>
      <c r="B406" s="68">
        <v>41712</v>
      </c>
      <c r="C406" s="67" t="s">
        <v>5654</v>
      </c>
      <c r="D406" s="67" t="s">
        <v>5047</v>
      </c>
      <c r="E406" s="67" t="s">
        <v>5655</v>
      </c>
    </row>
    <row r="407" spans="1:5">
      <c r="A407" s="23" t="s">
        <v>5656</v>
      </c>
      <c r="B407" s="66">
        <v>41712</v>
      </c>
      <c r="C407" s="23" t="s">
        <v>5657</v>
      </c>
      <c r="D407" s="23" t="s">
        <v>4859</v>
      </c>
      <c r="E407" s="23" t="s">
        <v>4670</v>
      </c>
    </row>
    <row r="408" spans="1:5">
      <c r="A408" s="67" t="s">
        <v>5658</v>
      </c>
      <c r="B408" s="68">
        <v>41697</v>
      </c>
      <c r="C408" s="67" t="s">
        <v>5659</v>
      </c>
      <c r="D408" s="67" t="s">
        <v>4763</v>
      </c>
      <c r="E408" s="67" t="s">
        <v>5660</v>
      </c>
    </row>
    <row r="409" spans="1:5">
      <c r="A409" s="23" t="s">
        <v>5661</v>
      </c>
      <c r="B409" s="66">
        <v>41697</v>
      </c>
      <c r="C409" s="23" t="s">
        <v>5662</v>
      </c>
      <c r="D409" s="23" t="s">
        <v>4948</v>
      </c>
      <c r="E409" s="23" t="s">
        <v>5567</v>
      </c>
    </row>
    <row r="410" spans="1:5">
      <c r="A410" s="67" t="s">
        <v>5663</v>
      </c>
      <c r="B410" s="68">
        <v>41697</v>
      </c>
      <c r="C410" s="67" t="s">
        <v>5664</v>
      </c>
      <c r="D410" s="67" t="s">
        <v>4859</v>
      </c>
      <c r="E410" s="67" t="s">
        <v>4746</v>
      </c>
    </row>
    <row r="411" spans="1:5">
      <c r="A411" s="23" t="s">
        <v>5665</v>
      </c>
      <c r="B411" s="66">
        <v>41697</v>
      </c>
      <c r="C411" s="23" t="s">
        <v>3077</v>
      </c>
      <c r="D411" s="23" t="s">
        <v>4859</v>
      </c>
      <c r="E411" s="23" t="s">
        <v>4915</v>
      </c>
    </row>
    <row r="412" spans="1:5">
      <c r="A412" s="67" t="s">
        <v>5666</v>
      </c>
      <c r="B412" s="68">
        <v>41752</v>
      </c>
      <c r="C412" s="67" t="s">
        <v>5667</v>
      </c>
      <c r="D412" s="67" t="s">
        <v>4850</v>
      </c>
      <c r="E412" s="67" t="s">
        <v>5668</v>
      </c>
    </row>
    <row r="413" spans="1:5">
      <c r="A413" s="23" t="s">
        <v>5669</v>
      </c>
      <c r="B413" s="66">
        <v>41752</v>
      </c>
      <c r="C413" s="23" t="s">
        <v>5670</v>
      </c>
      <c r="D413" s="23" t="s">
        <v>4763</v>
      </c>
      <c r="E413" s="23" t="s">
        <v>5671</v>
      </c>
    </row>
    <row r="414" spans="1:5">
      <c r="A414" s="67" t="s">
        <v>5672</v>
      </c>
      <c r="B414" s="68">
        <v>41752</v>
      </c>
      <c r="C414" s="67" t="s">
        <v>5673</v>
      </c>
      <c r="D414" s="67" t="s">
        <v>4904</v>
      </c>
      <c r="E414" s="67" t="s">
        <v>5674</v>
      </c>
    </row>
    <row r="415" spans="1:5">
      <c r="A415" s="23" t="s">
        <v>5675</v>
      </c>
      <c r="B415" s="66">
        <v>41752</v>
      </c>
      <c r="C415" s="23" t="s">
        <v>5676</v>
      </c>
      <c r="D415" s="23" t="s">
        <v>5047</v>
      </c>
      <c r="E415" s="23" t="s">
        <v>4670</v>
      </c>
    </row>
    <row r="416" spans="1:5">
      <c r="A416" s="67" t="s">
        <v>5677</v>
      </c>
      <c r="B416" s="68">
        <v>41752</v>
      </c>
      <c r="C416" s="67" t="s">
        <v>5678</v>
      </c>
      <c r="D416" s="67" t="s">
        <v>4904</v>
      </c>
      <c r="E416" s="67" t="s">
        <v>5679</v>
      </c>
    </row>
    <row r="417" spans="1:5">
      <c r="A417" s="23" t="s">
        <v>5680</v>
      </c>
      <c r="B417" s="66">
        <v>41736</v>
      </c>
      <c r="C417" s="23" t="s">
        <v>5681</v>
      </c>
      <c r="D417" s="23" t="s">
        <v>4763</v>
      </c>
      <c r="E417" s="23" t="s">
        <v>3566</v>
      </c>
    </row>
    <row r="418" spans="1:5">
      <c r="A418" s="67" t="s">
        <v>5682</v>
      </c>
      <c r="B418" s="68">
        <v>41736</v>
      </c>
      <c r="C418" s="67" t="s">
        <v>5683</v>
      </c>
      <c r="D418" s="67" t="s">
        <v>4882</v>
      </c>
      <c r="E418" s="67" t="s">
        <v>5684</v>
      </c>
    </row>
    <row r="419" spans="1:5">
      <c r="A419" s="23" t="s">
        <v>5685</v>
      </c>
      <c r="B419" s="66">
        <v>41736</v>
      </c>
      <c r="C419" s="23" t="s">
        <v>5686</v>
      </c>
      <c r="D419" s="23" t="s">
        <v>4931</v>
      </c>
      <c r="E419" s="23" t="s">
        <v>5687</v>
      </c>
    </row>
    <row r="420" spans="1:5">
      <c r="A420" s="67" t="s">
        <v>5688</v>
      </c>
      <c r="B420" s="68">
        <v>41736</v>
      </c>
      <c r="C420" s="67" t="s">
        <v>5689</v>
      </c>
      <c r="D420" s="67" t="s">
        <v>4888</v>
      </c>
      <c r="E420" s="67" t="s">
        <v>5690</v>
      </c>
    </row>
    <row r="421" spans="1:5">
      <c r="A421" s="23" t="s">
        <v>5691</v>
      </c>
      <c r="B421" s="66">
        <v>41736</v>
      </c>
      <c r="C421" s="23" t="s">
        <v>5692</v>
      </c>
      <c r="D421" s="23" t="s">
        <v>4805</v>
      </c>
      <c r="E421" s="23" t="s">
        <v>5693</v>
      </c>
    </row>
    <row r="422" spans="1:5">
      <c r="A422" s="67" t="s">
        <v>5694</v>
      </c>
      <c r="B422" s="68">
        <v>41836</v>
      </c>
      <c r="C422" s="67" t="s">
        <v>5695</v>
      </c>
      <c r="D422" s="67" t="s">
        <v>4805</v>
      </c>
      <c r="E422" s="67" t="s">
        <v>5336</v>
      </c>
    </row>
    <row r="423" spans="1:5">
      <c r="A423" s="23" t="s">
        <v>5696</v>
      </c>
      <c r="B423" s="66">
        <v>41820</v>
      </c>
      <c r="C423" s="23" t="s">
        <v>5697</v>
      </c>
      <c r="D423" s="23" t="s">
        <v>4859</v>
      </c>
      <c r="E423" s="23" t="s">
        <v>5698</v>
      </c>
    </row>
    <row r="424" spans="1:5">
      <c r="A424" s="67" t="s">
        <v>5699</v>
      </c>
      <c r="B424" s="68">
        <v>41820</v>
      </c>
      <c r="C424" s="67" t="s">
        <v>5700</v>
      </c>
      <c r="D424" s="67" t="s">
        <v>4763</v>
      </c>
      <c r="E424" s="67" t="s">
        <v>3566</v>
      </c>
    </row>
    <row r="425" spans="1:5">
      <c r="A425" s="23" t="s">
        <v>5701</v>
      </c>
      <c r="B425" s="66">
        <v>41816</v>
      </c>
      <c r="C425" s="23" t="s">
        <v>5702</v>
      </c>
      <c r="D425" s="23" t="s">
        <v>4904</v>
      </c>
      <c r="E425" s="23" t="s">
        <v>5639</v>
      </c>
    </row>
    <row r="426" spans="1:5">
      <c r="A426" s="67" t="s">
        <v>5703</v>
      </c>
      <c r="B426" s="68">
        <v>41816</v>
      </c>
      <c r="C426" s="67" t="s">
        <v>5704</v>
      </c>
      <c r="D426" s="67" t="s">
        <v>4763</v>
      </c>
      <c r="E426" s="67" t="s">
        <v>5628</v>
      </c>
    </row>
    <row r="427" spans="1:5">
      <c r="A427" s="23" t="s">
        <v>5705</v>
      </c>
      <c r="B427" s="66">
        <v>41849</v>
      </c>
      <c r="C427" s="23" t="s">
        <v>943</v>
      </c>
      <c r="D427" s="23" t="s">
        <v>4763</v>
      </c>
      <c r="E427" s="23" t="s">
        <v>5706</v>
      </c>
    </row>
    <row r="428" spans="1:5">
      <c r="A428" s="67" t="s">
        <v>5707</v>
      </c>
      <c r="B428" s="68">
        <v>41849</v>
      </c>
      <c r="C428" s="67" t="s">
        <v>383</v>
      </c>
      <c r="D428" s="67"/>
      <c r="E428" s="67" t="s">
        <v>5708</v>
      </c>
    </row>
    <row r="429" spans="1:5">
      <c r="A429" s="23" t="s">
        <v>5709</v>
      </c>
      <c r="B429" s="66">
        <v>41849</v>
      </c>
      <c r="C429" s="23" t="s">
        <v>2629</v>
      </c>
      <c r="D429" s="23" t="s">
        <v>4904</v>
      </c>
      <c r="E429" s="23" t="s">
        <v>5710</v>
      </c>
    </row>
    <row r="430" spans="1:5">
      <c r="A430" s="67" t="s">
        <v>5711</v>
      </c>
      <c r="B430" s="68">
        <v>41849</v>
      </c>
      <c r="C430" s="67" t="s">
        <v>2629</v>
      </c>
      <c r="D430" s="67" t="s">
        <v>4805</v>
      </c>
      <c r="E430" s="67" t="s">
        <v>5712</v>
      </c>
    </row>
    <row r="431" spans="1:5">
      <c r="A431" s="23" t="s">
        <v>5713</v>
      </c>
      <c r="B431" s="66">
        <v>41836</v>
      </c>
      <c r="C431" s="23" t="s">
        <v>5714</v>
      </c>
      <c r="D431" s="23"/>
      <c r="E431" s="23" t="s">
        <v>5660</v>
      </c>
    </row>
    <row r="432" spans="1:5">
      <c r="A432" s="67" t="s">
        <v>5715</v>
      </c>
      <c r="B432" s="68">
        <v>41836</v>
      </c>
      <c r="C432" s="67" t="s">
        <v>1485</v>
      </c>
      <c r="D432" s="67" t="s">
        <v>4904</v>
      </c>
      <c r="E432" s="67" t="s">
        <v>5519</v>
      </c>
    </row>
    <row r="433" spans="1:5">
      <c r="A433" s="23" t="s">
        <v>5716</v>
      </c>
      <c r="B433" s="66">
        <v>42081</v>
      </c>
      <c r="C433" s="23" t="s">
        <v>5717</v>
      </c>
      <c r="D433" s="23" t="s">
        <v>4931</v>
      </c>
      <c r="E433" s="23" t="s">
        <v>5718</v>
      </c>
    </row>
    <row r="434" spans="1:5">
      <c r="A434" s="67" t="s">
        <v>5719</v>
      </c>
      <c r="B434" s="68">
        <v>42081</v>
      </c>
      <c r="C434" s="67" t="s">
        <v>5720</v>
      </c>
      <c r="D434" s="67" t="s">
        <v>4948</v>
      </c>
      <c r="E434" s="67" t="s">
        <v>5721</v>
      </c>
    </row>
    <row r="435" spans="1:5">
      <c r="A435" s="23" t="s">
        <v>5722</v>
      </c>
      <c r="B435" s="66">
        <v>42009</v>
      </c>
      <c r="C435" s="23" t="s">
        <v>5723</v>
      </c>
      <c r="D435" s="23" t="s">
        <v>4763</v>
      </c>
      <c r="E435" s="23" t="s">
        <v>5724</v>
      </c>
    </row>
    <row r="436" spans="1:5">
      <c r="A436" s="67" t="s">
        <v>5725</v>
      </c>
      <c r="B436" s="70">
        <v>41996</v>
      </c>
      <c r="C436" s="67" t="s">
        <v>5726</v>
      </c>
      <c r="D436" s="67" t="s">
        <v>4763</v>
      </c>
      <c r="E436" s="67" t="s">
        <v>3518</v>
      </c>
    </row>
    <row r="437" spans="1:5">
      <c r="A437" s="23" t="s">
        <v>5727</v>
      </c>
      <c r="B437" s="66">
        <v>42117</v>
      </c>
      <c r="C437" s="23" t="s">
        <v>5728</v>
      </c>
      <c r="D437" s="23" t="s">
        <v>4850</v>
      </c>
      <c r="E437" s="23" t="s">
        <v>5590</v>
      </c>
    </row>
    <row r="438" spans="1:5">
      <c r="A438" s="67" t="s">
        <v>5729</v>
      </c>
      <c r="B438" s="68">
        <v>42116</v>
      </c>
      <c r="C438" s="67" t="s">
        <v>510</v>
      </c>
      <c r="D438" s="67" t="s">
        <v>4948</v>
      </c>
      <c r="E438" s="67" t="s">
        <v>5730</v>
      </c>
    </row>
    <row r="439" spans="1:5">
      <c r="A439" s="23" t="s">
        <v>5731</v>
      </c>
      <c r="B439" s="66">
        <v>42110</v>
      </c>
      <c r="C439" s="23" t="s">
        <v>522</v>
      </c>
      <c r="D439" s="23" t="s">
        <v>4888</v>
      </c>
      <c r="E439" s="23" t="s">
        <v>5732</v>
      </c>
    </row>
    <row r="440" spans="1:5">
      <c r="A440" s="67" t="s">
        <v>5733</v>
      </c>
      <c r="B440" s="68">
        <v>42110</v>
      </c>
      <c r="C440" s="67" t="s">
        <v>1485</v>
      </c>
      <c r="D440" s="67" t="s">
        <v>4948</v>
      </c>
      <c r="E440" s="67" t="s">
        <v>5631</v>
      </c>
    </row>
    <row r="441" spans="1:5">
      <c r="A441" s="23" t="s">
        <v>5734</v>
      </c>
      <c r="B441" s="66">
        <v>42083</v>
      </c>
      <c r="C441" s="23" t="s">
        <v>5735</v>
      </c>
      <c r="D441" s="23" t="s">
        <v>4882</v>
      </c>
      <c r="E441" s="23" t="s">
        <v>5730</v>
      </c>
    </row>
    <row r="442" spans="1:5">
      <c r="A442" s="67" t="s">
        <v>5736</v>
      </c>
      <c r="B442" s="68">
        <v>42083</v>
      </c>
      <c r="C442" s="67" t="s">
        <v>1485</v>
      </c>
      <c r="D442" s="67" t="s">
        <v>5737</v>
      </c>
      <c r="E442" s="67" t="s">
        <v>5646</v>
      </c>
    </row>
    <row r="443" spans="1:5">
      <c r="A443" s="23" t="s">
        <v>5738</v>
      </c>
      <c r="B443" s="66">
        <v>42081</v>
      </c>
      <c r="C443" s="23" t="s">
        <v>5739</v>
      </c>
      <c r="D443" s="23" t="s">
        <v>4904</v>
      </c>
      <c r="E443" s="23" t="s">
        <v>3555</v>
      </c>
    </row>
    <row r="444" spans="1:5">
      <c r="A444" s="67" t="s">
        <v>5740</v>
      </c>
      <c r="B444" s="68">
        <v>42081</v>
      </c>
      <c r="C444" s="67" t="s">
        <v>5741</v>
      </c>
      <c r="D444" s="67" t="s">
        <v>5047</v>
      </c>
      <c r="E444" s="67" t="s">
        <v>5742</v>
      </c>
    </row>
    <row r="445" spans="1:5">
      <c r="A445" s="23" t="s">
        <v>5743</v>
      </c>
      <c r="B445" s="66">
        <v>42261</v>
      </c>
      <c r="C445" s="23" t="s">
        <v>5744</v>
      </c>
      <c r="D445" s="23" t="s">
        <v>5047</v>
      </c>
      <c r="E445" s="23" t="s">
        <v>5646</v>
      </c>
    </row>
    <row r="446" spans="1:5">
      <c r="A446" s="67" t="s">
        <v>5745</v>
      </c>
      <c r="B446" s="68">
        <v>42257</v>
      </c>
      <c r="C446" s="67" t="s">
        <v>5746</v>
      </c>
      <c r="D446" s="67" t="s">
        <v>4882</v>
      </c>
      <c r="E446" s="67" t="s">
        <v>4670</v>
      </c>
    </row>
    <row r="447" spans="1:5">
      <c r="A447" s="23" t="s">
        <v>5747</v>
      </c>
      <c r="B447" s="66">
        <v>42257</v>
      </c>
      <c r="C447" s="23" t="s">
        <v>5748</v>
      </c>
      <c r="D447" s="23" t="s">
        <v>4859</v>
      </c>
      <c r="E447" s="23" t="s">
        <v>5749</v>
      </c>
    </row>
    <row r="448" spans="1:5">
      <c r="A448" s="67" t="s">
        <v>5750</v>
      </c>
      <c r="B448" s="68">
        <v>42193</v>
      </c>
      <c r="C448" s="67" t="s">
        <v>5751</v>
      </c>
      <c r="D448" s="67" t="s">
        <v>4763</v>
      </c>
      <c r="E448" s="67" t="s">
        <v>5609</v>
      </c>
    </row>
    <row r="449" spans="1:5">
      <c r="A449" s="23" t="s">
        <v>5752</v>
      </c>
      <c r="B449" s="66">
        <v>42193</v>
      </c>
      <c r="C449" s="23" t="s">
        <v>5753</v>
      </c>
      <c r="D449" s="23" t="s">
        <v>4763</v>
      </c>
      <c r="E449" s="23" t="s">
        <v>4928</v>
      </c>
    </row>
    <row r="450" spans="1:5">
      <c r="A450" s="67" t="s">
        <v>5754</v>
      </c>
      <c r="B450" s="68">
        <v>42193</v>
      </c>
      <c r="C450" s="67" t="s">
        <v>5755</v>
      </c>
      <c r="D450" s="67" t="s">
        <v>4805</v>
      </c>
      <c r="E450" s="67" t="s">
        <v>5216</v>
      </c>
    </row>
    <row r="451" spans="1:5">
      <c r="A451" s="23" t="s">
        <v>5756</v>
      </c>
      <c r="B451" s="66">
        <v>42193</v>
      </c>
      <c r="C451" s="23" t="s">
        <v>5757</v>
      </c>
      <c r="D451" s="23" t="s">
        <v>4948</v>
      </c>
      <c r="E451" s="23" t="s">
        <v>5655</v>
      </c>
    </row>
    <row r="452" spans="1:5">
      <c r="A452" s="67" t="s">
        <v>5758</v>
      </c>
      <c r="B452" s="68">
        <v>42186</v>
      </c>
      <c r="C452" s="67" t="s">
        <v>5759</v>
      </c>
      <c r="D452" s="67" t="s">
        <v>4805</v>
      </c>
      <c r="E452" s="67" t="s">
        <v>4802</v>
      </c>
    </row>
    <row r="453" spans="1:5">
      <c r="A453" s="23" t="s">
        <v>5760</v>
      </c>
      <c r="B453" s="66">
        <v>42186</v>
      </c>
      <c r="C453" s="23" t="s">
        <v>5761</v>
      </c>
      <c r="D453" s="23" t="s">
        <v>4805</v>
      </c>
      <c r="E453" s="23" t="s">
        <v>5325</v>
      </c>
    </row>
    <row r="454" spans="1:5">
      <c r="A454" s="67" t="s">
        <v>5762</v>
      </c>
      <c r="B454" s="70">
        <v>42334</v>
      </c>
      <c r="C454" s="67" t="s">
        <v>5763</v>
      </c>
      <c r="D454" s="67" t="s">
        <v>5047</v>
      </c>
      <c r="E454" s="67" t="s">
        <v>5764</v>
      </c>
    </row>
    <row r="455" spans="1:5">
      <c r="A455" s="23" t="s">
        <v>5765</v>
      </c>
      <c r="B455" s="69">
        <v>42318</v>
      </c>
      <c r="C455" s="23" t="s">
        <v>5766</v>
      </c>
      <c r="D455" s="23" t="s">
        <v>4948</v>
      </c>
      <c r="E455" s="23" t="s">
        <v>5767</v>
      </c>
    </row>
    <row r="456" spans="1:5">
      <c r="A456" s="67" t="s">
        <v>5768</v>
      </c>
      <c r="B456" s="70">
        <v>42318</v>
      </c>
      <c r="C456" s="67" t="s">
        <v>5769</v>
      </c>
      <c r="D456" s="67" t="s">
        <v>4931</v>
      </c>
      <c r="E456" s="67" t="s">
        <v>5770</v>
      </c>
    </row>
    <row r="457" spans="1:5">
      <c r="A457" s="23" t="s">
        <v>5771</v>
      </c>
      <c r="B457" s="69">
        <v>42318</v>
      </c>
      <c r="C457" s="23" t="s">
        <v>5772</v>
      </c>
      <c r="D457" s="23" t="s">
        <v>4850</v>
      </c>
      <c r="E457" s="23" t="s">
        <v>5216</v>
      </c>
    </row>
    <row r="458" spans="1:5">
      <c r="A458" s="67" t="s">
        <v>5773</v>
      </c>
      <c r="B458" s="70">
        <v>42318</v>
      </c>
      <c r="C458" s="67" t="s">
        <v>5774</v>
      </c>
      <c r="D458" s="67" t="s">
        <v>4763</v>
      </c>
      <c r="E458" s="67" t="s">
        <v>5588</v>
      </c>
    </row>
    <row r="459" spans="1:5">
      <c r="A459" s="23" t="s">
        <v>5775</v>
      </c>
      <c r="B459" s="69">
        <v>42318</v>
      </c>
      <c r="C459" s="23" t="s">
        <v>5776</v>
      </c>
      <c r="D459" s="23" t="s">
        <v>4805</v>
      </c>
      <c r="E459" s="23" t="s">
        <v>3518</v>
      </c>
    </row>
    <row r="460" spans="1:5">
      <c r="A460" s="67" t="s">
        <v>5777</v>
      </c>
      <c r="B460" s="70">
        <v>42318</v>
      </c>
      <c r="C460" s="67" t="s">
        <v>5778</v>
      </c>
      <c r="D460" s="67" t="s">
        <v>4805</v>
      </c>
      <c r="E460" s="67" t="s">
        <v>5779</v>
      </c>
    </row>
    <row r="461" spans="1:5">
      <c r="A461" s="23" t="s">
        <v>5780</v>
      </c>
      <c r="B461" s="66">
        <v>42438</v>
      </c>
      <c r="C461" s="23" t="s">
        <v>5781</v>
      </c>
      <c r="D461" s="23" t="s">
        <v>4948</v>
      </c>
      <c r="E461" s="23" t="s">
        <v>4928</v>
      </c>
    </row>
    <row r="462" spans="1:5">
      <c r="A462" s="67" t="s">
        <v>5782</v>
      </c>
      <c r="B462" s="68">
        <v>42438</v>
      </c>
      <c r="C462" s="67" t="s">
        <v>5783</v>
      </c>
      <c r="D462" s="67" t="s">
        <v>4931</v>
      </c>
      <c r="E462" s="67" t="s">
        <v>5784</v>
      </c>
    </row>
    <row r="463" spans="1:5">
      <c r="A463" s="23" t="s">
        <v>5785</v>
      </c>
      <c r="B463" s="66">
        <v>42438</v>
      </c>
      <c r="C463" s="23" t="s">
        <v>5786</v>
      </c>
      <c r="D463" s="23" t="s">
        <v>4850</v>
      </c>
      <c r="E463" s="23" t="s">
        <v>5787</v>
      </c>
    </row>
    <row r="464" spans="1:5">
      <c r="A464" s="67" t="s">
        <v>5788</v>
      </c>
      <c r="B464" s="70">
        <v>42354</v>
      </c>
      <c r="C464" s="67" t="s">
        <v>5789</v>
      </c>
      <c r="D464" s="67" t="s">
        <v>4805</v>
      </c>
      <c r="E464" s="67" t="s">
        <v>4670</v>
      </c>
    </row>
    <row r="465" spans="1:5">
      <c r="A465" s="23" t="s">
        <v>5790</v>
      </c>
      <c r="B465" s="69">
        <v>42354</v>
      </c>
      <c r="C465" s="23" t="s">
        <v>5791</v>
      </c>
      <c r="D465" s="23" t="s">
        <v>4948</v>
      </c>
      <c r="E465" s="23" t="s">
        <v>3495</v>
      </c>
    </row>
    <row r="466" spans="1:5">
      <c r="A466" s="67" t="s">
        <v>5792</v>
      </c>
      <c r="B466" s="70">
        <v>42354</v>
      </c>
      <c r="C466" s="67" t="s">
        <v>5793</v>
      </c>
      <c r="D466" s="67" t="s">
        <v>4859</v>
      </c>
      <c r="E466" s="67" t="s">
        <v>5794</v>
      </c>
    </row>
    <row r="467" spans="1:5">
      <c r="A467" s="23" t="s">
        <v>5795</v>
      </c>
      <c r="B467" s="66">
        <v>42681</v>
      </c>
      <c r="C467" s="23" t="s">
        <v>5796</v>
      </c>
      <c r="D467" s="23" t="s">
        <v>4850</v>
      </c>
      <c r="E467" s="23" t="s">
        <v>5797</v>
      </c>
    </row>
    <row r="468" spans="1:5">
      <c r="A468" s="67" t="s">
        <v>5798</v>
      </c>
      <c r="B468" s="68">
        <v>42681</v>
      </c>
      <c r="C468" s="67" t="s">
        <v>5799</v>
      </c>
      <c r="D468" s="67" t="s">
        <v>4859</v>
      </c>
      <c r="E468" s="67" t="s">
        <v>4694</v>
      </c>
    </row>
    <row r="469" spans="1:5">
      <c r="A469" s="23" t="s">
        <v>5800</v>
      </c>
      <c r="B469" s="66">
        <v>42681</v>
      </c>
      <c r="C469" s="23" t="s">
        <v>5801</v>
      </c>
      <c r="D469" s="23" t="s">
        <v>4763</v>
      </c>
      <c r="E469" s="23" t="s">
        <v>5802</v>
      </c>
    </row>
    <row r="470" spans="1:5">
      <c r="A470" s="67" t="s">
        <v>5803</v>
      </c>
      <c r="B470" s="68">
        <v>42626</v>
      </c>
      <c r="C470" s="67" t="s">
        <v>763</v>
      </c>
      <c r="D470" s="67" t="s">
        <v>4763</v>
      </c>
      <c r="E470" s="67" t="s">
        <v>5804</v>
      </c>
    </row>
    <row r="471" spans="1:5">
      <c r="A471" s="23" t="s">
        <v>5805</v>
      </c>
      <c r="B471" s="66">
        <v>42571</v>
      </c>
      <c r="C471" s="23" t="s">
        <v>5806</v>
      </c>
      <c r="D471" s="23" t="s">
        <v>5055</v>
      </c>
      <c r="E471" s="23" t="s">
        <v>5807</v>
      </c>
    </row>
    <row r="472" spans="1:5">
      <c r="A472" s="67" t="s">
        <v>5808</v>
      </c>
      <c r="B472" s="68">
        <v>42571</v>
      </c>
      <c r="C472" s="67" t="s">
        <v>5809</v>
      </c>
      <c r="D472" s="67" t="s">
        <v>5036</v>
      </c>
      <c r="E472" s="67" t="s">
        <v>4928</v>
      </c>
    </row>
    <row r="473" spans="1:5">
      <c r="A473" s="23" t="s">
        <v>5810</v>
      </c>
      <c r="B473" s="66">
        <v>42571</v>
      </c>
      <c r="C473" s="23" t="s">
        <v>5811</v>
      </c>
      <c r="D473" s="23" t="s">
        <v>5047</v>
      </c>
      <c r="E473" s="23" t="s">
        <v>3618</v>
      </c>
    </row>
    <row r="474" spans="1:5">
      <c r="A474" s="67" t="s">
        <v>5812</v>
      </c>
      <c r="B474" s="68">
        <v>42906</v>
      </c>
      <c r="C474" s="67" t="s">
        <v>5813</v>
      </c>
      <c r="D474" s="67" t="s">
        <v>5055</v>
      </c>
      <c r="E474" s="67" t="s">
        <v>5684</v>
      </c>
    </row>
    <row r="475" spans="1:5">
      <c r="A475" s="23" t="s">
        <v>5814</v>
      </c>
      <c r="B475" s="66">
        <v>42746</v>
      </c>
      <c r="C475" s="23" t="s">
        <v>5815</v>
      </c>
      <c r="D475" s="23" t="s">
        <v>4850</v>
      </c>
      <c r="E475" s="23" t="s">
        <v>5816</v>
      </c>
    </row>
    <row r="476" spans="1:5">
      <c r="A476" s="67" t="s">
        <v>5817</v>
      </c>
      <c r="B476" s="68">
        <v>43012</v>
      </c>
      <c r="C476" s="67" t="s">
        <v>5818</v>
      </c>
      <c r="D476" s="67" t="s">
        <v>4882</v>
      </c>
      <c r="E476" s="67" t="s">
        <v>5819</v>
      </c>
    </row>
    <row r="477" spans="1:5">
      <c r="A477" s="23" t="s">
        <v>5820</v>
      </c>
      <c r="B477" s="66">
        <v>43012</v>
      </c>
      <c r="C477" s="23" t="s">
        <v>5821</v>
      </c>
      <c r="D477" s="23" t="s">
        <v>5047</v>
      </c>
      <c r="E477" s="23" t="s">
        <v>5466</v>
      </c>
    </row>
    <row r="478" spans="1:5">
      <c r="A478" s="67" t="s">
        <v>5822</v>
      </c>
      <c r="B478" s="68">
        <v>43012</v>
      </c>
      <c r="C478" s="67" t="s">
        <v>5823</v>
      </c>
      <c r="D478" s="67" t="s">
        <v>5047</v>
      </c>
      <c r="E478" s="67" t="s">
        <v>4743</v>
      </c>
    </row>
    <row r="479" spans="1:5">
      <c r="A479" s="23" t="s">
        <v>5824</v>
      </c>
      <c r="B479" s="66">
        <v>43012</v>
      </c>
      <c r="C479" s="23" t="s">
        <v>5825</v>
      </c>
      <c r="D479" s="23" t="s">
        <v>4805</v>
      </c>
      <c r="E479" s="23" t="s">
        <v>3498</v>
      </c>
    </row>
    <row r="480" spans="1:5">
      <c r="A480" s="67" t="s">
        <v>5826</v>
      </c>
      <c r="B480" s="68">
        <v>43012</v>
      </c>
      <c r="C480" s="67" t="s">
        <v>5827</v>
      </c>
      <c r="D480" s="67" t="s">
        <v>5828</v>
      </c>
      <c r="E480" s="67" t="s">
        <v>5679</v>
      </c>
    </row>
    <row r="481" spans="1:5">
      <c r="A481" s="23" t="s">
        <v>5829</v>
      </c>
      <c r="B481" s="66">
        <v>43011</v>
      </c>
      <c r="C481" s="23" t="s">
        <v>943</v>
      </c>
      <c r="D481" s="23" t="s">
        <v>4763</v>
      </c>
      <c r="E481" s="23" t="s">
        <v>5628</v>
      </c>
    </row>
    <row r="482" spans="1:5">
      <c r="A482" s="67" t="s">
        <v>5830</v>
      </c>
      <c r="B482" s="68">
        <v>42998</v>
      </c>
      <c r="C482" s="67" t="s">
        <v>5831</v>
      </c>
      <c r="D482" s="67" t="s">
        <v>4859</v>
      </c>
      <c r="E482" s="67" t="s">
        <v>5144</v>
      </c>
    </row>
    <row r="483" spans="1:5">
      <c r="A483" s="23" t="s">
        <v>5832</v>
      </c>
      <c r="B483" s="66">
        <v>42934</v>
      </c>
      <c r="C483" s="23" t="s">
        <v>5833</v>
      </c>
      <c r="D483" s="23" t="s">
        <v>4904</v>
      </c>
      <c r="E483" s="23" t="s">
        <v>3498</v>
      </c>
    </row>
    <row r="484" spans="1:5">
      <c r="A484" s="67" t="s">
        <v>5834</v>
      </c>
      <c r="B484" s="68">
        <v>42934</v>
      </c>
      <c r="C484" s="67" t="s">
        <v>5835</v>
      </c>
      <c r="D484" s="67" t="s">
        <v>4763</v>
      </c>
      <c r="E484" s="67" t="s">
        <v>5836</v>
      </c>
    </row>
    <row r="485" spans="1:5">
      <c r="A485" s="23" t="s">
        <v>5837</v>
      </c>
      <c r="B485" s="66">
        <v>42906</v>
      </c>
      <c r="C485" s="23" t="s">
        <v>5838</v>
      </c>
      <c r="D485" s="23" t="s">
        <v>4882</v>
      </c>
      <c r="E485" s="23"/>
    </row>
    <row r="486" spans="1:5">
      <c r="A486" s="67" t="s">
        <v>5839</v>
      </c>
      <c r="B486" s="68">
        <v>42906</v>
      </c>
      <c r="C486" s="67" t="s">
        <v>5840</v>
      </c>
      <c r="D486" s="67" t="s">
        <v>4859</v>
      </c>
      <c r="E486" s="67" t="s">
        <v>5684</v>
      </c>
    </row>
    <row r="487" spans="1:5">
      <c r="A487" s="23" t="s">
        <v>5841</v>
      </c>
      <c r="B487" s="66">
        <v>43109</v>
      </c>
      <c r="C487" s="23" t="s">
        <v>5842</v>
      </c>
      <c r="D487" s="23" t="s">
        <v>4850</v>
      </c>
      <c r="E487" s="23" t="s">
        <v>4958</v>
      </c>
    </row>
    <row r="488" spans="1:5">
      <c r="A488" s="67" t="s">
        <v>5843</v>
      </c>
      <c r="B488" s="70">
        <v>43081</v>
      </c>
      <c r="C488" s="67" t="s">
        <v>5844</v>
      </c>
      <c r="D488" s="67" t="s">
        <v>4904</v>
      </c>
      <c r="E488" s="67" t="s">
        <v>5804</v>
      </c>
    </row>
    <row r="489" spans="1:5">
      <c r="A489" s="23" t="s">
        <v>5845</v>
      </c>
      <c r="B489" s="69">
        <v>43067</v>
      </c>
      <c r="C489" s="23" t="s">
        <v>5846</v>
      </c>
      <c r="D489" s="23" t="s">
        <v>4859</v>
      </c>
      <c r="E489" s="23" t="s">
        <v>5847</v>
      </c>
    </row>
    <row r="490" spans="1:5">
      <c r="A490" s="67" t="s">
        <v>5848</v>
      </c>
      <c r="B490" s="70">
        <v>43061</v>
      </c>
      <c r="C490" s="67" t="s">
        <v>5849</v>
      </c>
      <c r="D490" s="67" t="s">
        <v>4931</v>
      </c>
      <c r="E490" s="67" t="s">
        <v>4670</v>
      </c>
    </row>
    <row r="491" spans="1:5">
      <c r="A491" s="23" t="s">
        <v>5850</v>
      </c>
      <c r="B491" s="69">
        <v>43061</v>
      </c>
      <c r="C491" s="23" t="s">
        <v>5851</v>
      </c>
      <c r="D491" s="23" t="s">
        <v>4882</v>
      </c>
      <c r="E491" s="23" t="s">
        <v>4670</v>
      </c>
    </row>
    <row r="492" spans="1:5">
      <c r="A492" s="67" t="s">
        <v>5852</v>
      </c>
      <c r="B492" s="70">
        <v>43039</v>
      </c>
      <c r="C492" s="67" t="s">
        <v>5853</v>
      </c>
      <c r="D492" s="67" t="s">
        <v>4888</v>
      </c>
      <c r="E492" s="67" t="s">
        <v>4670</v>
      </c>
    </row>
    <row r="493" spans="1:5">
      <c r="A493" s="23" t="s">
        <v>5854</v>
      </c>
      <c r="B493" s="69">
        <v>43039</v>
      </c>
      <c r="C493" s="23" t="s">
        <v>5855</v>
      </c>
      <c r="D493" s="23" t="s">
        <v>4888</v>
      </c>
      <c r="E493" s="23" t="s">
        <v>5856</v>
      </c>
    </row>
    <row r="494" spans="1:5">
      <c r="A494" s="67" t="s">
        <v>5857</v>
      </c>
      <c r="B494" s="70">
        <v>43039</v>
      </c>
      <c r="C494" s="67" t="s">
        <v>5858</v>
      </c>
      <c r="D494" s="67" t="s">
        <v>4850</v>
      </c>
      <c r="E494" s="67" t="s">
        <v>5859</v>
      </c>
    </row>
    <row r="495" spans="1:5">
      <c r="A495" s="23" t="s">
        <v>5860</v>
      </c>
      <c r="B495" s="69">
        <v>43039</v>
      </c>
      <c r="C495" s="23" t="s">
        <v>5861</v>
      </c>
      <c r="D495" s="23" t="s">
        <v>5036</v>
      </c>
      <c r="E495" s="23" t="s">
        <v>4918</v>
      </c>
    </row>
    <row r="496" spans="1:5">
      <c r="A496" s="67" t="s">
        <v>5862</v>
      </c>
      <c r="B496" s="68">
        <v>43244</v>
      </c>
      <c r="C496" s="67" t="s">
        <v>5863</v>
      </c>
      <c r="D496" s="67" t="s">
        <v>5047</v>
      </c>
      <c r="E496" s="67" t="s">
        <v>4670</v>
      </c>
    </row>
    <row r="497" spans="1:5">
      <c r="A497" s="23" t="s">
        <v>5864</v>
      </c>
      <c r="B497" s="66">
        <v>43244</v>
      </c>
      <c r="C497" s="23" t="s">
        <v>5865</v>
      </c>
      <c r="D497" s="23" t="s">
        <v>4763</v>
      </c>
      <c r="E497" s="23" t="s">
        <v>3520</v>
      </c>
    </row>
    <row r="498" spans="1:5">
      <c r="A498" s="67" t="s">
        <v>5866</v>
      </c>
      <c r="B498" s="68">
        <v>43244</v>
      </c>
      <c r="C498" s="67" t="s">
        <v>5867</v>
      </c>
      <c r="D498" s="67" t="s">
        <v>4850</v>
      </c>
      <c r="E498" s="67" t="s">
        <v>5868</v>
      </c>
    </row>
    <row r="499" spans="1:5">
      <c r="A499" s="23" t="s">
        <v>5869</v>
      </c>
      <c r="B499" s="66">
        <v>43244</v>
      </c>
      <c r="C499" s="23" t="s">
        <v>5870</v>
      </c>
      <c r="D499" s="23" t="s">
        <v>5047</v>
      </c>
      <c r="E499" s="23" t="s">
        <v>5684</v>
      </c>
    </row>
    <row r="500" spans="1:5">
      <c r="A500" s="67" t="s">
        <v>5871</v>
      </c>
      <c r="B500" s="68">
        <v>43244</v>
      </c>
      <c r="C500" s="67" t="s">
        <v>5872</v>
      </c>
      <c r="D500" s="67" t="s">
        <v>5873</v>
      </c>
      <c r="E500" s="67" t="s">
        <v>4670</v>
      </c>
    </row>
    <row r="501" spans="1:5">
      <c r="A501" s="23" t="s">
        <v>5874</v>
      </c>
      <c r="B501" s="66">
        <v>43112</v>
      </c>
      <c r="C501" s="23" t="s">
        <v>5875</v>
      </c>
      <c r="D501" s="23" t="s">
        <v>4763</v>
      </c>
      <c r="E501" s="23" t="s">
        <v>5519</v>
      </c>
    </row>
    <row r="502" spans="1:5">
      <c r="A502" s="67" t="s">
        <v>5876</v>
      </c>
      <c r="B502" s="68">
        <v>43301</v>
      </c>
      <c r="C502" s="67" t="s">
        <v>5877</v>
      </c>
      <c r="D502" s="67" t="s">
        <v>5878</v>
      </c>
      <c r="E502" s="67" t="s">
        <v>5466</v>
      </c>
    </row>
    <row r="503" spans="1:5">
      <c r="A503" s="23" t="s">
        <v>5879</v>
      </c>
      <c r="B503" s="66">
        <v>43301</v>
      </c>
      <c r="C503" s="23" t="s">
        <v>5880</v>
      </c>
      <c r="D503" s="23" t="s">
        <v>4948</v>
      </c>
      <c r="E503" s="23" t="s">
        <v>5881</v>
      </c>
    </row>
    <row r="504" spans="1:5">
      <c r="A504" s="67" t="s">
        <v>5882</v>
      </c>
      <c r="B504" s="68">
        <v>43301</v>
      </c>
      <c r="C504" s="67" t="s">
        <v>5883</v>
      </c>
      <c r="D504" s="67" t="s">
        <v>4763</v>
      </c>
      <c r="E504" s="67" t="s">
        <v>4670</v>
      </c>
    </row>
    <row r="505" spans="1:5">
      <c r="A505" s="23" t="s">
        <v>5884</v>
      </c>
      <c r="B505" s="66">
        <v>43301</v>
      </c>
      <c r="C505" s="23" t="s">
        <v>5885</v>
      </c>
      <c r="D505" s="23" t="s">
        <v>4859</v>
      </c>
      <c r="E505" s="23" t="s">
        <v>5466</v>
      </c>
    </row>
    <row r="506" spans="1:5">
      <c r="A506" s="67" t="s">
        <v>5886</v>
      </c>
      <c r="B506" s="68">
        <v>43301</v>
      </c>
      <c r="C506" s="67" t="s">
        <v>5887</v>
      </c>
      <c r="D506" s="67" t="s">
        <v>4850</v>
      </c>
      <c r="E506" s="67" t="s">
        <v>4670</v>
      </c>
    </row>
    <row r="507" spans="1:5">
      <c r="A507" s="23" t="s">
        <v>5888</v>
      </c>
      <c r="B507" s="66">
        <v>43259</v>
      </c>
      <c r="C507" s="23" t="s">
        <v>5889</v>
      </c>
      <c r="D507" s="23" t="s">
        <v>4792</v>
      </c>
      <c r="E507" s="23"/>
    </row>
    <row r="508" spans="1:5">
      <c r="A508" s="67" t="s">
        <v>5890</v>
      </c>
      <c r="B508" s="68">
        <v>43572</v>
      </c>
      <c r="C508" s="67" t="s">
        <v>5891</v>
      </c>
      <c r="D508" s="67" t="s">
        <v>5892</v>
      </c>
      <c r="E508" s="67" t="s">
        <v>4955</v>
      </c>
    </row>
    <row r="509" spans="1:5">
      <c r="A509" s="23" t="s">
        <v>5893</v>
      </c>
      <c r="B509" s="66">
        <v>43572</v>
      </c>
      <c r="C509" s="23" t="s">
        <v>5894</v>
      </c>
      <c r="D509" s="23" t="s">
        <v>4904</v>
      </c>
      <c r="E509" s="23" t="s">
        <v>4670</v>
      </c>
    </row>
    <row r="510" spans="1:5">
      <c r="A510" s="67" t="s">
        <v>5895</v>
      </c>
      <c r="B510" s="68">
        <v>43572</v>
      </c>
      <c r="C510" s="67" t="s">
        <v>5896</v>
      </c>
      <c r="D510" s="67" t="s">
        <v>4805</v>
      </c>
      <c r="E510" s="67" t="s">
        <v>5018</v>
      </c>
    </row>
    <row r="511" spans="1:5">
      <c r="A511" s="23" t="s">
        <v>5897</v>
      </c>
      <c r="B511" s="66">
        <v>43572</v>
      </c>
      <c r="C511" s="23" t="s">
        <v>5898</v>
      </c>
      <c r="D511" s="23" t="s">
        <v>4805</v>
      </c>
      <c r="E511" s="23" t="s">
        <v>5018</v>
      </c>
    </row>
    <row r="512" spans="1:5">
      <c r="A512" s="67" t="s">
        <v>5899</v>
      </c>
      <c r="B512" s="68">
        <v>43572</v>
      </c>
      <c r="C512" s="67" t="s">
        <v>5900</v>
      </c>
      <c r="D512" s="67" t="s">
        <v>4850</v>
      </c>
      <c r="E512" s="67" t="s">
        <v>5901</v>
      </c>
    </row>
    <row r="513" spans="1:5">
      <c r="A513" s="23" t="s">
        <v>5902</v>
      </c>
      <c r="B513" s="66">
        <v>43552</v>
      </c>
      <c r="C513" s="23" t="s">
        <v>5903</v>
      </c>
      <c r="D513" s="23" t="s">
        <v>4948</v>
      </c>
      <c r="E513" s="23" t="s">
        <v>5684</v>
      </c>
    </row>
    <row r="514" spans="1:5">
      <c r="A514" s="67" t="s">
        <v>5904</v>
      </c>
      <c r="B514" s="68">
        <v>43552</v>
      </c>
      <c r="C514" s="67" t="s">
        <v>2779</v>
      </c>
      <c r="D514" s="67" t="s">
        <v>5047</v>
      </c>
      <c r="E514" s="67" t="s">
        <v>5905</v>
      </c>
    </row>
    <row r="515" spans="1:5">
      <c r="A515" s="23" t="s">
        <v>5906</v>
      </c>
      <c r="B515" s="66">
        <v>43552</v>
      </c>
      <c r="C515" s="23" t="s">
        <v>135</v>
      </c>
      <c r="D515" s="23" t="s">
        <v>4850</v>
      </c>
      <c r="E515" s="23" t="s">
        <v>5907</v>
      </c>
    </row>
    <row r="516" spans="1:5">
      <c r="A516" s="67" t="s">
        <v>5908</v>
      </c>
      <c r="B516" s="68">
        <v>43552</v>
      </c>
      <c r="C516" s="67" t="s">
        <v>5909</v>
      </c>
      <c r="D516" s="67" t="s">
        <v>4850</v>
      </c>
      <c r="E516" s="67" t="s">
        <v>5905</v>
      </c>
    </row>
    <row r="517" spans="1:5">
      <c r="A517" s="23" t="s">
        <v>5910</v>
      </c>
      <c r="B517" s="66">
        <v>43552</v>
      </c>
      <c r="C517" s="23" t="s">
        <v>5911</v>
      </c>
      <c r="D517" s="23" t="s">
        <v>5878</v>
      </c>
      <c r="E517" s="23" t="s">
        <v>5905</v>
      </c>
    </row>
    <row r="518" spans="1:5">
      <c r="A518" s="67" t="s">
        <v>5912</v>
      </c>
      <c r="B518" s="68">
        <v>43552</v>
      </c>
      <c r="C518" s="67" t="s">
        <v>5913</v>
      </c>
      <c r="D518" s="67" t="s">
        <v>4882</v>
      </c>
      <c r="E518" s="67" t="s">
        <v>4964</v>
      </c>
    </row>
    <row r="519" spans="1:5">
      <c r="A519" s="23" t="s">
        <v>5914</v>
      </c>
      <c r="B519" s="66">
        <v>43552</v>
      </c>
      <c r="C519" s="23" t="s">
        <v>5915</v>
      </c>
      <c r="D519" s="23" t="s">
        <v>4805</v>
      </c>
      <c r="E519" s="23" t="s">
        <v>5360</v>
      </c>
    </row>
    <row r="520" spans="1:5">
      <c r="A520" s="67" t="s">
        <v>5916</v>
      </c>
      <c r="B520" s="68">
        <v>43552</v>
      </c>
      <c r="C520" s="67" t="s">
        <v>5917</v>
      </c>
      <c r="D520" s="67" t="s">
        <v>5918</v>
      </c>
      <c r="E520" s="67" t="s">
        <v>5511</v>
      </c>
    </row>
    <row r="521" spans="1:5">
      <c r="A521" s="23" t="s">
        <v>5919</v>
      </c>
      <c r="B521" s="66">
        <v>43643</v>
      </c>
      <c r="C521" s="23" t="s">
        <v>5920</v>
      </c>
      <c r="D521" s="23" t="s">
        <v>5921</v>
      </c>
      <c r="E521" s="23" t="s">
        <v>5922</v>
      </c>
    </row>
    <row r="522" spans="1:5">
      <c r="A522" s="67" t="s">
        <v>5923</v>
      </c>
      <c r="B522" s="68">
        <v>43643</v>
      </c>
      <c r="C522" s="67" t="s">
        <v>5924</v>
      </c>
      <c r="D522" s="67" t="s">
        <v>4888</v>
      </c>
      <c r="E522" s="67" t="s">
        <v>5925</v>
      </c>
    </row>
    <row r="523" spans="1:5">
      <c r="A523" s="23" t="s">
        <v>5926</v>
      </c>
      <c r="B523" s="66">
        <v>43643</v>
      </c>
      <c r="C523" s="23" t="s">
        <v>5927</v>
      </c>
      <c r="D523" s="23" t="s">
        <v>4859</v>
      </c>
      <c r="E523" s="23" t="s">
        <v>5928</v>
      </c>
    </row>
    <row r="524" spans="1:5">
      <c r="A524" s="67" t="s">
        <v>5929</v>
      </c>
      <c r="B524" s="68">
        <v>43643</v>
      </c>
      <c r="C524" s="67" t="s">
        <v>5930</v>
      </c>
      <c r="D524" s="67" t="s">
        <v>5931</v>
      </c>
      <c r="E524" s="67" t="s">
        <v>5932</v>
      </c>
    </row>
    <row r="525" spans="1:5">
      <c r="A525" s="23" t="s">
        <v>5933</v>
      </c>
      <c r="B525" s="66">
        <v>43643</v>
      </c>
      <c r="C525" s="23" t="s">
        <v>5934</v>
      </c>
      <c r="D525" s="23" t="s">
        <v>5935</v>
      </c>
      <c r="E525" s="23" t="s">
        <v>5936</v>
      </c>
    </row>
    <row r="526" spans="1:5">
      <c r="A526" s="67" t="s">
        <v>5937</v>
      </c>
      <c r="B526" s="68">
        <v>43643</v>
      </c>
      <c r="C526" s="67" t="s">
        <v>5938</v>
      </c>
      <c r="D526" s="67" t="s">
        <v>5939</v>
      </c>
      <c r="E526" s="67" t="s">
        <v>5940</v>
      </c>
    </row>
    <row r="527" spans="1:5">
      <c r="A527" s="23" t="s">
        <v>5941</v>
      </c>
      <c r="B527" s="66">
        <v>43643</v>
      </c>
      <c r="C527" s="23" t="s">
        <v>5942</v>
      </c>
      <c r="D527" s="23" t="s">
        <v>4850</v>
      </c>
      <c r="E527" s="23" t="s">
        <v>5943</v>
      </c>
    </row>
    <row r="528" spans="1:5">
      <c r="A528" s="67" t="s">
        <v>5944</v>
      </c>
      <c r="B528" s="68">
        <v>43643</v>
      </c>
      <c r="C528" s="67" t="s">
        <v>5945</v>
      </c>
      <c r="D528" s="67" t="s">
        <v>4931</v>
      </c>
      <c r="E528" s="67" t="s">
        <v>5946</v>
      </c>
    </row>
    <row r="529" spans="1:5">
      <c r="A529" s="23" t="s">
        <v>5947</v>
      </c>
      <c r="B529" s="66">
        <v>43643</v>
      </c>
      <c r="C529" s="23" t="s">
        <v>5948</v>
      </c>
      <c r="D529" s="23" t="s">
        <v>4974</v>
      </c>
      <c r="E529" s="23" t="s">
        <v>5905</v>
      </c>
    </row>
    <row r="530" spans="1:5">
      <c r="A530" s="67" t="s">
        <v>5949</v>
      </c>
      <c r="B530" s="68">
        <v>43643</v>
      </c>
      <c r="C530" s="67" t="s">
        <v>5950</v>
      </c>
      <c r="D530" s="67" t="s">
        <v>4859</v>
      </c>
      <c r="E530" s="67" t="s">
        <v>5951</v>
      </c>
    </row>
    <row r="531" spans="1:5">
      <c r="A531" s="23" t="s">
        <v>5952</v>
      </c>
      <c r="B531" s="66">
        <v>43635</v>
      </c>
      <c r="C531" s="23" t="s">
        <v>5953</v>
      </c>
      <c r="D531" s="23" t="s">
        <v>5954</v>
      </c>
      <c r="E531" s="23"/>
    </row>
    <row r="532" spans="1:5">
      <c r="A532" s="67" t="s">
        <v>5955</v>
      </c>
      <c r="B532" s="68">
        <v>43635</v>
      </c>
      <c r="C532" s="67" t="s">
        <v>5502</v>
      </c>
      <c r="D532" s="67" t="s">
        <v>4763</v>
      </c>
      <c r="E532" s="67"/>
    </row>
    <row r="533" spans="1:5">
      <c r="A533" s="23" t="s">
        <v>5956</v>
      </c>
      <c r="B533" s="69">
        <v>43798</v>
      </c>
      <c r="C533" s="23" t="s">
        <v>5957</v>
      </c>
      <c r="D533" s="23" t="s">
        <v>5047</v>
      </c>
      <c r="E533" s="23" t="s">
        <v>4802</v>
      </c>
    </row>
    <row r="534" spans="1:5">
      <c r="A534" s="67" t="s">
        <v>5958</v>
      </c>
      <c r="B534" s="70">
        <v>43799</v>
      </c>
      <c r="C534" s="67" t="s">
        <v>5959</v>
      </c>
      <c r="D534" s="67" t="s">
        <v>5960</v>
      </c>
      <c r="E534" s="67" t="s">
        <v>4879</v>
      </c>
    </row>
    <row r="535" spans="1:5">
      <c r="A535" s="23" t="s">
        <v>5961</v>
      </c>
      <c r="B535" s="66">
        <v>43703</v>
      </c>
      <c r="C535" s="23" t="s">
        <v>5962</v>
      </c>
      <c r="D535" s="23" t="s">
        <v>4859</v>
      </c>
      <c r="E535" s="23" t="s">
        <v>4743</v>
      </c>
    </row>
    <row r="536" spans="1:5">
      <c r="A536" s="67" t="s">
        <v>5963</v>
      </c>
      <c r="B536" s="68">
        <v>43676</v>
      </c>
      <c r="C536" s="67" t="s">
        <v>5964</v>
      </c>
      <c r="D536" s="67" t="s">
        <v>5047</v>
      </c>
      <c r="E536" s="67" t="s">
        <v>4670</v>
      </c>
    </row>
    <row r="537" spans="1:5">
      <c r="A537" s="23" t="s">
        <v>5965</v>
      </c>
      <c r="B537" s="66">
        <v>44043</v>
      </c>
      <c r="C537" s="23" t="s">
        <v>5966</v>
      </c>
      <c r="D537" s="23" t="s">
        <v>5967</v>
      </c>
      <c r="E537" s="23" t="s">
        <v>5928</v>
      </c>
    </row>
    <row r="538" spans="1:5">
      <c r="A538" s="67" t="s">
        <v>5968</v>
      </c>
      <c r="B538" s="68">
        <v>44043</v>
      </c>
      <c r="C538" s="67" t="s">
        <v>5969</v>
      </c>
      <c r="D538" s="67" t="s">
        <v>5970</v>
      </c>
      <c r="E538" s="67" t="s">
        <v>5971</v>
      </c>
    </row>
    <row r="539" spans="1:5">
      <c r="A539" s="23" t="s">
        <v>5972</v>
      </c>
      <c r="B539" s="66">
        <v>44043</v>
      </c>
      <c r="C539" s="23" t="s">
        <v>5973</v>
      </c>
      <c r="D539" s="23" t="s">
        <v>4792</v>
      </c>
      <c r="E539" s="23" t="s">
        <v>4694</v>
      </c>
    </row>
    <row r="540" spans="1:5">
      <c r="A540" s="67" t="s">
        <v>5974</v>
      </c>
      <c r="B540" s="68">
        <v>44043</v>
      </c>
      <c r="C540" s="67" t="s">
        <v>5975</v>
      </c>
      <c r="D540" s="67" t="s">
        <v>5970</v>
      </c>
      <c r="E540" s="67" t="s">
        <v>5597</v>
      </c>
    </row>
    <row r="541" spans="1:5">
      <c r="A541" s="23" t="s">
        <v>5976</v>
      </c>
      <c r="B541" s="66">
        <v>44043</v>
      </c>
      <c r="C541" s="23" t="s">
        <v>5977</v>
      </c>
      <c r="D541" s="23" t="s">
        <v>4779</v>
      </c>
      <c r="E541" s="23" t="s">
        <v>5978</v>
      </c>
    </row>
    <row r="542" spans="1:5">
      <c r="A542" s="67" t="s">
        <v>5979</v>
      </c>
      <c r="B542" s="68">
        <v>43676</v>
      </c>
      <c r="C542" s="67" t="s">
        <v>5980</v>
      </c>
      <c r="D542" s="67" t="s">
        <v>4792</v>
      </c>
      <c r="E542" s="67" t="s">
        <v>5981</v>
      </c>
    </row>
    <row r="543" spans="1:5">
      <c r="A543" s="23" t="s">
        <v>5982</v>
      </c>
      <c r="B543" s="69">
        <v>43755</v>
      </c>
      <c r="C543" s="23" t="s">
        <v>5983</v>
      </c>
      <c r="D543" s="23" t="s">
        <v>5984</v>
      </c>
      <c r="E543" s="23" t="s">
        <v>4670</v>
      </c>
    </row>
    <row r="544" spans="1:5">
      <c r="A544" s="67" t="s">
        <v>5985</v>
      </c>
      <c r="B544" s="68">
        <v>44260</v>
      </c>
      <c r="C544" s="67" t="s">
        <v>5986</v>
      </c>
      <c r="D544" s="67" t="s">
        <v>5297</v>
      </c>
      <c r="E544" s="67" t="s">
        <v>4928</v>
      </c>
    </row>
    <row r="545" spans="1:5">
      <c r="A545" s="23" t="s">
        <v>5987</v>
      </c>
      <c r="B545" s="66">
        <v>44440</v>
      </c>
      <c r="C545" s="23" t="s">
        <v>5988</v>
      </c>
      <c r="D545" s="23" t="s">
        <v>4779</v>
      </c>
      <c r="E545" s="23" t="s">
        <v>5153</v>
      </c>
    </row>
    <row r="546" spans="1:5">
      <c r="A546" s="67" t="s">
        <v>5989</v>
      </c>
      <c r="B546" s="68">
        <v>45201</v>
      </c>
      <c r="C546" s="67" t="s">
        <v>5990</v>
      </c>
      <c r="D546" s="67" t="s">
        <v>4736</v>
      </c>
      <c r="E546" s="67" t="s">
        <v>5991</v>
      </c>
    </row>
    <row r="547" spans="1:5">
      <c r="A547" s="23" t="s">
        <v>5992</v>
      </c>
      <c r="B547" s="66">
        <v>45201</v>
      </c>
      <c r="C547" s="23" t="s">
        <v>5993</v>
      </c>
      <c r="D547" s="23" t="s">
        <v>5994</v>
      </c>
      <c r="E547" s="23" t="s">
        <v>5532</v>
      </c>
    </row>
    <row r="548" spans="1:5">
      <c r="A548" s="67" t="s">
        <v>5995</v>
      </c>
      <c r="B548" s="68">
        <v>45201</v>
      </c>
      <c r="C548" s="67" t="s">
        <v>5996</v>
      </c>
      <c r="D548" s="67" t="s">
        <v>4833</v>
      </c>
      <c r="E548" s="67" t="s">
        <v>5511</v>
      </c>
    </row>
    <row r="549" spans="1:5">
      <c r="A549" s="23" t="s">
        <v>5997</v>
      </c>
      <c r="B549" s="66">
        <v>45201</v>
      </c>
      <c r="C549" s="23" t="s">
        <v>5998</v>
      </c>
      <c r="D549" s="23" t="s">
        <v>5999</v>
      </c>
      <c r="E549" s="23" t="s">
        <v>4670</v>
      </c>
    </row>
    <row r="550" spans="1:5">
      <c r="A550" s="67" t="s">
        <v>6000</v>
      </c>
      <c r="B550" s="68">
        <v>45205</v>
      </c>
      <c r="C550" s="67" t="s">
        <v>6001</v>
      </c>
      <c r="D550" s="67" t="s">
        <v>4792</v>
      </c>
      <c r="E550" s="67" t="s">
        <v>6002</v>
      </c>
    </row>
    <row r="551" spans="1:5">
      <c r="A551" s="23" t="s">
        <v>6003</v>
      </c>
      <c r="B551" s="66">
        <v>45205</v>
      </c>
      <c r="C551" s="23" t="s">
        <v>855</v>
      </c>
      <c r="D551" s="23" t="s">
        <v>4901</v>
      </c>
      <c r="E551" s="23" t="s">
        <v>6004</v>
      </c>
    </row>
    <row r="552" spans="1:5">
      <c r="A552" s="67" t="s">
        <v>6003</v>
      </c>
      <c r="B552" s="68">
        <v>45205</v>
      </c>
      <c r="C552" s="67" t="s">
        <v>5553</v>
      </c>
      <c r="D552" s="67" t="s">
        <v>4726</v>
      </c>
      <c r="E552" s="67" t="s">
        <v>6004</v>
      </c>
    </row>
    <row r="553" spans="1:5">
      <c r="A553" s="23" t="s">
        <v>6003</v>
      </c>
      <c r="B553" s="66">
        <v>45205</v>
      </c>
      <c r="C553" s="23" t="s">
        <v>6005</v>
      </c>
      <c r="D553" s="23" t="s">
        <v>5970</v>
      </c>
      <c r="E553" s="23" t="s">
        <v>6004</v>
      </c>
    </row>
    <row r="554" spans="1:5">
      <c r="A554" s="67" t="s">
        <v>6006</v>
      </c>
      <c r="B554" s="68">
        <v>45205</v>
      </c>
      <c r="C554" s="67" t="s">
        <v>6007</v>
      </c>
      <c r="D554" s="67" t="s">
        <v>4779</v>
      </c>
      <c r="E554" s="67" t="s">
        <v>3508</v>
      </c>
    </row>
    <row r="555" spans="1:5">
      <c r="A555" s="23" t="s">
        <v>6008</v>
      </c>
      <c r="B555" s="66">
        <v>45205</v>
      </c>
      <c r="C555" s="23" t="s">
        <v>6009</v>
      </c>
      <c r="D555" s="23" t="s">
        <v>4779</v>
      </c>
      <c r="E555" s="23" t="s">
        <v>5085</v>
      </c>
    </row>
    <row r="556" spans="1:5">
      <c r="A556" s="67" t="s">
        <v>6010</v>
      </c>
      <c r="B556" s="68">
        <v>45205</v>
      </c>
      <c r="C556" s="67" t="s">
        <v>6011</v>
      </c>
      <c r="D556" s="67" t="s">
        <v>4901</v>
      </c>
      <c r="E556" s="67" t="s">
        <v>4873</v>
      </c>
    </row>
    <row r="557" spans="1:5">
      <c r="A557" s="23" t="s">
        <v>6012</v>
      </c>
      <c r="B557" s="66">
        <v>45205</v>
      </c>
      <c r="C557" s="23" t="s">
        <v>6013</v>
      </c>
      <c r="D557" s="23" t="s">
        <v>4901</v>
      </c>
      <c r="E557" s="23" t="s">
        <v>5655</v>
      </c>
    </row>
    <row r="558" spans="1:5">
      <c r="A558" s="67" t="s">
        <v>6014</v>
      </c>
      <c r="B558" s="68">
        <v>45205</v>
      </c>
      <c r="C558" s="67" t="s">
        <v>6015</v>
      </c>
      <c r="D558" s="67" t="s">
        <v>4759</v>
      </c>
      <c r="E558" s="67" t="s">
        <v>5764</v>
      </c>
    </row>
    <row r="559" spans="1:5">
      <c r="A559" s="23" t="s">
        <v>6016</v>
      </c>
      <c r="B559" s="66">
        <v>45205</v>
      </c>
      <c r="C559" s="23" t="s">
        <v>6017</v>
      </c>
      <c r="D559" s="23" t="s">
        <v>4850</v>
      </c>
      <c r="E559" s="23" t="s">
        <v>5671</v>
      </c>
    </row>
  </sheetData>
  <mergeCells count="1">
    <mergeCell ref="A1:E1"/>
  </mergeCells>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59ec98-7227-445a-9527-8cdfcc6bf2c3" xsi:nil="true"/>
    <lcf76f155ced4ddcb4097134ff3c332f xmlns="cd086a84-0fa5-47dc-a1ed-1aa0f05f8e5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14AC5A6F979B24F9E095012AD47595F" ma:contentTypeVersion="10" ma:contentTypeDescription="Crie um novo documento." ma:contentTypeScope="" ma:versionID="64092a0cff88468f36f8f7e000e25e53">
  <xsd:schema xmlns:xsd="http://www.w3.org/2001/XMLSchema" xmlns:xs="http://www.w3.org/2001/XMLSchema" xmlns:p="http://schemas.microsoft.com/office/2006/metadata/properties" xmlns:ns2="cd086a84-0fa5-47dc-a1ed-1aa0f05f8e5d" xmlns:ns3="d359ec98-7227-445a-9527-8cdfcc6bf2c3" targetNamespace="http://schemas.microsoft.com/office/2006/metadata/properties" ma:root="true" ma:fieldsID="5d4b4dbdab7c7bc7844796ac311eb22d" ns2:_="" ns3:_="">
    <xsd:import namespace="cd086a84-0fa5-47dc-a1ed-1aa0f05f8e5d"/>
    <xsd:import namespace="d359ec98-7227-445a-9527-8cdfcc6bf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086a84-0fa5-47dc-a1ed-1aa0f05f8e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b9497d1-976c-460c-b354-1ae52b23e8c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59ec98-7227-445a-9527-8cdfcc6bf2c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f589f9f-2f90-4dbe-9ddf-17662aeb6d9f}" ma:internalName="TaxCatchAll" ma:showField="CatchAllData" ma:web="d359ec98-7227-445a-9527-8cdfcc6bf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78A025-D8FB-4065-8289-2A4698E0D723}"/>
</file>

<file path=customXml/itemProps2.xml><?xml version="1.0" encoding="utf-8"?>
<ds:datastoreItem xmlns:ds="http://schemas.openxmlformats.org/officeDocument/2006/customXml" ds:itemID="{FD357324-5B6D-49BA-8759-5897F8A5D232}"/>
</file>

<file path=customXml/itemProps3.xml><?xml version="1.0" encoding="utf-8"?>
<ds:datastoreItem xmlns:ds="http://schemas.openxmlformats.org/officeDocument/2006/customXml" ds:itemID="{B488479B-7E7E-41D9-AA71-7E5BCECF53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2026-04-11T16:47:18Z</dcterms:created>
  <dcterms:modified xsi:type="dcterms:W3CDTF">2026-04-11T16:47:18Z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0x010100714AC5A6F979B24F9E095012AD47595F</vt:lpwstr>
  </property>
</Properties>
</file>